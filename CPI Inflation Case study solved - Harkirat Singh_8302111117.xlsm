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1.xml" ContentType="application/vnd.openxmlformats-officedocument.drawing+xml"/>
  <Override PartName="/xl/drawings/drawing2.xml" ContentType="application/vnd.openxmlformats-officedocument.drawing+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3.xml" ContentType="application/vnd.openxmlformats-officedocument.spreadsheetml.pivotTable+xml"/>
  <Override PartName="/xl/pivotTables/pivotTable14.xml" ContentType="application/vnd.openxmlformats-officedocument.spreadsheetml.pivotTab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5.xml" ContentType="application/vnd.openxmlformats-officedocument.spreadsheetml.pivotTable+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Data Analytics\Excel\Case Study\Case study solved\"/>
    </mc:Choice>
  </mc:AlternateContent>
  <bookViews>
    <workbookView xWindow="0" yWindow="0" windowWidth="23040" windowHeight="9192" firstSheet="1" activeTab="2"/>
  </bookViews>
  <sheets>
    <sheet name="Base file Brod prod Category" sheetId="5" state="hidden" r:id="rId1"/>
    <sheet name="All_India_Index_Upto_April" sheetId="2" r:id="rId2"/>
    <sheet name="Summary" sheetId="15" r:id="rId3"/>
    <sheet name="Q1 - Category Contributions" sheetId="1" r:id="rId4"/>
    <sheet name="Q2 - YoY Inflation Trends" sheetId="6" r:id="rId5"/>
    <sheet name="Q3 - Food Inflation Analysis" sheetId="10" r:id="rId6"/>
    <sheet name="Q4 - COVID-19 Impact" sheetId="11" r:id="rId7"/>
    <sheet name="Q5 Oil Price Correlation" sheetId="14" r:id="rId8"/>
  </sheets>
  <definedNames>
    <definedName name="_xlnm._FilterDatabase" localSheetId="1" hidden="1">All_India_Index_Upto_April!$A$1:$AD$373</definedName>
    <definedName name="_xlnm._FilterDatabase" localSheetId="7" hidden="1">'Q5 Oil Price Correlation'!$A$1:$O$30</definedName>
  </definedNames>
  <calcPr calcId="162913"/>
  <pivotCaches>
    <pivotCache cacheId="0" r:id="rId9"/>
    <pivotCache cacheId="1" r:id="rId10"/>
    <pivotCache cacheId="2" r:id="rId11"/>
  </pivotCaches>
</workbook>
</file>

<file path=xl/calcChain.xml><?xml version="1.0" encoding="utf-8"?>
<calcChain xmlns="http://schemas.openxmlformats.org/spreadsheetml/2006/main">
  <c r="C52" i="10" l="1"/>
  <c r="D52" i="10"/>
  <c r="E52" i="10"/>
  <c r="F52" i="10"/>
  <c r="G52" i="10"/>
  <c r="H52" i="10"/>
  <c r="I52" i="10"/>
  <c r="J52" i="10"/>
  <c r="K52" i="10"/>
  <c r="L52" i="10"/>
  <c r="M52" i="10"/>
  <c r="N52" i="10"/>
  <c r="V34" i="14"/>
  <c r="W34" i="14"/>
  <c r="X34" i="14"/>
  <c r="Y34" i="14"/>
  <c r="Z34" i="14"/>
  <c r="AA34" i="14"/>
  <c r="AB34" i="14"/>
  <c r="AC34" i="14"/>
  <c r="AD34" i="14"/>
  <c r="AE34" i="14"/>
  <c r="U34" i="14"/>
  <c r="U31" i="14"/>
  <c r="V31" i="14"/>
  <c r="W31" i="14"/>
  <c r="X31" i="14"/>
  <c r="Y31" i="14"/>
  <c r="Z31" i="14"/>
  <c r="AA31" i="14"/>
  <c r="AB31" i="14"/>
  <c r="AC31" i="14"/>
  <c r="AD31" i="14"/>
  <c r="AE31" i="14"/>
  <c r="T31" i="14"/>
  <c r="U29" i="14"/>
  <c r="T27" i="14"/>
  <c r="U27" i="14"/>
  <c r="V27" i="14"/>
  <c r="W27" i="14"/>
  <c r="X27" i="14"/>
  <c r="Y27" i="14"/>
  <c r="Z27" i="14"/>
  <c r="AA27" i="14"/>
  <c r="AB27" i="14"/>
  <c r="AC27" i="14"/>
  <c r="AD27" i="14"/>
  <c r="AE27" i="14"/>
  <c r="T28" i="14"/>
  <c r="U28" i="14"/>
  <c r="V28" i="14"/>
  <c r="W28" i="14"/>
  <c r="X28" i="14"/>
  <c r="Y28" i="14"/>
  <c r="Z28" i="14"/>
  <c r="AA28" i="14"/>
  <c r="AB28" i="14"/>
  <c r="AC28" i="14"/>
  <c r="AD28" i="14"/>
  <c r="AE28" i="14"/>
  <c r="T29" i="14"/>
  <c r="V29" i="14"/>
  <c r="W29" i="14"/>
  <c r="X29" i="14"/>
  <c r="Y29" i="14"/>
  <c r="Z29" i="14"/>
  <c r="AA29" i="14"/>
  <c r="AB29" i="14"/>
  <c r="AC29" i="14"/>
  <c r="AD29" i="14"/>
  <c r="AE29" i="14"/>
  <c r="T30" i="14"/>
  <c r="U30" i="14"/>
  <c r="V30" i="14"/>
  <c r="W30" i="14"/>
  <c r="X30" i="14"/>
  <c r="Y30" i="14"/>
  <c r="Z30" i="14"/>
  <c r="AA30" i="14"/>
  <c r="AB30" i="14"/>
  <c r="AC30" i="14"/>
  <c r="AD30" i="14"/>
  <c r="AE30" i="14"/>
  <c r="T5" i="14"/>
  <c r="U5" i="14"/>
  <c r="V5" i="14"/>
  <c r="W5" i="14"/>
  <c r="X5" i="14"/>
  <c r="Y5" i="14"/>
  <c r="Z5" i="14"/>
  <c r="AA5" i="14"/>
  <c r="AB5" i="14"/>
  <c r="AC5" i="14"/>
  <c r="AD5" i="14"/>
  <c r="AE5" i="14"/>
  <c r="T6" i="14"/>
  <c r="U6" i="14"/>
  <c r="V6" i="14"/>
  <c r="W6" i="14"/>
  <c r="X6" i="14"/>
  <c r="Y6" i="14"/>
  <c r="Z6" i="14"/>
  <c r="AA6" i="14"/>
  <c r="AB6" i="14"/>
  <c r="AC6" i="14"/>
  <c r="AD6" i="14"/>
  <c r="AE6" i="14"/>
  <c r="T7" i="14"/>
  <c r="U7" i="14"/>
  <c r="V7" i="14"/>
  <c r="W7" i="14"/>
  <c r="X7" i="14"/>
  <c r="Y7" i="14"/>
  <c r="Z7" i="14"/>
  <c r="AA7" i="14"/>
  <c r="AB7" i="14"/>
  <c r="AC7" i="14"/>
  <c r="AD7" i="14"/>
  <c r="AE7" i="14"/>
  <c r="T8" i="14"/>
  <c r="U8" i="14"/>
  <c r="V8" i="14"/>
  <c r="W8" i="14"/>
  <c r="X8" i="14"/>
  <c r="Y8" i="14"/>
  <c r="Z8" i="14"/>
  <c r="AA8" i="14"/>
  <c r="AB8" i="14"/>
  <c r="AC8" i="14"/>
  <c r="AD8" i="14"/>
  <c r="AE8" i="14"/>
  <c r="T9" i="14"/>
  <c r="U9" i="14"/>
  <c r="V9" i="14"/>
  <c r="W9" i="14"/>
  <c r="X9" i="14"/>
  <c r="Y9" i="14"/>
  <c r="Z9" i="14"/>
  <c r="AA9" i="14"/>
  <c r="AB9" i="14"/>
  <c r="AC9" i="14"/>
  <c r="AD9" i="14"/>
  <c r="AE9" i="14"/>
  <c r="T10" i="14"/>
  <c r="U10" i="14"/>
  <c r="V10" i="14"/>
  <c r="W10" i="14"/>
  <c r="X10" i="14"/>
  <c r="Y10" i="14"/>
  <c r="Z10" i="14"/>
  <c r="AA10" i="14"/>
  <c r="AB10" i="14"/>
  <c r="AC10" i="14"/>
  <c r="AD10" i="14"/>
  <c r="AE10" i="14"/>
  <c r="T11" i="14"/>
  <c r="U11" i="14"/>
  <c r="V11" i="14"/>
  <c r="W11" i="14"/>
  <c r="X11" i="14"/>
  <c r="Y11" i="14"/>
  <c r="Z11" i="14"/>
  <c r="AA11" i="14"/>
  <c r="AB11" i="14"/>
  <c r="AC11" i="14"/>
  <c r="AD11" i="14"/>
  <c r="AE11" i="14"/>
  <c r="T12" i="14"/>
  <c r="U12" i="14"/>
  <c r="V12" i="14"/>
  <c r="W12" i="14"/>
  <c r="X12" i="14"/>
  <c r="Y12" i="14"/>
  <c r="Z12" i="14"/>
  <c r="AA12" i="14"/>
  <c r="AB12" i="14"/>
  <c r="AC12" i="14"/>
  <c r="AD12" i="14"/>
  <c r="AE12" i="14"/>
  <c r="T13" i="14"/>
  <c r="U13" i="14"/>
  <c r="V13" i="14"/>
  <c r="W13" i="14"/>
  <c r="X13" i="14"/>
  <c r="Y13" i="14"/>
  <c r="Z13" i="14"/>
  <c r="AA13" i="14"/>
  <c r="AB13" i="14"/>
  <c r="AC13" i="14"/>
  <c r="AD13" i="14"/>
  <c r="AE13" i="14"/>
  <c r="T14" i="14"/>
  <c r="U14" i="14"/>
  <c r="V14" i="14"/>
  <c r="W14" i="14"/>
  <c r="X14" i="14"/>
  <c r="Y14" i="14"/>
  <c r="Z14" i="14"/>
  <c r="AA14" i="14"/>
  <c r="AB14" i="14"/>
  <c r="AC14" i="14"/>
  <c r="AD14" i="14"/>
  <c r="AE14" i="14"/>
  <c r="T15" i="14"/>
  <c r="U15" i="14"/>
  <c r="V15" i="14"/>
  <c r="W15" i="14"/>
  <c r="X15" i="14"/>
  <c r="Y15" i="14"/>
  <c r="Z15" i="14"/>
  <c r="AA15" i="14"/>
  <c r="AB15" i="14"/>
  <c r="AC15" i="14"/>
  <c r="AD15" i="14"/>
  <c r="AE15" i="14"/>
  <c r="T16" i="14"/>
  <c r="U16" i="14"/>
  <c r="V16" i="14"/>
  <c r="W16" i="14"/>
  <c r="X16" i="14"/>
  <c r="Y16" i="14"/>
  <c r="Z16" i="14"/>
  <c r="AA16" i="14"/>
  <c r="AB16" i="14"/>
  <c r="AC16" i="14"/>
  <c r="AD16" i="14"/>
  <c r="AE16" i="14"/>
  <c r="T17" i="14"/>
  <c r="U17" i="14"/>
  <c r="V17" i="14"/>
  <c r="W17" i="14"/>
  <c r="X17" i="14"/>
  <c r="Y17" i="14"/>
  <c r="Z17" i="14"/>
  <c r="AA17" i="14"/>
  <c r="AB17" i="14"/>
  <c r="AC17" i="14"/>
  <c r="AD17" i="14"/>
  <c r="AE17" i="14"/>
  <c r="T18" i="14"/>
  <c r="U18" i="14"/>
  <c r="V18" i="14"/>
  <c r="W18" i="14"/>
  <c r="X18" i="14"/>
  <c r="Y18" i="14"/>
  <c r="Z18" i="14"/>
  <c r="AA18" i="14"/>
  <c r="AB18" i="14"/>
  <c r="AC18" i="14"/>
  <c r="AD18" i="14"/>
  <c r="AE18" i="14"/>
  <c r="T19" i="14"/>
  <c r="U19" i="14"/>
  <c r="V19" i="14"/>
  <c r="W19" i="14"/>
  <c r="X19" i="14"/>
  <c r="Y19" i="14"/>
  <c r="Z19" i="14"/>
  <c r="AA19" i="14"/>
  <c r="AB19" i="14"/>
  <c r="AC19" i="14"/>
  <c r="AD19" i="14"/>
  <c r="AE19" i="14"/>
  <c r="T20" i="14"/>
  <c r="U20" i="14"/>
  <c r="V20" i="14"/>
  <c r="W20" i="14"/>
  <c r="X20" i="14"/>
  <c r="Y20" i="14"/>
  <c r="Z20" i="14"/>
  <c r="AA20" i="14"/>
  <c r="AB20" i="14"/>
  <c r="AC20" i="14"/>
  <c r="AD20" i="14"/>
  <c r="AE20" i="14"/>
  <c r="T21" i="14"/>
  <c r="U21" i="14"/>
  <c r="V21" i="14"/>
  <c r="W21" i="14"/>
  <c r="X21" i="14"/>
  <c r="Y21" i="14"/>
  <c r="Z21" i="14"/>
  <c r="AA21" i="14"/>
  <c r="AB21" i="14"/>
  <c r="AC21" i="14"/>
  <c r="AD21" i="14"/>
  <c r="AE21" i="14"/>
  <c r="T22" i="14"/>
  <c r="U22" i="14"/>
  <c r="V22" i="14"/>
  <c r="W22" i="14"/>
  <c r="X22" i="14"/>
  <c r="Y22" i="14"/>
  <c r="Z22" i="14"/>
  <c r="AA22" i="14"/>
  <c r="AB22" i="14"/>
  <c r="AC22" i="14"/>
  <c r="AD22" i="14"/>
  <c r="AE22" i="14"/>
  <c r="T23" i="14"/>
  <c r="U23" i="14"/>
  <c r="V23" i="14"/>
  <c r="W23" i="14"/>
  <c r="X23" i="14"/>
  <c r="Y23" i="14"/>
  <c r="Z23" i="14"/>
  <c r="AA23" i="14"/>
  <c r="AB23" i="14"/>
  <c r="AC23" i="14"/>
  <c r="AD23" i="14"/>
  <c r="AE23" i="14"/>
  <c r="T24" i="14"/>
  <c r="U24" i="14"/>
  <c r="V24" i="14"/>
  <c r="W24" i="14"/>
  <c r="X24" i="14"/>
  <c r="Y24" i="14"/>
  <c r="Z24" i="14"/>
  <c r="AA24" i="14"/>
  <c r="AB24" i="14"/>
  <c r="AC24" i="14"/>
  <c r="AD24" i="14"/>
  <c r="AE24" i="14"/>
  <c r="T25" i="14"/>
  <c r="U25" i="14"/>
  <c r="V25" i="14"/>
  <c r="W25" i="14"/>
  <c r="X25" i="14"/>
  <c r="Y25" i="14"/>
  <c r="Z25" i="14"/>
  <c r="AA25" i="14"/>
  <c r="AB25" i="14"/>
  <c r="AC25" i="14"/>
  <c r="AD25" i="14"/>
  <c r="AE25" i="14"/>
  <c r="T26" i="14"/>
  <c r="U26" i="14"/>
  <c r="V26" i="14"/>
  <c r="W26" i="14"/>
  <c r="X26" i="14"/>
  <c r="Y26" i="14"/>
  <c r="Z26" i="14"/>
  <c r="AA26" i="14"/>
  <c r="AB26" i="14"/>
  <c r="AC26" i="14"/>
  <c r="AD26" i="14"/>
  <c r="AE26" i="14"/>
  <c r="AE4" i="14"/>
  <c r="AD4" i="14"/>
  <c r="AC4" i="14"/>
  <c r="AB4" i="14"/>
  <c r="AA4" i="14"/>
  <c r="Z4" i="14"/>
  <c r="Y4" i="14"/>
  <c r="X4" i="14"/>
  <c r="W4" i="14"/>
  <c r="V4" i="14"/>
  <c r="U4" i="14"/>
  <c r="T4" i="14"/>
  <c r="K4" i="11"/>
  <c r="L4" i="11"/>
  <c r="M4" i="11"/>
  <c r="N4" i="11"/>
  <c r="K5" i="11"/>
  <c r="L5" i="11"/>
  <c r="M5" i="11"/>
  <c r="N5" i="11"/>
  <c r="K6" i="11"/>
  <c r="L6" i="11"/>
  <c r="M6" i="11"/>
  <c r="N6" i="11"/>
  <c r="K7" i="11"/>
  <c r="L7" i="11"/>
  <c r="M7" i="11"/>
  <c r="N7" i="11"/>
  <c r="K8" i="11"/>
  <c r="L8" i="11"/>
  <c r="M8" i="11"/>
  <c r="N8" i="11"/>
  <c r="K9" i="11"/>
  <c r="L9" i="11"/>
  <c r="M9" i="11"/>
  <c r="N9" i="11"/>
  <c r="K10" i="11"/>
  <c r="L10" i="11"/>
  <c r="M10" i="11"/>
  <c r="N10" i="11"/>
  <c r="K11" i="11"/>
  <c r="L11" i="11"/>
  <c r="M11" i="11"/>
  <c r="N11" i="11"/>
  <c r="K12" i="11"/>
  <c r="L12" i="11"/>
  <c r="M12" i="11"/>
  <c r="N12" i="11"/>
  <c r="K13" i="11"/>
  <c r="L13" i="11"/>
  <c r="M13" i="11"/>
  <c r="N13" i="11"/>
  <c r="K14" i="11"/>
  <c r="L14" i="11"/>
  <c r="M14" i="11"/>
  <c r="N14" i="11"/>
  <c r="K15" i="11"/>
  <c r="L15" i="11"/>
  <c r="M15" i="11"/>
  <c r="N15" i="11"/>
  <c r="K16" i="11"/>
  <c r="L16" i="11"/>
  <c r="M16" i="11"/>
  <c r="N16" i="11"/>
  <c r="K17" i="11"/>
  <c r="L17" i="11"/>
  <c r="M17" i="11"/>
  <c r="N17" i="11"/>
  <c r="K18" i="11"/>
  <c r="L18" i="11"/>
  <c r="M18" i="11"/>
  <c r="N18" i="11"/>
  <c r="K19" i="11"/>
  <c r="L19" i="11"/>
  <c r="M19" i="11"/>
  <c r="N19" i="11"/>
  <c r="K20" i="11"/>
  <c r="L20" i="11"/>
  <c r="M20" i="11"/>
  <c r="N20" i="11"/>
  <c r="K21" i="11"/>
  <c r="L21" i="11"/>
  <c r="M21" i="11"/>
  <c r="N21" i="11"/>
  <c r="K22" i="11"/>
  <c r="L22" i="11"/>
  <c r="M22" i="11"/>
  <c r="N22" i="11"/>
  <c r="K23" i="11"/>
  <c r="L23" i="11"/>
  <c r="M23" i="11"/>
  <c r="N23" i="11"/>
  <c r="K24" i="11"/>
  <c r="L24" i="11"/>
  <c r="M24" i="11"/>
  <c r="N24" i="11"/>
  <c r="N3" i="11"/>
  <c r="M3" i="11"/>
  <c r="L3" i="11"/>
  <c r="K3" i="11"/>
  <c r="J4" i="11"/>
  <c r="J5" i="11"/>
  <c r="J6" i="11"/>
  <c r="J7" i="11"/>
  <c r="J8" i="11"/>
  <c r="J9" i="11"/>
  <c r="J10" i="11"/>
  <c r="J11" i="11"/>
  <c r="J12" i="11"/>
  <c r="J13" i="11"/>
  <c r="J14" i="11"/>
  <c r="J15" i="11"/>
  <c r="J16" i="11"/>
  <c r="J17" i="11"/>
  <c r="J18" i="11"/>
  <c r="J19" i="11"/>
  <c r="J20" i="11"/>
  <c r="J21" i="11"/>
  <c r="J22" i="11"/>
  <c r="J23" i="11"/>
  <c r="J24" i="11"/>
  <c r="J3" i="11"/>
  <c r="D6" i="1"/>
  <c r="I14" i="10"/>
  <c r="I15" i="10"/>
  <c r="I16" i="10"/>
  <c r="I13" i="10"/>
  <c r="I12" i="10"/>
  <c r="I7" i="10"/>
  <c r="I8" i="10"/>
  <c r="I9" i="10"/>
  <c r="I10" i="10"/>
  <c r="I11" i="10"/>
  <c r="I6" i="10"/>
  <c r="K5" i="10" s="1"/>
  <c r="C53" i="10" l="1"/>
  <c r="J5" i="10"/>
  <c r="C48" i="6"/>
  <c r="C49" i="6"/>
  <c r="C50" i="6"/>
  <c r="C51" i="6"/>
  <c r="C52" i="6"/>
  <c r="C47" i="6"/>
  <c r="H37" i="6"/>
  <c r="H38" i="6"/>
  <c r="H39" i="6"/>
  <c r="H40" i="6"/>
  <c r="H41" i="6"/>
  <c r="H42" i="6"/>
  <c r="H36" i="6"/>
  <c r="C43" i="6"/>
  <c r="D43" i="6"/>
  <c r="E43" i="6"/>
  <c r="F43" i="6"/>
  <c r="G43" i="6"/>
  <c r="B43" i="6"/>
  <c r="H43" i="6" s="1"/>
  <c r="AG12" i="6"/>
  <c r="AG13" i="6"/>
  <c r="AG14" i="6"/>
  <c r="AG15" i="6"/>
  <c r="AG16" i="6"/>
  <c r="AG17" i="6"/>
  <c r="AG18" i="6"/>
  <c r="AG11" i="6"/>
  <c r="B27" i="6"/>
  <c r="B28" i="6"/>
  <c r="B29" i="6"/>
  <c r="B30" i="6"/>
  <c r="B31" i="6"/>
  <c r="B32" i="6"/>
  <c r="B33" i="6"/>
  <c r="B26" i="6"/>
</calcChain>
</file>

<file path=xl/sharedStrings.xml><?xml version="1.0" encoding="utf-8"?>
<sst xmlns="http://schemas.openxmlformats.org/spreadsheetml/2006/main" count="1624" uniqueCount="111">
  <si>
    <t>Sector</t>
  </si>
  <si>
    <t>Year</t>
  </si>
  <si>
    <t>Month</t>
  </si>
  <si>
    <t>Cereals and products</t>
  </si>
  <si>
    <t>Meat and fish</t>
  </si>
  <si>
    <t>Egg</t>
  </si>
  <si>
    <t>Milk and products</t>
  </si>
  <si>
    <t>Oils and fats</t>
  </si>
  <si>
    <t>Fruits</t>
  </si>
  <si>
    <t>Vegetables</t>
  </si>
  <si>
    <t>Pulses and products</t>
  </si>
  <si>
    <t>Sugar and Confectionery</t>
  </si>
  <si>
    <t>Spices</t>
  </si>
  <si>
    <t>Non-alcoholic beverages</t>
  </si>
  <si>
    <t>Prepared meals, snacks, sweets etc.</t>
  </si>
  <si>
    <t>Food and beverages</t>
  </si>
  <si>
    <t>Pan, tobacco and intoxicants</t>
  </si>
  <si>
    <t>Clothing</t>
  </si>
  <si>
    <t>Footwear</t>
  </si>
  <si>
    <t>Clothing and footwear</t>
  </si>
  <si>
    <t>Housing</t>
  </si>
  <si>
    <t>Fuel and light</t>
  </si>
  <si>
    <t>Household goods and services</t>
  </si>
  <si>
    <t>Health</t>
  </si>
  <si>
    <t>Transport and communication</t>
  </si>
  <si>
    <t>Recreation and amusement</t>
  </si>
  <si>
    <t>Education</t>
  </si>
  <si>
    <t>Personal care and effects</t>
  </si>
  <si>
    <t>Miscellaneous</t>
  </si>
  <si>
    <t>General index</t>
  </si>
  <si>
    <t>Rural+Urban</t>
  </si>
  <si>
    <t>May</t>
  </si>
  <si>
    <t>Answer: 1</t>
  </si>
  <si>
    <t>Broader category bucket</t>
  </si>
  <si>
    <t>Index</t>
  </si>
  <si>
    <t>//Used Max formula</t>
  </si>
  <si>
    <t>Food &amp; Beverages</t>
  </si>
  <si>
    <t>Pan Tobacco &amp; Intoxicants</t>
  </si>
  <si>
    <t>Miscellaneous / Services</t>
  </si>
  <si>
    <t>Total CPI Index</t>
  </si>
  <si>
    <t>Contribution in %</t>
  </si>
  <si>
    <t>Rural</t>
  </si>
  <si>
    <t>January</t>
  </si>
  <si>
    <t>NA</t>
  </si>
  <si>
    <t>Urban</t>
  </si>
  <si>
    <t>February</t>
  </si>
  <si>
    <t>March</t>
  </si>
  <si>
    <t>April</t>
  </si>
  <si>
    <t>June</t>
  </si>
  <si>
    <t>July</t>
  </si>
  <si>
    <t>August</t>
  </si>
  <si>
    <t>September</t>
  </si>
  <si>
    <t>October</t>
  </si>
  <si>
    <t xml:space="preserve">November </t>
  </si>
  <si>
    <t>November</t>
  </si>
  <si>
    <t>December</t>
  </si>
  <si>
    <t>Marcrh</t>
  </si>
  <si>
    <t>-</t>
  </si>
  <si>
    <t>Row Labels</t>
  </si>
  <si>
    <t>Grand Total</t>
  </si>
  <si>
    <t>(All)</t>
  </si>
  <si>
    <t>Sum of Cereals and products</t>
  </si>
  <si>
    <t>Sum of Prepared meals, snacks, sweets etc.</t>
  </si>
  <si>
    <t>Sum of Sugar and Confectionery</t>
  </si>
  <si>
    <t>Sum of Pulses and products</t>
  </si>
  <si>
    <t>Sum of Spices</t>
  </si>
  <si>
    <t>Sum of Vegetables</t>
  </si>
  <si>
    <t>Sum of Non-alcoholic beverages</t>
  </si>
  <si>
    <t>Sum of Fruits</t>
  </si>
  <si>
    <t>Sum of Milk and products</t>
  </si>
  <si>
    <t>Sum of Meat and fish</t>
  </si>
  <si>
    <t>Sum of Oils and fats</t>
  </si>
  <si>
    <t>Sum of Egg</t>
  </si>
  <si>
    <t>Sum of Pan, tobacco and intoxicants</t>
  </si>
  <si>
    <t>Sum of Clothing and footwear</t>
  </si>
  <si>
    <t>Sum of Housing</t>
  </si>
  <si>
    <t>Sum of Fuel and light</t>
  </si>
  <si>
    <t>Sum of Household goods and services</t>
  </si>
  <si>
    <t>Sum of Health</t>
  </si>
  <si>
    <t>Sum of Transport and communication</t>
  </si>
  <si>
    <t>Sum of Recreation and amusement</t>
  </si>
  <si>
    <t>Sum of Education</t>
  </si>
  <si>
    <t>Sum of Personal care and effects</t>
  </si>
  <si>
    <t>Total</t>
  </si>
  <si>
    <t>Miscellaneous / Services total</t>
  </si>
  <si>
    <t>GOLY</t>
  </si>
  <si>
    <t>Column Labels</t>
  </si>
  <si>
    <t>Sum of Food and beverages</t>
  </si>
  <si>
    <t>MOM Inflation Rate</t>
  </si>
  <si>
    <t>Highest Inflation rate month</t>
  </si>
  <si>
    <t>Lowest Inflation rate month</t>
  </si>
  <si>
    <t>Point 1:</t>
  </si>
  <si>
    <t>Point 2:</t>
  </si>
  <si>
    <t>Percentage change Sub-category wise--&gt;</t>
  </si>
  <si>
    <t>Highest Percentage change Sub-category wise--&gt; (Spices)</t>
  </si>
  <si>
    <t>% Change in Food and beverages</t>
  </si>
  <si>
    <t>% Change in Housing</t>
  </si>
  <si>
    <t>% Change in Fuel and light</t>
  </si>
  <si>
    <t>% Change in Health</t>
  </si>
  <si>
    <t>% Change in Transport and communication</t>
  </si>
  <si>
    <t>Pre/Post Covid</t>
  </si>
  <si>
    <t>Pre</t>
  </si>
  <si>
    <t>Post</t>
  </si>
  <si>
    <t>Average of % Change in Food and beverages</t>
  </si>
  <si>
    <t>Average of % Change in Housing</t>
  </si>
  <si>
    <t>Average of % Change in Fuel and light</t>
  </si>
  <si>
    <t>Average of % Change in Transport and communication</t>
  </si>
  <si>
    <t>Average of % Change in Health</t>
  </si>
  <si>
    <t>Crude Oil Price (USD / Barrel)</t>
  </si>
  <si>
    <t>Percentage Change in below categories</t>
  </si>
  <si>
    <t>Correlation between Oil &amp; Category&gt;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</si>
</sst>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1"/>
      <color rgb="FFC00000"/>
      <name val="Calibri"/>
      <family val="2"/>
      <scheme val="minor"/>
    </font>
    <font>
      <b/>
      <sz val="11"/>
      <name val="Calibri"/>
      <family val="2"/>
    </font>
    <font>
      <b/>
      <sz val="14"/>
      <color theme="1"/>
      <name val="Calibri"/>
      <family val="2"/>
      <scheme val="minor"/>
    </font>
    <font>
      <b/>
      <sz val="12"/>
      <color theme="1"/>
      <name val="Calibri"/>
      <family val="2"/>
      <scheme val="minor"/>
    </font>
  </fonts>
  <fills count="4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theme="4" tint="0.59999389629810485"/>
        <bgColor indexed="64"/>
      </patternFill>
    </fill>
    <fill>
      <patternFill patternType="solid">
        <fgColor theme="4" tint="0.79998168889431442"/>
        <bgColor theme="4" tint="0.79998168889431442"/>
      </patternFill>
    </fill>
    <fill>
      <patternFill patternType="solid">
        <fgColor theme="0"/>
        <bgColor theme="4" tint="0.79998168889431442"/>
      </patternFill>
    </fill>
    <fill>
      <patternFill patternType="solid">
        <fgColor rgb="FFFFFF00"/>
        <bgColor indexed="64"/>
      </patternFill>
    </fill>
    <fill>
      <patternFill patternType="solid">
        <fgColor theme="5" tint="0.79998168889431442"/>
        <bgColor indexed="64"/>
      </patternFill>
    </fill>
    <fill>
      <patternFill patternType="solid">
        <fgColor rgb="FFF2F6FC"/>
      </patternFill>
    </fill>
    <fill>
      <patternFill patternType="solid">
        <fgColor theme="0"/>
        <bgColor indexed="64"/>
      </patternFill>
    </fill>
  </fills>
  <borders count="1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top/>
      <bottom style="thin">
        <color theme="4" tint="0.39997558519241921"/>
      </bottom>
      <diagonal/>
    </border>
    <border>
      <left/>
      <right/>
      <top/>
      <bottom style="thin">
        <color indexed="64"/>
      </bottom>
      <diagonal/>
    </border>
    <border>
      <left style="thin">
        <color indexed="64"/>
      </left>
      <right/>
      <top/>
      <bottom style="thin">
        <color indexed="64"/>
      </bottom>
      <diagonal/>
    </border>
    <border>
      <left/>
      <right style="medium">
        <color indexed="64"/>
      </right>
      <top/>
      <bottom style="thin">
        <color indexed="64"/>
      </bottom>
      <diagonal/>
    </border>
  </borders>
  <cellStyleXfs count="43">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54">
    <xf numFmtId="0" fontId="0" fillId="0" borderId="0" xfId="0"/>
    <xf numFmtId="0" fontId="0" fillId="0" borderId="10" xfId="0" applyBorder="1"/>
    <xf numFmtId="0" fontId="16" fillId="0" borderId="10" xfId="0" applyFont="1" applyBorder="1"/>
    <xf numFmtId="0" fontId="16" fillId="0" borderId="0" xfId="0" applyFont="1"/>
    <xf numFmtId="0" fontId="16" fillId="34" borderId="0" xfId="0" applyFont="1" applyFill="1"/>
    <xf numFmtId="0" fontId="0" fillId="0" borderId="0" xfId="0" pivotButton="1"/>
    <xf numFmtId="0" fontId="0" fillId="0" borderId="0" xfId="0" applyAlignment="1">
      <alignment horizontal="left"/>
    </xf>
    <xf numFmtId="0" fontId="0" fillId="0" borderId="0" xfId="0" applyNumberFormat="1"/>
    <xf numFmtId="0" fontId="16" fillId="36" borderId="11" xfId="0" applyFont="1" applyFill="1" applyBorder="1"/>
    <xf numFmtId="0" fontId="16" fillId="0" borderId="10" xfId="0" applyFont="1" applyBorder="1" applyAlignment="1">
      <alignment horizontal="center"/>
    </xf>
    <xf numFmtId="0" fontId="0" fillId="0" borderId="10" xfId="0" applyBorder="1" applyAlignment="1">
      <alignment horizontal="center"/>
    </xf>
    <xf numFmtId="0" fontId="16" fillId="35" borderId="10" xfId="0" applyFont="1" applyFill="1" applyBorder="1" applyAlignment="1">
      <alignment horizontal="center"/>
    </xf>
    <xf numFmtId="1" fontId="0" fillId="0" borderId="10" xfId="0" applyNumberFormat="1" applyBorder="1" applyAlignment="1">
      <alignment horizontal="center"/>
    </xf>
    <xf numFmtId="1" fontId="16" fillId="0" borderId="10" xfId="0" applyNumberFormat="1" applyFont="1" applyBorder="1" applyAlignment="1">
      <alignment horizontal="center"/>
    </xf>
    <xf numFmtId="1" fontId="0" fillId="0" borderId="0" xfId="0" applyNumberFormat="1"/>
    <xf numFmtId="1" fontId="16" fillId="33" borderId="10" xfId="0" applyNumberFormat="1" applyFont="1" applyFill="1" applyBorder="1" applyAlignment="1">
      <alignment horizontal="center"/>
    </xf>
    <xf numFmtId="1" fontId="0" fillId="33" borderId="10" xfId="0" applyNumberFormat="1" applyFill="1" applyBorder="1" applyAlignment="1">
      <alignment horizontal="center"/>
    </xf>
    <xf numFmtId="9" fontId="0" fillId="0" borderId="10" xfId="1" applyFont="1" applyBorder="1" applyAlignment="1">
      <alignment horizontal="center"/>
    </xf>
    <xf numFmtId="164" fontId="0" fillId="0" borderId="0" xfId="1" applyNumberFormat="1" applyFont="1"/>
    <xf numFmtId="0" fontId="16" fillId="35" borderId="10" xfId="0" applyFont="1" applyFill="1" applyBorder="1"/>
    <xf numFmtId="0" fontId="16" fillId="38" borderId="10" xfId="0" applyFont="1" applyFill="1" applyBorder="1"/>
    <xf numFmtId="0" fontId="0" fillId="0" borderId="10" xfId="0" applyBorder="1" applyAlignment="1">
      <alignment horizontal="left"/>
    </xf>
    <xf numFmtId="0" fontId="0" fillId="0" borderId="10" xfId="0" applyNumberFormat="1" applyBorder="1"/>
    <xf numFmtId="10" fontId="0" fillId="0" borderId="10" xfId="0" applyNumberFormat="1" applyBorder="1"/>
    <xf numFmtId="10" fontId="0" fillId="0" borderId="10" xfId="1" applyNumberFormat="1" applyFont="1" applyBorder="1"/>
    <xf numFmtId="17" fontId="16" fillId="0" borderId="10" xfId="0" applyNumberFormat="1" applyFont="1" applyBorder="1"/>
    <xf numFmtId="0" fontId="16" fillId="0" borderId="10" xfId="0" applyFont="1" applyBorder="1" applyAlignment="1">
      <alignment horizontal="left"/>
    </xf>
    <xf numFmtId="0" fontId="16" fillId="0" borderId="10" xfId="0" applyNumberFormat="1" applyFont="1" applyBorder="1"/>
    <xf numFmtId="10" fontId="16" fillId="0" borderId="10" xfId="1" applyNumberFormat="1" applyFont="1" applyBorder="1"/>
    <xf numFmtId="0" fontId="0" fillId="0" borderId="10" xfId="0" applyNumberFormat="1" applyBorder="1" applyAlignment="1">
      <alignment horizontal="center"/>
    </xf>
    <xf numFmtId="164" fontId="0" fillId="0" borderId="0" xfId="0" applyNumberFormat="1"/>
    <xf numFmtId="0" fontId="16" fillId="0" borderId="10" xfId="0" applyFont="1" applyFill="1" applyBorder="1" applyAlignment="1">
      <alignment horizontal="center"/>
    </xf>
    <xf numFmtId="164" fontId="0" fillId="0" borderId="10" xfId="1" applyNumberFormat="1" applyFont="1" applyBorder="1" applyAlignment="1">
      <alignment horizontal="center"/>
    </xf>
    <xf numFmtId="164" fontId="16" fillId="0" borderId="10" xfId="1" applyNumberFormat="1" applyFont="1" applyBorder="1" applyAlignment="1">
      <alignment horizontal="center"/>
    </xf>
    <xf numFmtId="0" fontId="16" fillId="38" borderId="10" xfId="0" applyFont="1" applyFill="1" applyBorder="1" applyAlignment="1">
      <alignment horizontal="center"/>
    </xf>
    <xf numFmtId="0" fontId="16" fillId="37" borderId="0" xfId="0" applyFont="1" applyFill="1"/>
    <xf numFmtId="0" fontId="18" fillId="0" borderId="0" xfId="0" applyFont="1"/>
    <xf numFmtId="0" fontId="18" fillId="0" borderId="10" xfId="0" applyFont="1" applyBorder="1" applyAlignment="1">
      <alignment horizontal="center"/>
    </xf>
    <xf numFmtId="165" fontId="0" fillId="0" borderId="10" xfId="0" applyNumberFormat="1" applyBorder="1" applyAlignment="1">
      <alignment horizontal="center"/>
    </xf>
    <xf numFmtId="0" fontId="0" fillId="0" borderId="0" xfId="0" applyBorder="1" applyAlignment="1">
      <alignment horizontal="center"/>
    </xf>
    <xf numFmtId="0" fontId="18" fillId="0" borderId="0" xfId="0" applyFont="1" applyBorder="1" applyAlignment="1">
      <alignment horizontal="center"/>
    </xf>
    <xf numFmtId="164" fontId="0" fillId="0" borderId="0" xfId="1" applyNumberFormat="1" applyFont="1" applyBorder="1" applyAlignment="1">
      <alignment horizontal="center"/>
    </xf>
    <xf numFmtId="0" fontId="19" fillId="0" borderId="10" xfId="0" applyFont="1" applyBorder="1" applyAlignment="1">
      <alignment horizontal="center" vertical="top"/>
    </xf>
    <xf numFmtId="2" fontId="0" fillId="39" borderId="10" xfId="0" applyNumberFormat="1" applyFill="1" applyBorder="1" applyAlignment="1">
      <alignment horizontal="center"/>
    </xf>
    <xf numFmtId="2" fontId="0" fillId="0" borderId="10" xfId="0" applyNumberFormat="1" applyBorder="1" applyAlignment="1">
      <alignment horizontal="center"/>
    </xf>
    <xf numFmtId="0" fontId="16" fillId="37" borderId="10" xfId="0" applyFont="1" applyFill="1" applyBorder="1" applyAlignment="1">
      <alignment horizontal="center"/>
    </xf>
    <xf numFmtId="164" fontId="16" fillId="0" borderId="0" xfId="1" applyNumberFormat="1" applyFont="1"/>
    <xf numFmtId="0" fontId="21" fillId="33" borderId="0" xfId="0" applyFont="1" applyFill="1"/>
    <xf numFmtId="0" fontId="16" fillId="40" borderId="10" xfId="0" applyFont="1" applyFill="1" applyBorder="1" applyAlignment="1">
      <alignment horizontal="center" vertical="center"/>
    </xf>
    <xf numFmtId="0" fontId="0" fillId="0" borderId="10" xfId="0" applyBorder="1" applyAlignment="1">
      <alignment horizontal="center" vertical="center"/>
    </xf>
    <xf numFmtId="164" fontId="20" fillId="38" borderId="10" xfId="0" applyNumberFormat="1" applyFont="1" applyFill="1" applyBorder="1"/>
    <xf numFmtId="0" fontId="20" fillId="33" borderId="13" xfId="0" applyFont="1" applyFill="1" applyBorder="1" applyAlignment="1">
      <alignment horizontal="center"/>
    </xf>
    <xf numFmtId="0" fontId="20" fillId="33" borderId="12" xfId="0" applyFont="1" applyFill="1" applyBorder="1" applyAlignment="1">
      <alignment horizontal="center"/>
    </xf>
    <xf numFmtId="0" fontId="20" fillId="33" borderId="14" xfId="0" applyFont="1" applyFill="1" applyBorder="1" applyAlignment="1">
      <alignment horizontal="center"/>
    </xf>
  </cellXfs>
  <cellStyles count="43">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Percent" xfId="1" builtinId="5"/>
    <cellStyle name="Title" xfId="2" builtinId="15" customBuiltin="1"/>
    <cellStyle name="Total" xfId="18" builtinId="25" customBuiltin="1"/>
    <cellStyle name="Warning Text" xfId="15" builtinId="11" customBuiltin="1"/>
  </cellStyles>
  <dxfs count="14">
    <dxf>
      <numFmt numFmtId="164" formatCode="0.0%"/>
    </dxf>
    <dxf>
      <numFmt numFmtId="13" formatCode="0%"/>
    </dxf>
    <dxf>
      <numFmt numFmtId="164" formatCode="0.0%"/>
    </dxf>
    <dxf>
      <numFmt numFmtId="13" formatCode="0%"/>
    </dxf>
    <dxf>
      <numFmt numFmtId="166" formatCode="0.000"/>
    </dxf>
    <dxf>
      <numFmt numFmtId="2" formatCode="0.00"/>
    </dxf>
    <dxf>
      <numFmt numFmtId="165" formatCode="0.0"/>
    </dxf>
    <dxf>
      <numFmt numFmtId="2" formatCode="0.00"/>
    </dxf>
    <dxf>
      <numFmt numFmtId="166" formatCode="0.000"/>
    </dxf>
    <dxf>
      <numFmt numFmtId="167" formatCode="0.0000"/>
    </dxf>
    <dxf>
      <numFmt numFmtId="168" formatCode="0.00000"/>
    </dxf>
    <dxf>
      <numFmt numFmtId="169" formatCode="0.000000"/>
    </dxf>
    <dxf>
      <numFmt numFmtId="170" formatCode="0.0000000"/>
    </dxf>
    <dxf>
      <numFmt numFmtId="171" formatCode="0.00000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3.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pivotCacheDefinition" Target="pivotCache/pivotCacheDefinition2.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Inflaton</a:t>
            </a:r>
            <a:r>
              <a:rPr lang="en-US" baseline="0"/>
              <a:t> Rate 2017-2023</a:t>
            </a:r>
            <a:endParaRPr lang="en-US"/>
          </a:p>
        </c:rich>
      </c:tx>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tx>
            <c:strRef>
              <c:f>'Q2 - YoY Inflation Trends'!$B$45</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trendline>
            <c:spPr>
              <a:ln w="19050" cap="rnd">
                <a:solidFill>
                  <a:schemeClr val="accent1"/>
                </a:solidFill>
              </a:ln>
              <a:effectLst/>
            </c:spPr>
            <c:trendlineType val="linear"/>
            <c:dispRSqr val="0"/>
            <c:dispEq val="0"/>
          </c:trendline>
          <c:cat>
            <c:numRef>
              <c:f>'Q2 - YoY Inflation Trends'!$A$46:$A$52</c:f>
              <c:numCache>
                <c:formatCode>General</c:formatCode>
                <c:ptCount val="7"/>
                <c:pt idx="0">
                  <c:v>2017</c:v>
                </c:pt>
                <c:pt idx="1">
                  <c:v>2018</c:v>
                </c:pt>
                <c:pt idx="2">
                  <c:v>2019</c:v>
                </c:pt>
                <c:pt idx="3">
                  <c:v>2020</c:v>
                </c:pt>
                <c:pt idx="4">
                  <c:v>2021</c:v>
                </c:pt>
                <c:pt idx="5">
                  <c:v>2022</c:v>
                </c:pt>
                <c:pt idx="6">
                  <c:v>2023</c:v>
                </c:pt>
              </c:numCache>
            </c:numRef>
          </c:cat>
          <c:val>
            <c:numRef>
              <c:f>'Q2 - YoY Inflation Trends'!$B$46:$B$52</c:f>
              <c:numCache>
                <c:formatCode>0</c:formatCode>
                <c:ptCount val="7"/>
                <c:pt idx="0">
                  <c:v>35200.800000000003</c:v>
                </c:pt>
                <c:pt idx="1">
                  <c:v>36325.5</c:v>
                </c:pt>
                <c:pt idx="2">
                  <c:v>34540.699999999997</c:v>
                </c:pt>
                <c:pt idx="3">
                  <c:v>35540.1</c:v>
                </c:pt>
                <c:pt idx="4">
                  <c:v>42927.399999999994</c:v>
                </c:pt>
                <c:pt idx="5">
                  <c:v>45510.799999999996</c:v>
                </c:pt>
                <c:pt idx="6">
                  <c:v>19518.7</c:v>
                </c:pt>
              </c:numCache>
            </c:numRef>
          </c:val>
          <c:extLst>
            <c:ext xmlns:c16="http://schemas.microsoft.com/office/drawing/2014/chart" uri="{C3380CC4-5D6E-409C-BE32-E72D297353CC}">
              <c16:uniqueId val="{00000000-752B-4A72-9BA8-58AC213647A8}"/>
            </c:ext>
          </c:extLst>
        </c:ser>
        <c:dLbls>
          <c:dLblPos val="outEnd"/>
          <c:showLegendKey val="0"/>
          <c:showVal val="1"/>
          <c:showCatName val="0"/>
          <c:showSerName val="0"/>
          <c:showPercent val="0"/>
          <c:showBubbleSize val="0"/>
        </c:dLbls>
        <c:gapWidth val="100"/>
        <c:overlap val="-24"/>
        <c:axId val="736619408"/>
        <c:axId val="736611504"/>
      </c:barChart>
      <c:catAx>
        <c:axId val="736619408"/>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Year</a:t>
                </a:r>
              </a:p>
            </c:rich>
          </c:tx>
          <c:layout/>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36611504"/>
        <c:crosses val="autoZero"/>
        <c:auto val="1"/>
        <c:lblAlgn val="ctr"/>
        <c:lblOffset val="100"/>
        <c:noMultiLvlLbl val="0"/>
      </c:catAx>
      <c:valAx>
        <c:axId val="736611504"/>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BROADER</a:t>
                </a:r>
                <a:r>
                  <a:rPr lang="en-IN" baseline="0"/>
                  <a:t> CATEGORY TOTAL</a:t>
                </a:r>
                <a:endParaRPr lang="en-IN"/>
              </a:p>
            </c:rich>
          </c:tx>
          <c:layout/>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3661940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'Q2 - YoY Inflation Trends'!$B$55</c:f>
              <c:strCache>
                <c:ptCount val="1"/>
                <c:pt idx="0">
                  <c:v>GOLY</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trendline>
            <c:spPr>
              <a:ln w="19050" cap="rnd">
                <a:solidFill>
                  <a:schemeClr val="accent1"/>
                </a:solidFill>
              </a:ln>
              <a:effectLst/>
            </c:spPr>
            <c:trendlineType val="linear"/>
            <c:dispRSqr val="0"/>
            <c:dispEq val="0"/>
          </c:trendline>
          <c:cat>
            <c:numRef>
              <c:f>'Q2 - YoY Inflation Trends'!$A$56:$A$61</c:f>
              <c:numCache>
                <c:formatCode>General</c:formatCode>
                <c:ptCount val="6"/>
                <c:pt idx="0">
                  <c:v>2017</c:v>
                </c:pt>
                <c:pt idx="1">
                  <c:v>2018</c:v>
                </c:pt>
                <c:pt idx="2">
                  <c:v>2019</c:v>
                </c:pt>
                <c:pt idx="3">
                  <c:v>2020</c:v>
                </c:pt>
                <c:pt idx="4">
                  <c:v>2021</c:v>
                </c:pt>
                <c:pt idx="5">
                  <c:v>2022</c:v>
                </c:pt>
              </c:numCache>
            </c:numRef>
          </c:cat>
          <c:val>
            <c:numRef>
              <c:f>'Q2 - YoY Inflation Trends'!$B$56:$B$61</c:f>
              <c:numCache>
                <c:formatCode>0%</c:formatCode>
                <c:ptCount val="6"/>
                <c:pt idx="0">
                  <c:v>0</c:v>
                </c:pt>
                <c:pt idx="1">
                  <c:v>3.1950978386854789E-2</c:v>
                </c:pt>
                <c:pt idx="2">
                  <c:v>-4.9133528788316783E-2</c:v>
                </c:pt>
                <c:pt idx="3">
                  <c:v>2.8933982229659483E-2</c:v>
                </c:pt>
                <c:pt idx="4">
                  <c:v>0.20785816584646621</c:v>
                </c:pt>
                <c:pt idx="5">
                  <c:v>6.0180677143269801E-2</c:v>
                </c:pt>
              </c:numCache>
            </c:numRef>
          </c:val>
          <c:smooth val="0"/>
          <c:extLst>
            <c:ext xmlns:c16="http://schemas.microsoft.com/office/drawing/2014/chart" uri="{C3380CC4-5D6E-409C-BE32-E72D297353CC}">
              <c16:uniqueId val="{00000000-D680-47C1-8F73-5E76D737762A}"/>
            </c:ext>
          </c:extLst>
        </c:ser>
        <c:dLbls>
          <c:dLblPos val="t"/>
          <c:showLegendKey val="0"/>
          <c:showVal val="1"/>
          <c:showCatName val="0"/>
          <c:showSerName val="0"/>
          <c:showPercent val="0"/>
          <c:showBubbleSize val="0"/>
        </c:dLbls>
        <c:smooth val="0"/>
        <c:axId val="918092736"/>
        <c:axId val="918087744"/>
      </c:lineChart>
      <c:catAx>
        <c:axId val="918092736"/>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18087744"/>
        <c:crosses val="autoZero"/>
        <c:auto val="1"/>
        <c:lblAlgn val="ctr"/>
        <c:lblOffset val="100"/>
        <c:noMultiLvlLbl val="0"/>
      </c:catAx>
      <c:valAx>
        <c:axId val="918087744"/>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180927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sz="1600" b="1" i="0" u="none" strike="noStrike" baseline="0">
                <a:effectLst/>
              </a:rPr>
              <a:t>Percentage change Sub-category wise</a:t>
            </a:r>
            <a:r>
              <a:rPr lang="en-IN" sz="1600" b="1" i="0" u="none" strike="noStrike" baseline="0">
                <a:effectLst>
                  <a:outerShdw blurRad="50800" dist="38100" dir="5400000" algn="t" rotWithShape="0">
                    <a:prstClr val="black">
                      <a:alpha val="40000"/>
                    </a:prstClr>
                  </a:outerShdw>
                </a:effectLst>
              </a:rPr>
              <a:t> </a:t>
            </a:r>
            <a:endParaRPr lang="en-IN"/>
          </a:p>
        </c:rich>
      </c:tx>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spPr>
            <a:ln w="34925" cap="rnd">
              <a:solidFill>
                <a:schemeClr val="accent1"/>
              </a:solidFill>
              <a:round/>
            </a:ln>
            <a:effectLst>
              <a:outerShdw blurRad="57150" dist="19050" dir="5400000" algn="ctr" rotWithShape="0">
                <a:srgbClr val="000000">
                  <a:alpha val="63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strRef>
              <c:f>'Q3 - Food Inflation Analysis'!$C$51:$N$51</c:f>
              <c:strCache>
                <c:ptCount val="12"/>
                <c:pt idx="0">
                  <c:v>Sum of Prepared meals, snacks, sweets etc.</c:v>
                </c:pt>
                <c:pt idx="1">
                  <c:v>Sum of Cereals and products</c:v>
                </c:pt>
                <c:pt idx="2">
                  <c:v>Sum of Meat and fish</c:v>
                </c:pt>
                <c:pt idx="3">
                  <c:v>Sum of Egg</c:v>
                </c:pt>
                <c:pt idx="4">
                  <c:v>Sum of Milk and products</c:v>
                </c:pt>
                <c:pt idx="5">
                  <c:v>Sum of Fruits</c:v>
                </c:pt>
                <c:pt idx="6">
                  <c:v>Sum of Sugar and Confectionery</c:v>
                </c:pt>
                <c:pt idx="7">
                  <c:v>Sum of Pulses and products</c:v>
                </c:pt>
                <c:pt idx="8">
                  <c:v>Sum of Vegetables</c:v>
                </c:pt>
                <c:pt idx="9">
                  <c:v>Sum of Non-alcoholic beverages</c:v>
                </c:pt>
                <c:pt idx="10">
                  <c:v>Sum of Oils and fats</c:v>
                </c:pt>
                <c:pt idx="11">
                  <c:v>Sum of Spices</c:v>
                </c:pt>
              </c:strCache>
            </c:strRef>
          </c:cat>
          <c:val>
            <c:numRef>
              <c:f>'Q3 - Food Inflation Analysis'!$C$52:$N$52</c:f>
              <c:numCache>
                <c:formatCode>0.0%</c:formatCode>
                <c:ptCount val="12"/>
                <c:pt idx="0">
                  <c:v>5.6008700380641541E-2</c:v>
                </c:pt>
                <c:pt idx="1">
                  <c:v>0.12064516129032254</c:v>
                </c:pt>
                <c:pt idx="2">
                  <c:v>-2.3245214220601662E-2</c:v>
                </c:pt>
                <c:pt idx="3">
                  <c:v>1.4051522248243353E-2</c:v>
                </c:pt>
                <c:pt idx="4">
                  <c:v>8.262967430639323E-2</c:v>
                </c:pt>
                <c:pt idx="5">
                  <c:v>1.4731879787860835E-2</c:v>
                </c:pt>
                <c:pt idx="6">
                  <c:v>2.3352793994995791E-2</c:v>
                </c:pt>
                <c:pt idx="7">
                  <c:v>6.8776628119293859E-2</c:v>
                </c:pt>
                <c:pt idx="8">
                  <c:v>-0.1168403730115195</c:v>
                </c:pt>
                <c:pt idx="9">
                  <c:v>3.2757593805836871E-2</c:v>
                </c:pt>
                <c:pt idx="10">
                  <c:v>-0.15380786460925833</c:v>
                </c:pt>
                <c:pt idx="11">
                  <c:v>0.1651523249599145</c:v>
                </c:pt>
              </c:numCache>
            </c:numRef>
          </c:val>
          <c:smooth val="0"/>
          <c:extLst>
            <c:ext xmlns:c16="http://schemas.microsoft.com/office/drawing/2014/chart" uri="{C3380CC4-5D6E-409C-BE32-E72D297353CC}">
              <c16:uniqueId val="{00000000-E61C-4648-98F5-2C5FD1D730F0}"/>
            </c:ext>
          </c:extLst>
        </c:ser>
        <c:dLbls>
          <c:dLblPos val="t"/>
          <c:showLegendKey val="0"/>
          <c:showVal val="1"/>
          <c:showCatName val="0"/>
          <c:showSerName val="0"/>
          <c:showPercent val="0"/>
          <c:showBubbleSize val="0"/>
        </c:dLbls>
        <c:smooth val="0"/>
        <c:axId val="1099265472"/>
        <c:axId val="1099272544"/>
      </c:lineChart>
      <c:catAx>
        <c:axId val="1099265472"/>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099272544"/>
        <c:crosses val="autoZero"/>
        <c:auto val="1"/>
        <c:lblAlgn val="ctr"/>
        <c:lblOffset val="100"/>
        <c:noMultiLvlLbl val="0"/>
      </c:catAx>
      <c:valAx>
        <c:axId val="1099272544"/>
        <c:scaling>
          <c:orientation val="minMax"/>
        </c:scaling>
        <c:delete val="0"/>
        <c:axPos val="l"/>
        <c:majorGridlines>
          <c:spPr>
            <a:ln w="9525" cap="flat" cmpd="sng" algn="ctr">
              <a:solidFill>
                <a:schemeClr val="lt1">
                  <a:lumMod val="95000"/>
                  <a:alpha val="10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0992654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21</xdr:col>
      <xdr:colOff>594360</xdr:colOff>
      <xdr:row>33</xdr:row>
      <xdr:rowOff>167640</xdr:rowOff>
    </xdr:to>
    <xdr:sp macro="" textlink="">
      <xdr:nvSpPr>
        <xdr:cNvPr id="2" name="TextBox 1"/>
        <xdr:cNvSpPr txBox="1"/>
      </xdr:nvSpPr>
      <xdr:spPr>
        <a:xfrm>
          <a:off x="0" y="0"/>
          <a:ext cx="13395960" cy="6202680"/>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u="sng">
              <a:solidFill>
                <a:schemeClr val="dk1"/>
              </a:solidFill>
              <a:effectLst/>
              <a:latin typeface="+mn-lt"/>
              <a:ea typeface="+mn-ea"/>
              <a:cs typeface="+mn-cs"/>
            </a:rPr>
            <a:t>India Consumer Price Index (CPI) Inflation Analysis:</a:t>
          </a:r>
        </a:p>
        <a:p>
          <a:endParaRPr lang="en-IN" sz="1400" b="1" u="sng">
            <a:solidFill>
              <a:schemeClr val="dk1"/>
            </a:solidFill>
            <a:effectLst/>
            <a:latin typeface="+mn-lt"/>
            <a:ea typeface="+mn-ea"/>
            <a:cs typeface="+mn-cs"/>
          </a:endParaRPr>
        </a:p>
        <a:p>
          <a:r>
            <a:rPr lang="en-IN" sz="1100">
              <a:solidFill>
                <a:schemeClr val="dk1"/>
              </a:solidFill>
              <a:effectLst/>
              <a:latin typeface="+mn-lt"/>
              <a:ea typeface="+mn-ea"/>
              <a:cs typeface="+mn-cs"/>
            </a:rPr>
            <a:t>Comprehensive data analysis and deep dive into India's retail inflation trends, examining category contributions, post-pandemic impacts, and macroeconomic drivers (2017–2023).</a:t>
          </a:r>
        </a:p>
        <a:p>
          <a:r>
            <a:rPr lang="en-IN" sz="1100" b="1">
              <a:solidFill>
                <a:schemeClr val="dk1"/>
              </a:solidFill>
              <a:effectLst/>
              <a:latin typeface="+mn-lt"/>
              <a:ea typeface="+mn-ea"/>
              <a:cs typeface="+mn-cs"/>
            </a:rPr>
            <a:t>📌 Executive Summary of Findings</a:t>
          </a:r>
        </a:p>
        <a:p>
          <a:r>
            <a:rPr lang="en-IN" sz="1100" b="1">
              <a:solidFill>
                <a:schemeClr val="dk1"/>
              </a:solidFill>
              <a:effectLst/>
              <a:latin typeface="+mn-lt"/>
              <a:ea typeface="+mn-ea"/>
              <a:cs typeface="+mn-cs"/>
            </a:rPr>
            <a:t>Q1: CPI Basket Category Contributions (Latest Month: May 2023)</a:t>
          </a:r>
        </a:p>
        <a:p>
          <a:r>
            <a:rPr lang="en-IN" sz="1100" b="1">
              <a:solidFill>
                <a:schemeClr val="dk1"/>
              </a:solidFill>
              <a:effectLst/>
              <a:latin typeface="+mn-lt"/>
              <a:ea typeface="+mn-ea"/>
              <a:cs typeface="+mn-cs"/>
            </a:rPr>
            <a:t>Key Finding:</a:t>
          </a:r>
          <a:r>
            <a:rPr lang="en-IN" sz="1100">
              <a:solidFill>
                <a:schemeClr val="dk1"/>
              </a:solidFill>
              <a:effectLst/>
              <a:latin typeface="+mn-lt"/>
              <a:ea typeface="+mn-ea"/>
              <a:cs typeface="+mn-cs"/>
            </a:rPr>
            <a:t> Based on the latest available monthly data for May 2023, </a:t>
          </a:r>
          <a:r>
            <a:rPr lang="en-IN" sz="1100" b="1">
              <a:solidFill>
                <a:schemeClr val="dk1"/>
              </a:solidFill>
              <a:effectLst/>
              <a:latin typeface="+mn-lt"/>
              <a:ea typeface="+mn-ea"/>
              <a:cs typeface="+mn-cs"/>
            </a:rPr>
            <a:t>Pan, Tobacco &amp; Intoxicants</a:t>
          </a:r>
          <a:r>
            <a:rPr lang="en-IN" sz="1100">
              <a:solidFill>
                <a:schemeClr val="dk1"/>
              </a:solidFill>
              <a:effectLst/>
              <a:latin typeface="+mn-lt"/>
              <a:ea typeface="+mn-ea"/>
              <a:cs typeface="+mn-cs"/>
            </a:rPr>
            <a:t> recorded the highest relative index contribution of </a:t>
          </a:r>
          <a:r>
            <a:rPr lang="en-IN" sz="1100" b="1">
              <a:solidFill>
                <a:schemeClr val="dk1"/>
              </a:solidFill>
              <a:effectLst/>
              <a:latin typeface="+mn-lt"/>
              <a:ea typeface="+mn-ea"/>
              <a:cs typeface="+mn-cs"/>
            </a:rPr>
            <a:t>18.3%</a:t>
          </a:r>
          <a:r>
            <a:rPr lang="en-IN" sz="1100">
              <a:solidFill>
                <a:schemeClr val="dk1"/>
              </a:solidFill>
              <a:effectLst/>
              <a:latin typeface="+mn-lt"/>
              <a:ea typeface="+mn-ea"/>
              <a:cs typeface="+mn-cs"/>
            </a:rPr>
            <a:t> towards the overall CPI calculation framework.</a:t>
          </a:r>
        </a:p>
        <a:p>
          <a:endParaRPr lang="en-IN" sz="1100">
            <a:solidFill>
              <a:schemeClr val="dk1"/>
            </a:solidFill>
            <a:effectLst/>
            <a:latin typeface="+mn-lt"/>
            <a:ea typeface="+mn-ea"/>
            <a:cs typeface="+mn-cs"/>
          </a:endParaRPr>
        </a:p>
        <a:p>
          <a:r>
            <a:rPr lang="en-IN" sz="1100" b="1">
              <a:solidFill>
                <a:schemeClr val="dk1"/>
              </a:solidFill>
              <a:effectLst/>
              <a:latin typeface="+mn-lt"/>
              <a:ea typeface="+mn-ea"/>
              <a:cs typeface="+mn-cs"/>
            </a:rPr>
            <a:t>Methodology:</a:t>
          </a:r>
          <a:r>
            <a:rPr lang="en-IN" sz="1100">
              <a:solidFill>
                <a:schemeClr val="dk1"/>
              </a:solidFill>
              <a:effectLst/>
              <a:latin typeface="+mn-lt"/>
              <a:ea typeface="+mn-ea"/>
              <a:cs typeface="+mn-cs"/>
            </a:rPr>
            <a:t> Evaluated underlying index values across broader bucket combinations to determine relative category weights summing to 100%.</a:t>
          </a:r>
        </a:p>
        <a:p>
          <a:r>
            <a:rPr lang="en-IN" sz="1100" b="1">
              <a:solidFill>
                <a:schemeClr val="dk1"/>
              </a:solidFill>
              <a:effectLst/>
              <a:latin typeface="+mn-lt"/>
              <a:ea typeface="+mn-ea"/>
              <a:cs typeface="+mn-cs"/>
            </a:rPr>
            <a:t>Q2: Year-over-Year (Y-o-Y) Inflation Trends (2017–2023)</a:t>
          </a:r>
        </a:p>
        <a:p>
          <a:r>
            <a:rPr lang="en-IN" sz="1100" b="1">
              <a:solidFill>
                <a:schemeClr val="dk1"/>
              </a:solidFill>
              <a:effectLst/>
              <a:latin typeface="+mn-lt"/>
              <a:ea typeface="+mn-ea"/>
              <a:cs typeface="+mn-cs"/>
            </a:rPr>
            <a:t>Peak Inflation Year:</a:t>
          </a:r>
          <a:r>
            <a:rPr lang="en-IN" sz="1100">
              <a:solidFill>
                <a:schemeClr val="dk1"/>
              </a:solidFill>
              <a:effectLst/>
              <a:latin typeface="+mn-lt"/>
              <a:ea typeface="+mn-ea"/>
              <a:cs typeface="+mn-cs"/>
            </a:rPr>
            <a:t> </a:t>
          </a:r>
          <a:r>
            <a:rPr lang="en-IN" sz="1100" b="1">
              <a:solidFill>
                <a:schemeClr val="dk1"/>
              </a:solidFill>
              <a:effectLst/>
              <a:latin typeface="+mn-lt"/>
              <a:ea typeface="+mn-ea"/>
              <a:cs typeface="+mn-cs"/>
            </a:rPr>
            <a:t>2022</a:t>
          </a:r>
          <a:r>
            <a:rPr lang="en-IN" sz="1100">
              <a:solidFill>
                <a:schemeClr val="dk1"/>
              </a:solidFill>
              <a:effectLst/>
              <a:latin typeface="+mn-lt"/>
              <a:ea typeface="+mn-ea"/>
              <a:cs typeface="+mn-cs"/>
            </a:rPr>
            <a:t> recorded the highest overall average annual inflation level across the 2017–2022 timeframe, while </a:t>
          </a:r>
          <a:r>
            <a:rPr lang="en-IN" sz="1100" b="1">
              <a:solidFill>
                <a:schemeClr val="dk1"/>
              </a:solidFill>
              <a:effectLst/>
              <a:latin typeface="+mn-lt"/>
              <a:ea typeface="+mn-ea"/>
              <a:cs typeface="+mn-cs"/>
            </a:rPr>
            <a:t>2021</a:t>
          </a:r>
          <a:r>
            <a:rPr lang="en-IN" sz="1100">
              <a:solidFill>
                <a:schemeClr val="dk1"/>
              </a:solidFill>
              <a:effectLst/>
              <a:latin typeface="+mn-lt"/>
              <a:ea typeface="+mn-ea"/>
              <a:cs typeface="+mn-cs"/>
            </a:rPr>
            <a:t> registered the highest annual growth rate jump at </a:t>
          </a:r>
          <a:r>
            <a:rPr lang="en-IN" sz="1100" b="1">
              <a:solidFill>
                <a:schemeClr val="dk1"/>
              </a:solidFill>
              <a:effectLst/>
              <a:latin typeface="+mn-lt"/>
              <a:ea typeface="+mn-ea"/>
              <a:cs typeface="+mn-cs"/>
            </a:rPr>
            <a:t>21%</a:t>
          </a:r>
          <a:r>
            <a:rPr lang="en-IN" sz="1100">
              <a:solidFill>
                <a:schemeClr val="dk1"/>
              </a:solidFill>
              <a:effectLst/>
              <a:latin typeface="+mn-lt"/>
              <a:ea typeface="+mn-ea"/>
              <a:cs typeface="+mn-cs"/>
            </a:rPr>
            <a:t> (excluding partial 2023 data).</a:t>
          </a:r>
        </a:p>
        <a:p>
          <a:r>
            <a:rPr lang="en-IN" sz="1100" b="1">
              <a:solidFill>
                <a:schemeClr val="dk1"/>
              </a:solidFill>
              <a:effectLst/>
              <a:latin typeface="+mn-lt"/>
              <a:ea typeface="+mn-ea"/>
              <a:cs typeface="+mn-cs"/>
            </a:rPr>
            <a:t>Core Drivers (2022 Peak):</a:t>
          </a:r>
          <a:endParaRPr lang="en-IN" sz="1100">
            <a:solidFill>
              <a:schemeClr val="dk1"/>
            </a:solidFill>
            <a:effectLst/>
            <a:latin typeface="+mn-lt"/>
            <a:ea typeface="+mn-ea"/>
            <a:cs typeface="+mn-cs"/>
          </a:endParaRPr>
        </a:p>
        <a:p>
          <a:pPr lvl="1"/>
          <a:r>
            <a:rPr lang="en-IN" sz="1100" b="1">
              <a:solidFill>
                <a:schemeClr val="dk1"/>
              </a:solidFill>
              <a:effectLst/>
              <a:latin typeface="+mn-lt"/>
              <a:ea typeface="+mn-ea"/>
              <a:cs typeface="+mn-cs"/>
            </a:rPr>
            <a:t>Food &amp; Beverages Surge:</a:t>
          </a:r>
          <a:r>
            <a:rPr lang="en-IN" sz="1100">
              <a:solidFill>
                <a:schemeClr val="dk1"/>
              </a:solidFill>
              <a:effectLst/>
              <a:latin typeface="+mn-lt"/>
              <a:ea typeface="+mn-ea"/>
              <a:cs typeface="+mn-cs"/>
            </a:rPr>
            <a:t> Hit a cumulative index high of </a:t>
          </a:r>
          <a:r>
            <a:rPr lang="en-IN" sz="1100" b="1">
              <a:solidFill>
                <a:schemeClr val="dk1"/>
              </a:solidFill>
              <a:effectLst/>
              <a:latin typeface="+mn-lt"/>
              <a:ea typeface="+mn-ea"/>
              <a:cs typeface="+mn-cs"/>
            </a:rPr>
            <a:t>24,836</a:t>
          </a:r>
          <a:r>
            <a:rPr lang="en-IN" sz="1100">
              <a:solidFill>
                <a:schemeClr val="dk1"/>
              </a:solidFill>
              <a:effectLst/>
              <a:latin typeface="+mn-lt"/>
              <a:ea typeface="+mn-ea"/>
              <a:cs typeface="+mn-cs"/>
            </a:rPr>
            <a:t>, driven by global supply chain bottlenecks, rising fertilizer expenses, and erratic weather (heatwaves and unseasonal rains).</a:t>
          </a:r>
        </a:p>
        <a:p>
          <a:pPr lvl="1"/>
          <a:r>
            <a:rPr lang="en-IN" sz="1100" b="1">
              <a:solidFill>
                <a:schemeClr val="dk1"/>
              </a:solidFill>
              <a:effectLst/>
              <a:latin typeface="+mn-lt"/>
              <a:ea typeface="+mn-ea"/>
              <a:cs typeface="+mn-cs"/>
            </a:rPr>
            <a:t>Fuel and Light Shock:</a:t>
          </a:r>
          <a:r>
            <a:rPr lang="en-IN" sz="1100">
              <a:solidFill>
                <a:schemeClr val="dk1"/>
              </a:solidFill>
              <a:effectLst/>
              <a:latin typeface="+mn-lt"/>
              <a:ea typeface="+mn-ea"/>
              <a:cs typeface="+mn-cs"/>
            </a:rPr>
            <a:t> Crossed the </a:t>
          </a:r>
          <a:r>
            <a:rPr lang="en-IN" sz="1100" b="1">
              <a:solidFill>
                <a:schemeClr val="dk1"/>
              </a:solidFill>
              <a:effectLst/>
              <a:latin typeface="+mn-lt"/>
              <a:ea typeface="+mn-ea"/>
              <a:cs typeface="+mn-cs"/>
            </a:rPr>
            <a:t>2,102</a:t>
          </a:r>
          <a:r>
            <a:rPr lang="en-IN" sz="1100">
              <a:solidFill>
                <a:schemeClr val="dk1"/>
              </a:solidFill>
              <a:effectLst/>
              <a:latin typeface="+mn-lt"/>
              <a:ea typeface="+mn-ea"/>
              <a:cs typeface="+mn-cs"/>
            </a:rPr>
            <a:t> mark (up from 1,909 in 2021) due to geopolitical tensions and the Russia-Ukraine conflict, causing international energy costs (crude oil, natural gas, coal) to skyrocket.</a:t>
          </a:r>
        </a:p>
        <a:p>
          <a:pPr lvl="1"/>
          <a:r>
            <a:rPr lang="en-IN" sz="1100" b="1">
              <a:solidFill>
                <a:schemeClr val="dk1"/>
              </a:solidFill>
              <a:effectLst/>
              <a:latin typeface="+mn-lt"/>
              <a:ea typeface="+mn-ea"/>
              <a:cs typeface="+mn-cs"/>
            </a:rPr>
            <a:t>Broad-Based Cost of Living Spikes:</a:t>
          </a:r>
          <a:r>
            <a:rPr lang="en-IN" sz="1100">
              <a:solidFill>
                <a:schemeClr val="dk1"/>
              </a:solidFill>
              <a:effectLst/>
              <a:latin typeface="+mn-lt"/>
              <a:ea typeface="+mn-ea"/>
              <a:cs typeface="+mn-cs"/>
            </a:rPr>
            <a:t> Universal increases across Clothing ($2,114$), Housing ($2,017$), and Miscellaneous Services ($12,106$) as post-pandemic demand rapidly outpaced supply.</a:t>
          </a:r>
        </a:p>
        <a:p>
          <a:pPr lvl="1"/>
          <a:endParaRPr lang="en-IN" sz="1100">
            <a:solidFill>
              <a:schemeClr val="dk1"/>
            </a:solidFill>
            <a:effectLst/>
            <a:latin typeface="+mn-lt"/>
            <a:ea typeface="+mn-ea"/>
            <a:cs typeface="+mn-cs"/>
          </a:endParaRPr>
        </a:p>
        <a:p>
          <a:r>
            <a:rPr lang="en-IN" sz="1100" b="1">
              <a:solidFill>
                <a:schemeClr val="dk1"/>
              </a:solidFill>
              <a:effectLst/>
              <a:latin typeface="+mn-lt"/>
              <a:ea typeface="+mn-ea"/>
              <a:cs typeface="+mn-cs"/>
            </a:rPr>
            <a:t>Q3: Broader Food Bucket Trends (12 Months Ending May 2023)</a:t>
          </a:r>
        </a:p>
        <a:p>
          <a:r>
            <a:rPr lang="en-IN" sz="1100" b="1">
              <a:solidFill>
                <a:schemeClr val="dk1"/>
              </a:solidFill>
              <a:effectLst/>
              <a:latin typeface="+mn-lt"/>
              <a:ea typeface="+mn-ea"/>
              <a:cs typeface="+mn-cs"/>
            </a:rPr>
            <a:t>Month-on-Month (MoM) Food Inflation Extremes:</a:t>
          </a:r>
          <a:endParaRPr lang="en-IN" sz="1100">
            <a:solidFill>
              <a:schemeClr val="dk1"/>
            </a:solidFill>
            <a:effectLst/>
            <a:latin typeface="+mn-lt"/>
            <a:ea typeface="+mn-ea"/>
            <a:cs typeface="+mn-cs"/>
          </a:endParaRPr>
        </a:p>
        <a:p>
          <a:pPr lvl="1"/>
          <a:r>
            <a:rPr lang="en-IN" sz="1100" b="1">
              <a:solidFill>
                <a:schemeClr val="dk1"/>
              </a:solidFill>
              <a:effectLst/>
              <a:latin typeface="+mn-lt"/>
              <a:ea typeface="+mn-ea"/>
              <a:cs typeface="+mn-cs"/>
            </a:rPr>
            <a:t>Highest Inflation Month:</a:t>
          </a:r>
          <a:r>
            <a:rPr lang="en-IN" sz="1100">
              <a:solidFill>
                <a:schemeClr val="dk1"/>
              </a:solidFill>
              <a:effectLst/>
              <a:latin typeface="+mn-lt"/>
              <a:ea typeface="+mn-ea"/>
              <a:cs typeface="+mn-cs"/>
            </a:rPr>
            <a:t> </a:t>
          </a:r>
          <a:r>
            <a:rPr lang="en-IN" sz="1100" b="1">
              <a:solidFill>
                <a:schemeClr val="dk1"/>
              </a:solidFill>
              <a:effectLst/>
              <a:latin typeface="+mn-lt"/>
              <a:ea typeface="+mn-ea"/>
              <a:cs typeface="+mn-cs"/>
            </a:rPr>
            <a:t>October 2022</a:t>
          </a:r>
          <a:r>
            <a:rPr lang="en-IN" sz="1100">
              <a:solidFill>
                <a:schemeClr val="dk1"/>
              </a:solidFill>
              <a:effectLst/>
              <a:latin typeface="+mn-lt"/>
              <a:ea typeface="+mn-ea"/>
              <a:cs typeface="+mn-cs"/>
            </a:rPr>
            <a:t> ($+1.01\%$)</a:t>
          </a:r>
        </a:p>
        <a:p>
          <a:pPr lvl="1"/>
          <a:r>
            <a:rPr lang="en-IN" sz="1100" b="1">
              <a:solidFill>
                <a:schemeClr val="dk1"/>
              </a:solidFill>
              <a:effectLst/>
              <a:latin typeface="+mn-lt"/>
              <a:ea typeface="+mn-ea"/>
              <a:cs typeface="+mn-cs"/>
            </a:rPr>
            <a:t>Lowest Inflation Month:</a:t>
          </a:r>
          <a:r>
            <a:rPr lang="en-IN" sz="1100">
              <a:solidFill>
                <a:schemeClr val="dk1"/>
              </a:solidFill>
              <a:effectLst/>
              <a:latin typeface="+mn-lt"/>
              <a:ea typeface="+mn-ea"/>
              <a:cs typeface="+mn-cs"/>
            </a:rPr>
            <a:t> </a:t>
          </a:r>
          <a:r>
            <a:rPr lang="en-IN" sz="1100" b="1">
              <a:solidFill>
                <a:schemeClr val="dk1"/>
              </a:solidFill>
              <a:effectLst/>
              <a:latin typeface="+mn-lt"/>
              <a:ea typeface="+mn-ea"/>
              <a:cs typeface="+mn-cs"/>
            </a:rPr>
            <a:t>December 2022</a:t>
          </a:r>
          <a:r>
            <a:rPr lang="en-IN" sz="1100">
              <a:solidFill>
                <a:schemeClr val="dk1"/>
              </a:solidFill>
              <a:effectLst/>
              <a:latin typeface="+mn-lt"/>
              <a:ea typeface="+mn-ea"/>
              <a:cs typeface="+mn-cs"/>
            </a:rPr>
            <a:t> ($-1.35\%$)</a:t>
          </a:r>
        </a:p>
        <a:p>
          <a:r>
            <a:rPr lang="en-IN" sz="1100" b="1">
              <a:solidFill>
                <a:schemeClr val="dk1"/>
              </a:solidFill>
              <a:effectLst/>
              <a:latin typeface="+mn-lt"/>
              <a:ea typeface="+mn-ea"/>
              <a:cs typeface="+mn-cs"/>
            </a:rPr>
            <a:t>Biggest Individual Sub-Category Driver:</a:t>
          </a:r>
          <a:r>
            <a:rPr lang="en-IN" sz="1100">
              <a:solidFill>
                <a:schemeClr val="dk1"/>
              </a:solidFill>
              <a:effectLst/>
              <a:latin typeface="+mn-lt"/>
              <a:ea typeface="+mn-ea"/>
              <a:cs typeface="+mn-cs"/>
            </a:rPr>
            <a:t> </a:t>
          </a:r>
          <a:r>
            <a:rPr lang="en-IN" sz="1100" b="1">
              <a:solidFill>
                <a:schemeClr val="dk1"/>
              </a:solidFill>
              <a:effectLst/>
              <a:latin typeface="+mn-lt"/>
              <a:ea typeface="+mn-ea"/>
              <a:cs typeface="+mn-cs"/>
            </a:rPr>
            <a:t>Spices</a:t>
          </a:r>
          <a:r>
            <a:rPr lang="en-IN" sz="1100">
              <a:solidFill>
                <a:schemeClr val="dk1"/>
              </a:solidFill>
              <a:effectLst/>
              <a:latin typeface="+mn-lt"/>
              <a:ea typeface="+mn-ea"/>
              <a:cs typeface="+mn-cs"/>
            </a:rPr>
            <a:t> emerged as the primary driver within the food bucket, recording the highest absolute percentage change of </a:t>
          </a:r>
          <a:r>
            <a:rPr lang="en-IN" sz="1100" b="1">
              <a:solidFill>
                <a:schemeClr val="dk1"/>
              </a:solidFill>
              <a:effectLst/>
              <a:latin typeface="+mn-lt"/>
              <a:ea typeface="+mn-ea"/>
              <a:cs typeface="+mn-cs"/>
            </a:rPr>
            <a:t>16.5%</a:t>
          </a:r>
          <a:r>
            <a:rPr lang="en-IN" sz="1100">
              <a:solidFill>
                <a:schemeClr val="dk1"/>
              </a:solidFill>
              <a:effectLst/>
              <a:latin typeface="+mn-lt"/>
              <a:ea typeface="+mn-ea"/>
              <a:cs typeface="+mn-cs"/>
            </a:rPr>
            <a:t> over the 12-month period.</a:t>
          </a:r>
        </a:p>
        <a:p>
          <a:endParaRPr lang="en-IN" sz="1100">
            <a:solidFill>
              <a:schemeClr val="dk1"/>
            </a:solidFill>
            <a:effectLst/>
            <a:latin typeface="+mn-lt"/>
            <a:ea typeface="+mn-ea"/>
            <a:cs typeface="+mn-cs"/>
          </a:endParaRPr>
        </a:p>
        <a:p>
          <a:r>
            <a:rPr lang="en-IN" sz="1100" b="1">
              <a:solidFill>
                <a:schemeClr val="dk1"/>
              </a:solidFill>
              <a:effectLst/>
              <a:latin typeface="+mn-lt"/>
              <a:ea typeface="+mn-ea"/>
              <a:cs typeface="+mn-cs"/>
            </a:rPr>
            <a:t>Q4: Impact of the COVID-19 Pandemic (Pre vs. Post March 2020)</a:t>
          </a:r>
        </a:p>
        <a:p>
          <a:r>
            <a:rPr lang="en-IN" sz="1100" i="1">
              <a:solidFill>
                <a:schemeClr val="dk1"/>
              </a:solidFill>
              <a:effectLst/>
              <a:latin typeface="+mn-lt"/>
              <a:ea typeface="+mn-ea"/>
              <a:cs typeface="+mn-cs"/>
            </a:rPr>
            <a:t>Comparison Window:</a:t>
          </a:r>
          <a:r>
            <a:rPr lang="en-IN" sz="1100">
              <a:solidFill>
                <a:schemeClr val="dk1"/>
              </a:solidFill>
              <a:effectLst/>
              <a:latin typeface="+mn-lt"/>
              <a:ea typeface="+mn-ea"/>
              <a:cs typeface="+mn-cs"/>
            </a:rPr>
            <a:t> Pre-COVID (Mar'19–Feb'20) vs. Post-COVID (Mar'20–Feb'21)</a:t>
          </a:r>
        </a:p>
        <a:p>
          <a:r>
            <a:rPr lang="en-IN" sz="1100" b="1">
              <a:solidFill>
                <a:schemeClr val="dk1"/>
              </a:solidFill>
              <a:effectLst/>
              <a:latin typeface="+mn-lt"/>
              <a:ea typeface="+mn-ea"/>
              <a:cs typeface="+mn-cs"/>
            </a:rPr>
            <a:t>Food &amp; Beverages:</a:t>
          </a:r>
          <a:r>
            <a:rPr lang="en-IN" sz="1100">
              <a:solidFill>
                <a:schemeClr val="dk1"/>
              </a:solidFill>
              <a:effectLst/>
              <a:latin typeface="+mn-lt"/>
              <a:ea typeface="+mn-ea"/>
              <a:cs typeface="+mn-cs"/>
            </a:rPr>
            <a:t> Average monthly inflation decelerated from </a:t>
          </a:r>
          <a:r>
            <a:rPr lang="en-IN" sz="1100" b="1">
              <a:solidFill>
                <a:schemeClr val="dk1"/>
              </a:solidFill>
              <a:effectLst/>
              <a:latin typeface="+mn-lt"/>
              <a:ea typeface="+mn-ea"/>
              <a:cs typeface="+mn-cs"/>
            </a:rPr>
            <a:t>0.9% (Pre)</a:t>
          </a:r>
          <a:r>
            <a:rPr lang="en-IN" sz="1100">
              <a:solidFill>
                <a:schemeClr val="dk1"/>
              </a:solidFill>
              <a:effectLst/>
              <a:latin typeface="+mn-lt"/>
              <a:ea typeface="+mn-ea"/>
              <a:cs typeface="+mn-cs"/>
            </a:rPr>
            <a:t> down to </a:t>
          </a:r>
          <a:r>
            <a:rPr lang="en-IN" sz="1100" b="1">
              <a:solidFill>
                <a:schemeClr val="dk1"/>
              </a:solidFill>
              <a:effectLst/>
              <a:latin typeface="+mn-lt"/>
              <a:ea typeface="+mn-ea"/>
              <a:cs typeface="+mn-cs"/>
            </a:rPr>
            <a:t>0.4% (Post)</a:t>
          </a:r>
          <a:r>
            <a:rPr lang="en-IN" sz="1100">
              <a:solidFill>
                <a:schemeClr val="dk1"/>
              </a:solidFill>
              <a:effectLst/>
              <a:latin typeface="+mn-lt"/>
              <a:ea typeface="+mn-ea"/>
              <a:cs typeface="+mn-cs"/>
            </a:rPr>
            <a:t> as supply chains and agricultural logistics stabilized.</a:t>
          </a:r>
        </a:p>
        <a:p>
          <a:r>
            <a:rPr lang="en-IN" sz="1100" b="1">
              <a:solidFill>
                <a:schemeClr val="dk1"/>
              </a:solidFill>
              <a:effectLst/>
              <a:latin typeface="+mn-lt"/>
              <a:ea typeface="+mn-ea"/>
              <a:cs typeface="+mn-cs"/>
            </a:rPr>
            <a:t>Transport &amp; Communication:</a:t>
          </a:r>
          <a:r>
            <a:rPr lang="en-IN" sz="1100">
              <a:solidFill>
                <a:schemeClr val="dk1"/>
              </a:solidFill>
              <a:effectLst/>
              <a:latin typeface="+mn-lt"/>
              <a:ea typeface="+mn-ea"/>
              <a:cs typeface="+mn-cs"/>
            </a:rPr>
            <a:t> Experienced a sharp escalation, </a:t>
          </a:r>
          <a:r>
            <a:rPr lang="en-IN" sz="1100" b="1">
              <a:solidFill>
                <a:schemeClr val="dk1"/>
              </a:solidFill>
              <a:effectLst/>
              <a:latin typeface="+mn-lt"/>
              <a:ea typeface="+mn-ea"/>
              <a:cs typeface="+mn-cs"/>
            </a:rPr>
            <a:t>doubling from 0.5% to 0.9%</a:t>
          </a:r>
          <a:r>
            <a:rPr lang="en-IN" sz="1100">
              <a:solidFill>
                <a:schemeClr val="dk1"/>
              </a:solidFill>
              <a:effectLst/>
              <a:latin typeface="+mn-lt"/>
              <a:ea typeface="+mn-ea"/>
              <a:cs typeface="+mn-cs"/>
            </a:rPr>
            <a:t> due to fuel price volatility and pandemic-induced movement restrictions.</a:t>
          </a:r>
        </a:p>
        <a:p>
          <a:r>
            <a:rPr lang="en-IN" sz="1100" b="1">
              <a:solidFill>
                <a:schemeClr val="dk1"/>
              </a:solidFill>
              <a:effectLst/>
              <a:latin typeface="+mn-lt"/>
              <a:ea typeface="+mn-ea"/>
              <a:cs typeface="+mn-cs"/>
            </a:rPr>
            <a:t>Housing &amp; Fuel/Light:</a:t>
          </a:r>
          <a:r>
            <a:rPr lang="en-IN" sz="1100">
              <a:solidFill>
                <a:schemeClr val="dk1"/>
              </a:solidFill>
              <a:effectLst/>
              <a:latin typeface="+mn-lt"/>
              <a:ea typeface="+mn-ea"/>
              <a:cs typeface="+mn-cs"/>
            </a:rPr>
            <a:t> Remained relatively stable or saw minor downward adjustments (Housing: 0.4% to 0.3%; Fuel &amp; Light: 0.5% to 0.3%).</a:t>
          </a:r>
        </a:p>
        <a:p>
          <a:r>
            <a:rPr lang="en-IN" sz="1100" b="1">
              <a:solidFill>
                <a:schemeClr val="dk1"/>
              </a:solidFill>
              <a:effectLst/>
              <a:latin typeface="+mn-lt"/>
              <a:ea typeface="+mn-ea"/>
              <a:cs typeface="+mn-cs"/>
            </a:rPr>
            <a:t>Health:</a:t>
          </a:r>
          <a:r>
            <a:rPr lang="en-IN" sz="1100">
              <a:solidFill>
                <a:schemeClr val="dk1"/>
              </a:solidFill>
              <a:effectLst/>
              <a:latin typeface="+mn-lt"/>
              <a:ea typeface="+mn-ea"/>
              <a:cs typeface="+mn-cs"/>
            </a:rPr>
            <a:t> Maintained steady upward pressure, ticking up slightly from </a:t>
          </a:r>
          <a:r>
            <a:rPr lang="en-IN" sz="1100" b="1">
              <a:solidFill>
                <a:schemeClr val="dk1"/>
              </a:solidFill>
              <a:effectLst/>
              <a:latin typeface="+mn-lt"/>
              <a:ea typeface="+mn-ea"/>
              <a:cs typeface="+mn-cs"/>
            </a:rPr>
            <a:t>0.4% to 0.5%</a:t>
          </a:r>
          <a:r>
            <a:rPr lang="en-IN" sz="1100">
              <a:solidFill>
                <a:schemeClr val="dk1"/>
              </a:solidFill>
              <a:effectLst/>
              <a:latin typeface="+mn-lt"/>
              <a:ea typeface="+mn-ea"/>
              <a:cs typeface="+mn-cs"/>
            </a:rPr>
            <a:t> amidst public health demands.</a:t>
          </a:r>
        </a:p>
        <a:p>
          <a:endParaRPr lang="en-IN" sz="1100">
            <a:solidFill>
              <a:schemeClr val="dk1"/>
            </a:solidFill>
            <a:effectLst/>
            <a:latin typeface="+mn-lt"/>
            <a:ea typeface="+mn-ea"/>
            <a:cs typeface="+mn-cs"/>
          </a:endParaRPr>
        </a:p>
        <a:p>
          <a:r>
            <a:rPr lang="en-IN" sz="1100" b="1">
              <a:solidFill>
                <a:schemeClr val="dk1"/>
              </a:solidFill>
              <a:effectLst/>
              <a:latin typeface="+mn-lt"/>
              <a:ea typeface="+mn-ea"/>
              <a:cs typeface="+mn-cs"/>
            </a:rPr>
            <a:t>Q5: Influence of Global Crude Oil Price Fluctuations (2021–2023)</a:t>
          </a:r>
        </a:p>
        <a:p>
          <a:r>
            <a:rPr lang="en-IN" sz="1100" b="1">
              <a:solidFill>
                <a:schemeClr val="dk1"/>
              </a:solidFill>
              <a:effectLst/>
              <a:latin typeface="+mn-lt"/>
              <a:ea typeface="+mn-ea"/>
              <a:cs typeface="+mn-cs"/>
            </a:rPr>
            <a:t>Methodology:</a:t>
          </a:r>
          <a:r>
            <a:rPr lang="en-IN" sz="1100">
              <a:solidFill>
                <a:schemeClr val="dk1"/>
              </a:solidFill>
              <a:effectLst/>
              <a:latin typeface="+mn-lt"/>
              <a:ea typeface="+mn-ea"/>
              <a:cs typeface="+mn-cs"/>
            </a:rPr>
            <a:t> Month-on-month percentage changes in imported crude oil prices (USD/Barrel, sourced via </a:t>
          </a:r>
          <a:r>
            <a:rPr lang="en-IN" sz="1100">
              <a:solidFill>
                <a:schemeClr val="dk1"/>
              </a:solidFill>
              <a:effectLst/>
              <a:latin typeface="+mn-lt"/>
              <a:ea typeface="+mn-ea"/>
              <a:cs typeface="+mn-cs"/>
              <a:hlinkClick xmlns:r="http://schemas.openxmlformats.org/officeDocument/2006/relationships" r:id=""/>
            </a:rPr>
            <a:t>EIA Historical Data</a:t>
          </a:r>
          <a:r>
            <a:rPr lang="en-IN" sz="1100">
              <a:solidFill>
                <a:schemeClr val="dk1"/>
              </a:solidFill>
              <a:effectLst/>
              <a:latin typeface="+mn-lt"/>
              <a:ea typeface="+mn-ea"/>
              <a:cs typeface="+mn-cs"/>
            </a:rPr>
            <a:t>) were compared against CPI category inflation changes using the =CORREL statistical function.</a:t>
          </a:r>
        </a:p>
        <a:p>
          <a:r>
            <a:rPr lang="en-IN" sz="1100" b="1">
              <a:solidFill>
                <a:schemeClr val="dk1"/>
              </a:solidFill>
              <a:effectLst/>
              <a:latin typeface="+mn-lt"/>
              <a:ea typeface="+mn-ea"/>
              <a:cs typeface="+mn-cs"/>
            </a:rPr>
            <a:t>Core Insights:</a:t>
          </a:r>
          <a:endParaRPr lang="en-IN" sz="1100">
            <a:solidFill>
              <a:schemeClr val="dk1"/>
            </a:solidFill>
            <a:effectLst/>
            <a:latin typeface="+mn-lt"/>
            <a:ea typeface="+mn-ea"/>
            <a:cs typeface="+mn-cs"/>
          </a:endParaRPr>
        </a:p>
        <a:p>
          <a:pPr lvl="1"/>
          <a:r>
            <a:rPr lang="en-IN" sz="1100" b="1">
              <a:solidFill>
                <a:schemeClr val="dk1"/>
              </a:solidFill>
              <a:effectLst/>
              <a:latin typeface="+mn-lt"/>
              <a:ea typeface="+mn-ea"/>
              <a:cs typeface="+mn-cs"/>
            </a:rPr>
            <a:t>Weak Short-Term Correlation:</a:t>
          </a:r>
          <a:r>
            <a:rPr lang="en-IN" sz="1100">
              <a:solidFill>
                <a:schemeClr val="dk1"/>
              </a:solidFill>
              <a:effectLst/>
              <a:latin typeface="+mn-lt"/>
              <a:ea typeface="+mn-ea"/>
              <a:cs typeface="+mn-cs"/>
            </a:rPr>
            <a:t> Most consumer categories exhibited low correlation coefficients (between $-10\%$ and $+14\%$) due to domestic taxation, managed retail price caps, and price-smoothing mechanisms deployed by marketing companies in India.</a:t>
          </a:r>
        </a:p>
        <a:p>
          <a:pPr lvl="1"/>
          <a:r>
            <a:rPr lang="en-IN" sz="1100" b="1">
              <a:solidFill>
                <a:schemeClr val="dk1"/>
              </a:solidFill>
              <a:effectLst/>
              <a:latin typeface="+mn-lt"/>
              <a:ea typeface="+mn-ea"/>
              <a:cs typeface="+mn-cs"/>
            </a:rPr>
            <a:t>Top Correlated Categories:</a:t>
          </a:r>
          <a:r>
            <a:rPr lang="en-IN" sz="1100">
              <a:solidFill>
                <a:schemeClr val="dk1"/>
              </a:solidFill>
              <a:effectLst/>
              <a:latin typeface="+mn-lt"/>
              <a:ea typeface="+mn-ea"/>
              <a:cs typeface="+mn-cs"/>
            </a:rPr>
            <a:t> </a:t>
          </a:r>
          <a:r>
            <a:rPr lang="en-IN" sz="1100" b="1">
              <a:solidFill>
                <a:schemeClr val="dk1"/>
              </a:solidFill>
              <a:effectLst/>
              <a:latin typeface="+mn-lt"/>
              <a:ea typeface="+mn-ea"/>
              <a:cs typeface="+mn-cs"/>
            </a:rPr>
            <a:t>Pan, tobacco &amp; intoxicants (13.9%)</a:t>
          </a:r>
          <a:r>
            <a:rPr lang="en-IN" sz="1100">
              <a:solidFill>
                <a:schemeClr val="dk1"/>
              </a:solidFill>
              <a:effectLst/>
              <a:latin typeface="+mn-lt"/>
              <a:ea typeface="+mn-ea"/>
              <a:cs typeface="+mn-cs"/>
            </a:rPr>
            <a:t>, </a:t>
          </a:r>
          <a:r>
            <a:rPr lang="en-IN" sz="1100" b="1">
              <a:solidFill>
                <a:schemeClr val="dk1"/>
              </a:solidFill>
              <a:effectLst/>
              <a:latin typeface="+mn-lt"/>
              <a:ea typeface="+mn-ea"/>
              <a:cs typeface="+mn-cs"/>
            </a:rPr>
            <a:t>Fuel and light (13.5%)</a:t>
          </a:r>
          <a:r>
            <a:rPr lang="en-IN" sz="1100">
              <a:solidFill>
                <a:schemeClr val="dk1"/>
              </a:solidFill>
              <a:effectLst/>
              <a:latin typeface="+mn-lt"/>
              <a:ea typeface="+mn-ea"/>
              <a:cs typeface="+mn-cs"/>
            </a:rPr>
            <a:t>, and </a:t>
          </a:r>
          <a:r>
            <a:rPr lang="en-IN" sz="1100" b="1">
              <a:solidFill>
                <a:schemeClr val="dk1"/>
              </a:solidFill>
              <a:effectLst/>
              <a:latin typeface="+mn-lt"/>
              <a:ea typeface="+mn-ea"/>
              <a:cs typeface="+mn-cs"/>
            </a:rPr>
            <a:t>Clothing &amp; footwear (13.0%)</a:t>
          </a:r>
          <a:r>
            <a:rPr lang="en-IN" sz="1100">
              <a:solidFill>
                <a:schemeClr val="dk1"/>
              </a:solidFill>
              <a:effectLst/>
              <a:latin typeface="+mn-lt"/>
              <a:ea typeface="+mn-ea"/>
              <a:cs typeface="+mn-cs"/>
            </a:rPr>
            <a:t> showed the highest relative positive sensitivity to imported energy and material shifts.</a:t>
          </a:r>
        </a:p>
        <a:p>
          <a:endParaRPr lang="en-IN" sz="1100">
            <a:solidFill>
              <a:schemeClr val="dk1"/>
            </a:solidFill>
            <a:effectLst/>
            <a:latin typeface="+mn-lt"/>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822960</xdr:colOff>
      <xdr:row>7</xdr:row>
      <xdr:rowOff>0</xdr:rowOff>
    </xdr:from>
    <xdr:to>
      <xdr:col>9</xdr:col>
      <xdr:colOff>655320</xdr:colOff>
      <xdr:row>12</xdr:row>
      <xdr:rowOff>7620</xdr:rowOff>
    </xdr:to>
    <xdr:sp macro="" textlink="">
      <xdr:nvSpPr>
        <xdr:cNvPr id="2" name="TextBox 1"/>
        <xdr:cNvSpPr txBox="1"/>
      </xdr:nvSpPr>
      <xdr:spPr>
        <a:xfrm>
          <a:off x="5204460" y="1280160"/>
          <a:ext cx="3307080" cy="922020"/>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1" i="0" u="sng" strike="noStrike">
              <a:solidFill>
                <a:schemeClr val="dk1"/>
              </a:solidFill>
              <a:effectLst/>
              <a:latin typeface="+mn-lt"/>
              <a:ea typeface="+mn-ea"/>
              <a:cs typeface="+mn-cs"/>
            </a:rPr>
            <a:t>Solution</a:t>
          </a:r>
          <a:r>
            <a:rPr lang="en-IN" sz="1200" b="1" i="0" u="sng" strike="noStrike" baseline="0">
              <a:solidFill>
                <a:schemeClr val="dk1"/>
              </a:solidFill>
              <a:effectLst/>
              <a:latin typeface="+mn-lt"/>
              <a:ea typeface="+mn-ea"/>
              <a:cs typeface="+mn-cs"/>
            </a:rPr>
            <a:t>:</a:t>
          </a:r>
          <a:endParaRPr lang="en-IN" sz="1200" b="1" i="0" u="sng" strike="noStrike">
            <a:solidFill>
              <a:schemeClr val="dk1"/>
            </a:solidFill>
            <a:effectLst/>
            <a:latin typeface="+mn-lt"/>
            <a:ea typeface="+mn-ea"/>
            <a:cs typeface="+mn-cs"/>
          </a:endParaRPr>
        </a:p>
        <a:p>
          <a:r>
            <a:rPr lang="en-IN" sz="1100" b="1" i="0" u="none" strike="noStrike">
              <a:solidFill>
                <a:schemeClr val="dk1"/>
              </a:solidFill>
              <a:effectLst/>
              <a:latin typeface="+mn-lt"/>
              <a:ea typeface="+mn-ea"/>
              <a:cs typeface="+mn-cs"/>
            </a:rPr>
            <a:t>Based</a:t>
          </a:r>
          <a:r>
            <a:rPr lang="en-IN" sz="1100" b="1" i="0" u="none" strike="noStrike" baseline="0">
              <a:solidFill>
                <a:schemeClr val="dk1"/>
              </a:solidFill>
              <a:effectLst/>
              <a:latin typeface="+mn-lt"/>
              <a:ea typeface="+mn-ea"/>
              <a:cs typeface="+mn-cs"/>
            </a:rPr>
            <a:t> on latest month data May'2023, </a:t>
          </a:r>
          <a:r>
            <a:rPr lang="en-IN" sz="1100" b="1" i="0" u="none" strike="noStrike">
              <a:solidFill>
                <a:schemeClr val="dk1"/>
              </a:solidFill>
              <a:effectLst/>
              <a:latin typeface="+mn-lt"/>
              <a:ea typeface="+mn-ea"/>
              <a:cs typeface="+mn-cs"/>
            </a:rPr>
            <a:t>Pan Tobacco &amp; Intoxicants</a:t>
          </a:r>
          <a:r>
            <a:rPr lang="en-IN" b="1"/>
            <a:t> has</a:t>
          </a:r>
          <a:r>
            <a:rPr lang="en-IN" b="1" baseline="0"/>
            <a:t> the highest contribution of 18.3% towards the CPI inflation calculation.</a:t>
          </a:r>
          <a:endParaRPr lang="en-IN" sz="11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381000</xdr:colOff>
      <xdr:row>44</xdr:row>
      <xdr:rowOff>11430</xdr:rowOff>
    </xdr:from>
    <xdr:to>
      <xdr:col>6</xdr:col>
      <xdr:colOff>7620</xdr:colOff>
      <xdr:row>59</xdr:row>
      <xdr:rowOff>11430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388620</xdr:colOff>
      <xdr:row>1</xdr:row>
      <xdr:rowOff>7620</xdr:rowOff>
    </xdr:from>
    <xdr:to>
      <xdr:col>2</xdr:col>
      <xdr:colOff>2598420</xdr:colOff>
      <xdr:row>3</xdr:row>
      <xdr:rowOff>152400</xdr:rowOff>
    </xdr:to>
    <xdr:sp macro="" textlink="">
      <xdr:nvSpPr>
        <xdr:cNvPr id="3" name="TextBox 2"/>
        <xdr:cNvSpPr txBox="1"/>
      </xdr:nvSpPr>
      <xdr:spPr>
        <a:xfrm>
          <a:off x="4221480" y="190500"/>
          <a:ext cx="2209800" cy="510540"/>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t>Graph</a:t>
          </a:r>
          <a:r>
            <a:rPr lang="en-IN" sz="1100" b="1" baseline="0"/>
            <a:t> and final Analysis is below at 45th &amp; 64th row.</a:t>
          </a:r>
          <a:endParaRPr lang="en-IN" sz="1100" b="1"/>
        </a:p>
      </xdr:txBody>
    </xdr:sp>
    <xdr:clientData/>
  </xdr:twoCellAnchor>
  <xdr:twoCellAnchor>
    <xdr:from>
      <xdr:col>0</xdr:col>
      <xdr:colOff>38100</xdr:colOff>
      <xdr:row>63</xdr:row>
      <xdr:rowOff>0</xdr:rowOff>
    </xdr:from>
    <xdr:to>
      <xdr:col>2</xdr:col>
      <xdr:colOff>2598420</xdr:colOff>
      <xdr:row>102</xdr:row>
      <xdr:rowOff>167640</xdr:rowOff>
    </xdr:to>
    <xdr:sp macro="" textlink="">
      <xdr:nvSpPr>
        <xdr:cNvPr id="4" name="TextBox 3"/>
        <xdr:cNvSpPr txBox="1"/>
      </xdr:nvSpPr>
      <xdr:spPr>
        <a:xfrm>
          <a:off x="38100" y="11521440"/>
          <a:ext cx="6393180" cy="7299960"/>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1" u="sng"/>
            <a:t>Point 1</a:t>
          </a:r>
          <a:r>
            <a:rPr lang="en-IN" sz="1200" b="1" u="sng" baseline="0"/>
            <a:t> Solution:</a:t>
          </a:r>
        </a:p>
        <a:p>
          <a:r>
            <a:rPr lang="en-IN" sz="1100" b="1" baseline="0"/>
            <a:t>The Year </a:t>
          </a:r>
          <a:r>
            <a:rPr lang="en-IN" sz="1100" b="1" u="sng" baseline="0"/>
            <a:t>2022</a:t>
          </a:r>
          <a:r>
            <a:rPr lang="en-IN" sz="1100" b="1" baseline="0"/>
            <a:t> has the highest inflation rate among all the years between 2017-2022. Also, 2023 data is of only 5 month Jan-May, so that's why it is showing the lesser data, so i compared 2017-2022 data only.</a:t>
          </a:r>
        </a:p>
        <a:p>
          <a:r>
            <a:rPr lang="en-IN" sz="1100" b="1" baseline="0"/>
            <a:t>-- Also, Growth rate is highest in </a:t>
          </a:r>
          <a:r>
            <a:rPr lang="en-IN" sz="1100" b="1" u="sng" baseline="0"/>
            <a:t>2021</a:t>
          </a:r>
          <a:r>
            <a:rPr lang="en-IN" sz="1100" b="1" baseline="0"/>
            <a:t> which is 21%.</a:t>
          </a:r>
        </a:p>
        <a:p>
          <a:endParaRPr lang="en-IN" sz="1100" b="1" baseline="0"/>
        </a:p>
        <a:p>
          <a:r>
            <a:rPr lang="en-IN" sz="1200" b="1" u="sng" baseline="0"/>
            <a:t>Point 2 Solution:</a:t>
          </a:r>
        </a:p>
        <a:p>
          <a:pPr rtl="0"/>
          <a:r>
            <a:rPr lang="en-IN" sz="1100" b="1" baseline="0"/>
            <a:t>2. </a:t>
          </a:r>
          <a:r>
            <a:rPr lang="en-IN">
              <a:effectLst/>
            </a:rPr>
            <a:t>A breakdown of the underlying factors shows why 2022 peaked across these broader category buckets:</a:t>
          </a:r>
        </a:p>
        <a:p>
          <a:pPr rtl="0"/>
          <a:r>
            <a:rPr lang="en-IN" b="1">
              <a:effectLst/>
            </a:rPr>
            <a:t>1. Cumulative Surge in Food &amp; Beverages</a:t>
          </a:r>
        </a:p>
        <a:p>
          <a:pPr rtl="0"/>
          <a:r>
            <a:rPr lang="en-IN" b="1">
              <a:effectLst/>
            </a:rPr>
            <a:t>The Numbers:</a:t>
          </a:r>
          <a:r>
            <a:rPr lang="en-IN">
              <a:effectLst/>
            </a:rPr>
            <a:t> Food &amp; Beverages reached </a:t>
          </a:r>
          <a:r>
            <a:rPr lang="en-IN" b="1">
              <a:effectLst/>
            </a:rPr>
            <a:t>24,836</a:t>
          </a:r>
          <a:r>
            <a:rPr lang="en-IN">
              <a:effectLst/>
            </a:rPr>
            <a:t> in 2022, up significantly from 23,487 in 2021 and 19,840 in 2020. </a:t>
          </a:r>
        </a:p>
        <a:p>
          <a:pPr rtl="0"/>
          <a:r>
            <a:rPr lang="en-IN">
              <a:effectLst/>
            </a:rPr>
            <a:t>PNG</a:t>
          </a:r>
        </a:p>
        <a:p>
          <a:pPr rtl="0"/>
          <a:r>
            <a:rPr lang="en-IN" b="1">
              <a:effectLst/>
            </a:rPr>
            <a:t>The Drivers:</a:t>
          </a:r>
          <a:r>
            <a:rPr lang="en-IN">
              <a:effectLst/>
            </a:rPr>
            <a:t> Food items account for the highest weight in consumer price indices. Global supply chain disruptions, rising fertilizer costs, and erratic weather patterns (such as unseasonal rains and heatwaves affecting crop yields) drove up the prices of essentials like cereals, vegetables, oils, and milk steadily through 2021 and peaking into 2022.</a:t>
          </a:r>
        </a:p>
        <a:p>
          <a:pPr rtl="0"/>
          <a:r>
            <a:rPr lang="en-IN" b="1">
              <a:effectLst/>
            </a:rPr>
            <a:t>2. Escalation in Fuel and Light</a:t>
          </a:r>
        </a:p>
        <a:p>
          <a:pPr rtl="0"/>
          <a:r>
            <a:rPr lang="en-IN" b="1">
              <a:effectLst/>
            </a:rPr>
            <a:t>The Numbers:</a:t>
          </a:r>
          <a:r>
            <a:rPr lang="en-IN">
              <a:effectLst/>
            </a:rPr>
            <a:t> Fuel and light rose to </a:t>
          </a:r>
          <a:r>
            <a:rPr lang="en-IN" b="1">
              <a:effectLst/>
            </a:rPr>
            <a:t>2,102</a:t>
          </a:r>
          <a:r>
            <a:rPr lang="en-IN">
              <a:effectLst/>
            </a:rPr>
            <a:t> in 2022, crossing the 2,000 threshold for the first time in the recorded timeframe (up from 1,909 in 2021). </a:t>
          </a:r>
        </a:p>
        <a:p>
          <a:pPr rtl="0"/>
          <a:r>
            <a:rPr lang="en-IN">
              <a:effectLst/>
            </a:rPr>
            <a:t>PNG</a:t>
          </a:r>
        </a:p>
        <a:p>
          <a:pPr rtl="0"/>
          <a:r>
            <a:rPr lang="en-IN" b="1">
              <a:effectLst/>
            </a:rPr>
            <a:t>The Drivers:</a:t>
          </a:r>
          <a:r>
            <a:rPr lang="en-IN">
              <a:effectLst/>
            </a:rPr>
            <a:t> 2022 saw severe geopolitical tensions and international conflicts (such as the Russia-Ukraine war), which caused global crude oil, natural gas, and coal prices to skyrocket. This directly translated into higher domestic costs for liquefied petroleum gas (LPG), electricity, and transportation fuels.</a:t>
          </a:r>
        </a:p>
        <a:p>
          <a:pPr rtl="0"/>
          <a:r>
            <a:rPr lang="en-IN" b="1">
              <a:effectLst/>
            </a:rPr>
            <a:t>3. Broad-Based Cost-of-Living Increases Across All Sectors</a:t>
          </a:r>
        </a:p>
        <a:p>
          <a:pPr rtl="0"/>
          <a:r>
            <a:rPr lang="en-IN">
              <a:effectLst/>
            </a:rPr>
            <a:t>Unlike prior years where certain sectors dipped or stagnated (e.g., 2019 or 2020), </a:t>
          </a:r>
          <a:r>
            <a:rPr lang="en-IN" b="1">
              <a:effectLst/>
            </a:rPr>
            <a:t>every single category</a:t>
          </a:r>
          <a:r>
            <a:rPr lang="en-IN">
              <a:effectLst/>
            </a:rPr>
            <a:t> hit its highest recorded index total in 2022:</a:t>
          </a:r>
        </a:p>
        <a:p>
          <a:pPr rtl="0"/>
          <a:r>
            <a:rPr lang="en-IN" b="1">
              <a:effectLst/>
            </a:rPr>
            <a:t>Clothing and footwear:</a:t>
          </a:r>
          <a:r>
            <a:rPr lang="en-IN">
              <a:effectLst/>
            </a:rPr>
            <a:t> Rose to </a:t>
          </a:r>
          <a:r>
            <a:rPr lang="en-IN" b="1">
              <a:effectLst/>
            </a:rPr>
            <a:t>2,114</a:t>
          </a:r>
          <a:r>
            <a:rPr lang="en-IN">
              <a:effectLst/>
            </a:rPr>
            <a:t> (driven by higher raw material costs like cotton and synthetic fibers). </a:t>
          </a:r>
        </a:p>
        <a:p>
          <a:pPr rtl="0"/>
          <a:r>
            <a:rPr lang="en-IN">
              <a:effectLst/>
            </a:rPr>
            <a:t>PNG</a:t>
          </a:r>
        </a:p>
        <a:p>
          <a:pPr rtl="0"/>
          <a:r>
            <a:rPr lang="en-IN" b="1">
              <a:effectLst/>
            </a:rPr>
            <a:t>Housing:</a:t>
          </a:r>
          <a:r>
            <a:rPr lang="en-IN">
              <a:effectLst/>
            </a:rPr>
            <a:t> Rose to </a:t>
          </a:r>
          <a:r>
            <a:rPr lang="en-IN" b="1">
              <a:effectLst/>
            </a:rPr>
            <a:t>2,017</a:t>
          </a:r>
          <a:r>
            <a:rPr lang="en-IN">
              <a:effectLst/>
            </a:rPr>
            <a:t>. </a:t>
          </a:r>
        </a:p>
        <a:p>
          <a:pPr rtl="0"/>
          <a:r>
            <a:rPr lang="en-IN">
              <a:effectLst/>
            </a:rPr>
            <a:t>PNG</a:t>
          </a:r>
        </a:p>
        <a:p>
          <a:pPr rtl="0"/>
          <a:r>
            <a:rPr lang="en-IN" b="1">
              <a:effectLst/>
            </a:rPr>
            <a:t>Pan, tobacco &amp; intoxicants:</a:t>
          </a:r>
          <a:r>
            <a:rPr lang="en-IN">
              <a:effectLst/>
            </a:rPr>
            <a:t> Reached </a:t>
          </a:r>
          <a:r>
            <a:rPr lang="en-IN" b="1">
              <a:effectLst/>
            </a:rPr>
            <a:t>2,337</a:t>
          </a:r>
          <a:r>
            <a:rPr lang="en-IN">
              <a:effectLst/>
            </a:rPr>
            <a:t>. </a:t>
          </a:r>
        </a:p>
        <a:p>
          <a:pPr rtl="0"/>
          <a:r>
            <a:rPr lang="en-IN">
              <a:effectLst/>
            </a:rPr>
            <a:t>PNG</a:t>
          </a:r>
        </a:p>
        <a:p>
          <a:pPr rtl="0"/>
          <a:r>
            <a:rPr lang="en-IN" b="1">
              <a:effectLst/>
            </a:rPr>
            <a:t>Miscellaneous / Services:</a:t>
          </a:r>
          <a:r>
            <a:rPr lang="en-IN">
              <a:effectLst/>
            </a:rPr>
            <a:t> Hit an all-time high of </a:t>
          </a:r>
          <a:r>
            <a:rPr lang="en-IN" b="1">
              <a:effectLst/>
            </a:rPr>
            <a:t>12,106</a:t>
          </a:r>
          <a:r>
            <a:rPr lang="en-IN">
              <a:effectLst/>
            </a:rPr>
            <a:t>, reflecting rising costs in transportation, healthcare, household goods, and education as economies fully reopened post-pandemic, creating a surge in demand that outpaced supply. </a:t>
          </a:r>
        </a:p>
        <a:p>
          <a:pPr rtl="0"/>
          <a:r>
            <a:rPr lang="en-IN">
              <a:effectLst/>
            </a:rPr>
            <a:t>PNG</a:t>
          </a:r>
        </a:p>
        <a:p>
          <a:pPr rtl="0"/>
          <a:endParaRPr lang="en-IN">
            <a:effectLst/>
          </a:endParaRPr>
        </a:p>
        <a:p>
          <a:pPr rtl="0"/>
          <a:r>
            <a:rPr lang="en-IN" b="1">
              <a:effectLst/>
            </a:rPr>
            <a:t>Summary</a:t>
          </a:r>
        </a:p>
        <a:p>
          <a:pPr rtl="0"/>
          <a:r>
            <a:rPr lang="en-IN">
              <a:effectLst/>
            </a:rPr>
            <a:t>The record-high total in 2022 was driven by a </a:t>
          </a:r>
          <a:r>
            <a:rPr lang="en-IN" b="1">
              <a:effectLst/>
            </a:rPr>
            <a:t>compounding effect</a:t>
          </a:r>
          <a:r>
            <a:rPr lang="en-IN">
              <a:effectLst/>
            </a:rPr>
            <a:t>: post-pandemic demand recovery collided with severe global energy shocks, high transportation costs, and agricultural supply constraints, pushing prices upward across virtually all consumer categories simultaneously.</a:t>
          </a:r>
        </a:p>
        <a:p>
          <a:endParaRPr lang="en-IN" sz="1100" b="1"/>
        </a:p>
      </xdr:txBody>
    </xdr:sp>
    <xdr:clientData/>
  </xdr:twoCellAnchor>
  <xdr:twoCellAnchor>
    <xdr:from>
      <xdr:col>3</xdr:col>
      <xdr:colOff>396240</xdr:colOff>
      <xdr:row>59</xdr:row>
      <xdr:rowOff>148590</xdr:rowOff>
    </xdr:from>
    <xdr:to>
      <xdr:col>6</xdr:col>
      <xdr:colOff>22860</xdr:colOff>
      <xdr:row>74</xdr:row>
      <xdr:rowOff>148590</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15240</xdr:colOff>
      <xdr:row>55</xdr:row>
      <xdr:rowOff>22860</xdr:rowOff>
    </xdr:from>
    <xdr:to>
      <xdr:col>3</xdr:col>
      <xdr:colOff>1310640</xdr:colOff>
      <xdr:row>62</xdr:row>
      <xdr:rowOff>175260</xdr:rowOff>
    </xdr:to>
    <xdr:sp macro="" textlink="">
      <xdr:nvSpPr>
        <xdr:cNvPr id="2" name="TextBox 1"/>
        <xdr:cNvSpPr txBox="1"/>
      </xdr:nvSpPr>
      <xdr:spPr>
        <a:xfrm>
          <a:off x="876300" y="9898380"/>
          <a:ext cx="6454140" cy="1432560"/>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1" i="0" u="sng" strike="noStrike">
              <a:solidFill>
                <a:schemeClr val="dk1"/>
              </a:solidFill>
              <a:effectLst/>
              <a:latin typeface="+mn-lt"/>
              <a:ea typeface="+mn-ea"/>
              <a:cs typeface="+mn-cs"/>
            </a:rPr>
            <a:t>Point 1</a:t>
          </a:r>
          <a:r>
            <a:rPr lang="en-IN" sz="1200" b="1" i="0" u="sng" strike="noStrike" baseline="0">
              <a:solidFill>
                <a:schemeClr val="dk1"/>
              </a:solidFill>
              <a:effectLst/>
              <a:latin typeface="+mn-lt"/>
              <a:ea typeface="+mn-ea"/>
              <a:cs typeface="+mn-cs"/>
            </a:rPr>
            <a:t> Solution:</a:t>
          </a:r>
          <a:endParaRPr lang="en-IN" sz="1200" b="1" i="0" u="sng" strike="noStrike">
            <a:solidFill>
              <a:schemeClr val="dk1"/>
            </a:solidFill>
            <a:effectLst/>
            <a:latin typeface="+mn-lt"/>
            <a:ea typeface="+mn-ea"/>
            <a:cs typeface="+mn-cs"/>
          </a:endParaRPr>
        </a:p>
        <a:p>
          <a:r>
            <a:rPr lang="en-IN" sz="1100" b="1" i="0" u="none" strike="noStrike">
              <a:solidFill>
                <a:schemeClr val="dk1"/>
              </a:solidFill>
              <a:effectLst/>
              <a:latin typeface="+mn-lt"/>
              <a:ea typeface="+mn-ea"/>
              <a:cs typeface="+mn-cs"/>
            </a:rPr>
            <a:t>&gt;Highest Inflation rate month= </a:t>
          </a:r>
          <a:r>
            <a:rPr lang="en-IN" sz="1100" b="1" i="0">
              <a:solidFill>
                <a:schemeClr val="dk1"/>
              </a:solidFill>
              <a:effectLst/>
              <a:latin typeface="+mn-lt"/>
              <a:ea typeface="+mn-ea"/>
              <a:cs typeface="+mn-cs"/>
            </a:rPr>
            <a:t>1.01% Oct-22</a:t>
          </a:r>
        </a:p>
        <a:p>
          <a:pPr marL="0" marR="0" indent="0" defTabSz="914400" eaLnBrk="1" fontAlgn="auto" latinLnBrk="0" hangingPunct="1">
            <a:lnSpc>
              <a:spcPct val="100000"/>
            </a:lnSpc>
            <a:spcBef>
              <a:spcPts val="0"/>
            </a:spcBef>
            <a:spcAft>
              <a:spcPts val="0"/>
            </a:spcAft>
            <a:buClrTx/>
            <a:buSzTx/>
            <a:buFontTx/>
            <a:buNone/>
            <a:tabLst/>
            <a:defRPr/>
          </a:pPr>
          <a:r>
            <a:rPr lang="en-IN" sz="1100" b="1" i="0" u="none" strike="noStrike">
              <a:solidFill>
                <a:schemeClr val="dk1"/>
              </a:solidFill>
              <a:effectLst/>
              <a:latin typeface="+mn-lt"/>
              <a:ea typeface="+mn-ea"/>
              <a:cs typeface="+mn-cs"/>
            </a:rPr>
            <a:t>&gt;Lowest Inflation rate month=</a:t>
          </a:r>
          <a:r>
            <a:rPr lang="en-IN" sz="1100" b="1" i="0" u="none" strike="noStrike" baseline="0">
              <a:solidFill>
                <a:schemeClr val="dk1"/>
              </a:solidFill>
              <a:effectLst/>
              <a:latin typeface="+mn-lt"/>
              <a:ea typeface="+mn-ea"/>
              <a:cs typeface="+mn-cs"/>
            </a:rPr>
            <a:t> </a:t>
          </a:r>
          <a:r>
            <a:rPr lang="en-IN" sz="1100" b="1" i="0" u="none" strike="noStrike">
              <a:solidFill>
                <a:schemeClr val="dk1"/>
              </a:solidFill>
              <a:effectLst/>
              <a:latin typeface="+mn-lt"/>
              <a:ea typeface="+mn-ea"/>
              <a:cs typeface="+mn-cs"/>
            </a:rPr>
            <a:t>-1.35%</a:t>
          </a:r>
          <a:r>
            <a:rPr lang="en-IN" b="1"/>
            <a:t> </a:t>
          </a:r>
          <a:r>
            <a:rPr lang="en-IN" sz="1100" b="1" i="0" u="none" strike="noStrike">
              <a:solidFill>
                <a:schemeClr val="dk1"/>
              </a:solidFill>
              <a:effectLst/>
              <a:latin typeface="+mn-lt"/>
              <a:ea typeface="+mn-ea"/>
              <a:cs typeface="+mn-cs"/>
            </a:rPr>
            <a:t>Dec-22</a:t>
          </a:r>
          <a:r>
            <a:rPr lang="en-IN" b="1"/>
            <a:t> </a:t>
          </a:r>
          <a:br>
            <a:rPr lang="en-IN" b="1"/>
          </a:br>
          <a:r>
            <a:rPr lang="en-IN" b="1"/>
            <a:t/>
          </a:r>
          <a:br>
            <a:rPr lang="en-IN" b="1"/>
          </a:br>
          <a:r>
            <a:rPr lang="en-IN" sz="1200" b="1" i="0" u="sng">
              <a:solidFill>
                <a:schemeClr val="dk1"/>
              </a:solidFill>
              <a:effectLst/>
              <a:latin typeface="+mn-lt"/>
              <a:ea typeface="+mn-ea"/>
              <a:cs typeface="+mn-cs"/>
            </a:rPr>
            <a:t>Point 2</a:t>
          </a:r>
          <a:r>
            <a:rPr lang="en-IN" sz="1200" b="1" i="0" u="sng" baseline="0">
              <a:solidFill>
                <a:schemeClr val="dk1"/>
              </a:solidFill>
              <a:effectLst/>
              <a:latin typeface="+mn-lt"/>
              <a:ea typeface="+mn-ea"/>
              <a:cs typeface="+mn-cs"/>
            </a:rPr>
            <a:t> Solution:</a:t>
          </a:r>
          <a:r>
            <a:rPr lang="en-IN" sz="1100" b="1" i="0" baseline="0">
              <a:solidFill>
                <a:schemeClr val="dk1"/>
              </a:solidFill>
              <a:effectLst/>
              <a:latin typeface="+mn-lt"/>
              <a:ea typeface="+mn-ea"/>
              <a:cs typeface="+mn-cs"/>
            </a:rPr>
            <a:t/>
          </a:r>
          <a:br>
            <a:rPr lang="en-IN" sz="1100" b="1" i="0" baseline="0">
              <a:solidFill>
                <a:schemeClr val="dk1"/>
              </a:solidFill>
              <a:effectLst/>
              <a:latin typeface="+mn-lt"/>
              <a:ea typeface="+mn-ea"/>
              <a:cs typeface="+mn-cs"/>
            </a:rPr>
          </a:br>
          <a:r>
            <a:rPr lang="en-IN" sz="1100" b="1" i="0" u="none" strike="noStrike">
              <a:solidFill>
                <a:schemeClr val="dk1"/>
              </a:solidFill>
              <a:effectLst/>
              <a:latin typeface="+mn-lt"/>
              <a:ea typeface="+mn-ea"/>
              <a:cs typeface="+mn-cs"/>
            </a:rPr>
            <a:t>Highest Percentage change Sub-category wise--&gt; (Spices)</a:t>
          </a:r>
          <a:r>
            <a:rPr lang="en-IN"/>
            <a:t> </a:t>
          </a:r>
          <a:r>
            <a:rPr lang="en-IN" sz="1100" b="1" i="0" u="none" strike="noStrike">
              <a:solidFill>
                <a:schemeClr val="dk1"/>
              </a:solidFill>
              <a:effectLst/>
              <a:latin typeface="+mn-lt"/>
              <a:ea typeface="+mn-ea"/>
              <a:cs typeface="+mn-cs"/>
            </a:rPr>
            <a:t>16.5%</a:t>
          </a:r>
          <a:r>
            <a:rPr lang="en-IN"/>
            <a:t> </a:t>
          </a:r>
          <a:r>
            <a:rPr lang="en-IN" b="1"/>
            <a:t>sub-category was the biggest contributor or driver of the food bucket's surge over that 12-month period.</a:t>
          </a:r>
          <a:endParaRPr lang="en-IN" sz="1100" b="1"/>
        </a:p>
      </xdr:txBody>
    </xdr:sp>
    <xdr:clientData/>
  </xdr:twoCellAnchor>
  <xdr:twoCellAnchor>
    <xdr:from>
      <xdr:col>3</xdr:col>
      <xdr:colOff>1737360</xdr:colOff>
      <xdr:row>53</xdr:row>
      <xdr:rowOff>3810</xdr:rowOff>
    </xdr:from>
    <xdr:to>
      <xdr:col>8</xdr:col>
      <xdr:colOff>236220</xdr:colOff>
      <xdr:row>67</xdr:row>
      <xdr:rowOff>175260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60960</xdr:colOff>
      <xdr:row>31</xdr:row>
      <xdr:rowOff>15240</xdr:rowOff>
    </xdr:from>
    <xdr:to>
      <xdr:col>6</xdr:col>
      <xdr:colOff>15240</xdr:colOff>
      <xdr:row>40</xdr:row>
      <xdr:rowOff>30480</xdr:rowOff>
    </xdr:to>
    <xdr:sp macro="" textlink="">
      <xdr:nvSpPr>
        <xdr:cNvPr id="2" name="TextBox 1"/>
        <xdr:cNvSpPr txBox="1"/>
      </xdr:nvSpPr>
      <xdr:spPr>
        <a:xfrm>
          <a:off x="60960" y="5684520"/>
          <a:ext cx="12862560" cy="1661160"/>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solidFill>
                <a:schemeClr val="dk1"/>
              </a:solidFill>
              <a:effectLst/>
              <a:latin typeface="+mn-lt"/>
              <a:ea typeface="+mn-ea"/>
              <a:cs typeface="+mn-cs"/>
            </a:rPr>
            <a:t>The analysis shows</a:t>
          </a:r>
          <a:r>
            <a:rPr lang="en-IN" sz="1100" baseline="0">
              <a:solidFill>
                <a:schemeClr val="dk1"/>
              </a:solidFill>
              <a:effectLst/>
              <a:latin typeface="+mn-lt"/>
              <a:ea typeface="+mn-ea"/>
              <a:cs typeface="+mn-cs"/>
            </a:rPr>
            <a:t> </a:t>
          </a:r>
          <a:r>
            <a:rPr lang="en-IN" sz="1100">
              <a:solidFill>
                <a:schemeClr val="dk1"/>
              </a:solidFill>
              <a:effectLst/>
              <a:latin typeface="+mn-lt"/>
              <a:ea typeface="+mn-ea"/>
              <a:cs typeface="+mn-cs"/>
            </a:rPr>
            <a:t>how the COVID-19 pandemic and the March 2020 lockdown milestone impacted these key categories</a:t>
          </a:r>
          <a:r>
            <a:rPr lang="en-IN" sz="1100" b="1" u="sng">
              <a:solidFill>
                <a:schemeClr val="dk1"/>
              </a:solidFill>
              <a:effectLst/>
              <a:latin typeface="+mn-lt"/>
              <a:ea typeface="+mn-ea"/>
              <a:cs typeface="+mn-cs"/>
            </a:rPr>
            <a:t>: (Pre &amp;</a:t>
          </a:r>
          <a:r>
            <a:rPr lang="en-IN" sz="1100" b="1" u="sng" baseline="0">
              <a:solidFill>
                <a:schemeClr val="dk1"/>
              </a:solidFill>
              <a:effectLst/>
              <a:latin typeface="+mn-lt"/>
              <a:ea typeface="+mn-ea"/>
              <a:cs typeface="+mn-cs"/>
            </a:rPr>
            <a:t> Post covid data -&gt; Mar'19 to Feb'20 = {Pre} &amp; Mar'20 to Feb'21 = {Post}.</a:t>
          </a:r>
          <a:endParaRPr lang="en-IN" sz="1100" b="1" u="sng">
            <a:solidFill>
              <a:schemeClr val="dk1"/>
            </a:solidFill>
            <a:effectLst/>
            <a:latin typeface="+mn-lt"/>
            <a:ea typeface="+mn-ea"/>
            <a:cs typeface="+mn-cs"/>
          </a:endParaRPr>
        </a:p>
        <a:p>
          <a:endParaRPr lang="en-IN" sz="1100">
            <a:solidFill>
              <a:schemeClr val="dk1"/>
            </a:solidFill>
            <a:effectLst/>
            <a:latin typeface="+mn-lt"/>
            <a:ea typeface="+mn-ea"/>
            <a:cs typeface="+mn-cs"/>
          </a:endParaRPr>
        </a:p>
        <a:p>
          <a:r>
            <a:rPr lang="en-IN" sz="1100" b="1">
              <a:solidFill>
                <a:schemeClr val="dk1"/>
              </a:solidFill>
              <a:effectLst/>
              <a:latin typeface="+mn-lt"/>
              <a:ea typeface="+mn-ea"/>
              <a:cs typeface="+mn-cs"/>
            </a:rPr>
            <a:t>Food and beverages:</a:t>
          </a:r>
          <a:r>
            <a:rPr lang="en-IN" sz="1100">
              <a:solidFill>
                <a:schemeClr val="dk1"/>
              </a:solidFill>
              <a:effectLst/>
              <a:latin typeface="+mn-lt"/>
              <a:ea typeface="+mn-ea"/>
              <a:cs typeface="+mn-cs"/>
            </a:rPr>
            <a:t> Average monthly inflation dropped significantly from </a:t>
          </a:r>
          <a:r>
            <a:rPr lang="en-IN" sz="1100" b="1">
              <a:solidFill>
                <a:schemeClr val="dk1"/>
              </a:solidFill>
              <a:effectLst/>
              <a:latin typeface="+mn-lt"/>
              <a:ea typeface="+mn-ea"/>
              <a:cs typeface="+mn-cs"/>
            </a:rPr>
            <a:t>0.9% (Pre)</a:t>
          </a:r>
          <a:r>
            <a:rPr lang="en-IN" sz="1100">
              <a:solidFill>
                <a:schemeClr val="dk1"/>
              </a:solidFill>
              <a:effectLst/>
              <a:latin typeface="+mn-lt"/>
              <a:ea typeface="+mn-ea"/>
              <a:cs typeface="+mn-cs"/>
            </a:rPr>
            <a:t> down to </a:t>
          </a:r>
          <a:r>
            <a:rPr lang="en-IN" sz="1100" b="1">
              <a:solidFill>
                <a:schemeClr val="dk1"/>
              </a:solidFill>
              <a:effectLst/>
              <a:latin typeface="+mn-lt"/>
              <a:ea typeface="+mn-ea"/>
              <a:cs typeface="+mn-cs"/>
            </a:rPr>
            <a:t>0.4% (Post)</a:t>
          </a:r>
          <a:r>
            <a:rPr lang="en-IN" sz="1100">
              <a:solidFill>
                <a:schemeClr val="dk1"/>
              </a:solidFill>
              <a:effectLst/>
              <a:latin typeface="+mn-lt"/>
              <a:ea typeface="+mn-ea"/>
              <a:cs typeface="+mn-cs"/>
            </a:rPr>
            <a:t>. This reflects an easing or stabilization of food price growth following initial pandemic supply chain disruptions as logistics adapted. </a:t>
          </a:r>
        </a:p>
        <a:p>
          <a:r>
            <a:rPr lang="en-IN" sz="1100" b="1">
              <a:solidFill>
                <a:schemeClr val="dk1"/>
              </a:solidFill>
              <a:effectLst/>
              <a:latin typeface="+mn-lt"/>
              <a:ea typeface="+mn-ea"/>
              <a:cs typeface="+mn-cs"/>
            </a:rPr>
            <a:t>Housing &amp; Fuel and light:</a:t>
          </a:r>
          <a:r>
            <a:rPr lang="en-IN" sz="1100">
              <a:solidFill>
                <a:schemeClr val="dk1"/>
              </a:solidFill>
              <a:effectLst/>
              <a:latin typeface="+mn-lt"/>
              <a:ea typeface="+mn-ea"/>
              <a:cs typeface="+mn-cs"/>
            </a:rPr>
            <a:t> Both categories experienced slight moderation or remained relatively steady (Housing dropped </a:t>
          </a:r>
          <a:r>
            <a:rPr lang="en-IN" sz="1100" b="1">
              <a:solidFill>
                <a:schemeClr val="dk1"/>
              </a:solidFill>
              <a:effectLst/>
              <a:latin typeface="+mn-lt"/>
              <a:ea typeface="+mn-ea"/>
              <a:cs typeface="+mn-cs"/>
            </a:rPr>
            <a:t>from 0.4% to 0.3%; </a:t>
          </a:r>
          <a:r>
            <a:rPr lang="en-IN" sz="1100">
              <a:solidFill>
                <a:schemeClr val="dk1"/>
              </a:solidFill>
              <a:effectLst/>
              <a:latin typeface="+mn-lt"/>
              <a:ea typeface="+mn-ea"/>
              <a:cs typeface="+mn-cs"/>
            </a:rPr>
            <a:t>Fuel and light dropped </a:t>
          </a:r>
          <a:r>
            <a:rPr lang="en-IN" sz="1100" b="1">
              <a:solidFill>
                <a:schemeClr val="dk1"/>
              </a:solidFill>
              <a:effectLst/>
              <a:latin typeface="+mn-lt"/>
              <a:ea typeface="+mn-ea"/>
              <a:cs typeface="+mn-cs"/>
            </a:rPr>
            <a:t>from 0.5% to 0.3%). </a:t>
          </a:r>
        </a:p>
        <a:p>
          <a:r>
            <a:rPr lang="en-IN" sz="1100" b="1">
              <a:solidFill>
                <a:schemeClr val="dk1"/>
              </a:solidFill>
              <a:effectLst/>
              <a:latin typeface="+mn-lt"/>
              <a:ea typeface="+mn-ea"/>
              <a:cs typeface="+mn-cs"/>
            </a:rPr>
            <a:t>Transport and communication:</a:t>
          </a:r>
          <a:r>
            <a:rPr lang="en-IN" sz="1100">
              <a:solidFill>
                <a:schemeClr val="dk1"/>
              </a:solidFill>
              <a:effectLst/>
              <a:latin typeface="+mn-lt"/>
              <a:ea typeface="+mn-ea"/>
              <a:cs typeface="+mn-cs"/>
            </a:rPr>
            <a:t> Saw a massive surge, doubling from </a:t>
          </a:r>
          <a:r>
            <a:rPr lang="en-IN" sz="1100" b="1">
              <a:solidFill>
                <a:schemeClr val="dk1"/>
              </a:solidFill>
              <a:effectLst/>
              <a:latin typeface="+mn-lt"/>
              <a:ea typeface="+mn-ea"/>
              <a:cs typeface="+mn-cs"/>
            </a:rPr>
            <a:t>0.5% (Pre)</a:t>
          </a:r>
          <a:r>
            <a:rPr lang="en-IN" sz="1100">
              <a:solidFill>
                <a:schemeClr val="dk1"/>
              </a:solidFill>
              <a:effectLst/>
              <a:latin typeface="+mn-lt"/>
              <a:ea typeface="+mn-ea"/>
              <a:cs typeface="+mn-cs"/>
            </a:rPr>
            <a:t> to </a:t>
          </a:r>
          <a:r>
            <a:rPr lang="en-IN" sz="1100" b="1">
              <a:solidFill>
                <a:schemeClr val="dk1"/>
              </a:solidFill>
              <a:effectLst/>
              <a:latin typeface="+mn-lt"/>
              <a:ea typeface="+mn-ea"/>
              <a:cs typeface="+mn-cs"/>
            </a:rPr>
            <a:t>0.9% (Post)</a:t>
          </a:r>
          <a:r>
            <a:rPr lang="en-IN" sz="1100">
              <a:solidFill>
                <a:schemeClr val="dk1"/>
              </a:solidFill>
              <a:effectLst/>
              <a:latin typeface="+mn-lt"/>
              <a:ea typeface="+mn-ea"/>
              <a:cs typeface="+mn-cs"/>
            </a:rPr>
            <a:t>. This aligns with global economic trends during the pandemic where fuel price volatility, supply bottlenecks, and transportation challenges drove up movement costs. </a:t>
          </a:r>
        </a:p>
        <a:p>
          <a:r>
            <a:rPr lang="en-IN" sz="1100" b="1">
              <a:solidFill>
                <a:schemeClr val="dk1"/>
              </a:solidFill>
              <a:effectLst/>
              <a:latin typeface="+mn-lt"/>
              <a:ea typeface="+mn-ea"/>
              <a:cs typeface="+mn-cs"/>
            </a:rPr>
            <a:t>Health:</a:t>
          </a:r>
          <a:r>
            <a:rPr lang="en-IN" sz="1100">
              <a:solidFill>
                <a:schemeClr val="dk1"/>
              </a:solidFill>
              <a:effectLst/>
              <a:latin typeface="+mn-lt"/>
              <a:ea typeface="+mn-ea"/>
              <a:cs typeface="+mn-cs"/>
            </a:rPr>
            <a:t> Remained relatively stable with a minor uptick from </a:t>
          </a:r>
          <a:r>
            <a:rPr lang="en-IN" sz="1100" b="1">
              <a:solidFill>
                <a:schemeClr val="dk1"/>
              </a:solidFill>
              <a:effectLst/>
              <a:latin typeface="+mn-lt"/>
              <a:ea typeface="+mn-ea"/>
              <a:cs typeface="+mn-cs"/>
            </a:rPr>
            <a:t>0.4% (Pre)</a:t>
          </a:r>
          <a:r>
            <a:rPr lang="en-IN" sz="1100">
              <a:solidFill>
                <a:schemeClr val="dk1"/>
              </a:solidFill>
              <a:effectLst/>
              <a:latin typeface="+mn-lt"/>
              <a:ea typeface="+mn-ea"/>
              <a:cs typeface="+mn-cs"/>
            </a:rPr>
            <a:t> to </a:t>
          </a:r>
          <a:r>
            <a:rPr lang="en-IN" sz="1100" b="1">
              <a:solidFill>
                <a:schemeClr val="dk1"/>
              </a:solidFill>
              <a:effectLst/>
              <a:latin typeface="+mn-lt"/>
              <a:ea typeface="+mn-ea"/>
              <a:cs typeface="+mn-cs"/>
            </a:rPr>
            <a:t>0.5% (Post)</a:t>
          </a:r>
          <a:r>
            <a:rPr lang="en-IN" sz="1100">
              <a:solidFill>
                <a:schemeClr val="dk1"/>
              </a:solidFill>
              <a:effectLst/>
              <a:latin typeface="+mn-lt"/>
              <a:ea typeface="+mn-ea"/>
              <a:cs typeface="+mn-cs"/>
            </a:rPr>
            <a:t>, reflecting steady medical and healthcare pricing pressures during the public health crisis. </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45720</xdr:colOff>
      <xdr:row>34</xdr:row>
      <xdr:rowOff>175260</xdr:rowOff>
    </xdr:from>
    <xdr:to>
      <xdr:col>27</xdr:col>
      <xdr:colOff>53340</xdr:colOff>
      <xdr:row>47</xdr:row>
      <xdr:rowOff>38100</xdr:rowOff>
    </xdr:to>
    <xdr:sp macro="" textlink="">
      <xdr:nvSpPr>
        <xdr:cNvPr id="2" name="TextBox 1"/>
        <xdr:cNvSpPr txBox="1"/>
      </xdr:nvSpPr>
      <xdr:spPr>
        <a:xfrm>
          <a:off x="22852380" y="6408420"/>
          <a:ext cx="13182600" cy="2240280"/>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u="sng">
              <a:solidFill>
                <a:schemeClr val="dk1"/>
              </a:solidFill>
              <a:effectLst/>
              <a:latin typeface="+mn-lt"/>
              <a:ea typeface="+mn-ea"/>
              <a:cs typeface="+mn-cs"/>
            </a:rPr>
            <a:t>Analysis: Influence of Global Crude Oil Price Fluctuations (2021–2023)</a:t>
          </a:r>
        </a:p>
        <a:p>
          <a:r>
            <a:rPr lang="en-IN" sz="1100" b="1">
              <a:solidFill>
                <a:schemeClr val="dk1"/>
              </a:solidFill>
              <a:effectLst/>
              <a:latin typeface="+mn-lt"/>
              <a:ea typeface="+mn-ea"/>
              <a:cs typeface="+mn-cs"/>
            </a:rPr>
            <a:t>Methodology:</a:t>
          </a:r>
          <a:r>
            <a:rPr lang="en-IN" sz="1100">
              <a:solidFill>
                <a:schemeClr val="dk1"/>
              </a:solidFill>
              <a:effectLst/>
              <a:latin typeface="+mn-lt"/>
              <a:ea typeface="+mn-ea"/>
              <a:cs typeface="+mn-cs"/>
            </a:rPr>
            <a:t> Month-on-month percentage changes for imported crude oil prices (USD/Barrel) from 2021 to 2023 were mapped directly against the MoM inflation percentage changes of all major CPI categories using the combined Rural+Urban dataset. A statistical correlation (=CORREL) model was then executed across the datasets. </a:t>
          </a:r>
        </a:p>
        <a:p>
          <a:endParaRPr lang="en-IN" sz="1100">
            <a:solidFill>
              <a:schemeClr val="dk1"/>
            </a:solidFill>
            <a:effectLst/>
            <a:latin typeface="+mn-lt"/>
            <a:ea typeface="+mn-ea"/>
            <a:cs typeface="+mn-cs"/>
          </a:endParaRPr>
        </a:p>
        <a:p>
          <a:r>
            <a:rPr lang="en-IN" sz="1100" b="1">
              <a:solidFill>
                <a:schemeClr val="dk1"/>
              </a:solidFill>
              <a:effectLst/>
              <a:latin typeface="+mn-lt"/>
              <a:ea typeface="+mn-ea"/>
              <a:cs typeface="+mn-cs"/>
            </a:rPr>
            <a:t>Findings &amp; Insights:</a:t>
          </a:r>
          <a:endParaRPr lang="en-IN" sz="1100">
            <a:solidFill>
              <a:schemeClr val="dk1"/>
            </a:solidFill>
            <a:effectLst/>
            <a:latin typeface="+mn-lt"/>
            <a:ea typeface="+mn-ea"/>
            <a:cs typeface="+mn-cs"/>
          </a:endParaRPr>
        </a:p>
        <a:p>
          <a:pPr lvl="1"/>
          <a:r>
            <a:rPr lang="en-IN" sz="1100" b="1">
              <a:solidFill>
                <a:schemeClr val="dk1"/>
              </a:solidFill>
              <a:effectLst/>
              <a:latin typeface="+mn-lt"/>
              <a:ea typeface="+mn-ea"/>
              <a:cs typeface="+mn-cs"/>
            </a:rPr>
            <a:t>Overall Weak Short-Term Statistical Correlation:</a:t>
          </a:r>
          <a:r>
            <a:rPr lang="en-IN" sz="1100">
              <a:solidFill>
                <a:schemeClr val="dk1"/>
              </a:solidFill>
              <a:effectLst/>
              <a:latin typeface="+mn-lt"/>
              <a:ea typeface="+mn-ea"/>
              <a:cs typeface="+mn-cs"/>
            </a:rPr>
            <a:t> The correlation coefficients across most consumer price categories relative to MoM crude oil swings remained low (ranging between -10% and +14%). This decoupling occurs because retail pricing in India is heavily buffered by domestic taxation, price smoothing mechanisms, and managed retail price caps implemented by marketing companies.</a:t>
          </a:r>
        </a:p>
        <a:p>
          <a:pPr lvl="1"/>
          <a:r>
            <a:rPr lang="en-IN" sz="1100" b="1">
              <a:solidFill>
                <a:schemeClr val="dk1"/>
              </a:solidFill>
              <a:effectLst/>
              <a:latin typeface="+mn-lt"/>
              <a:ea typeface="+mn-ea"/>
              <a:cs typeface="+mn-cs"/>
            </a:rPr>
            <a:t>Top Correlated Categories:</a:t>
          </a:r>
          <a:r>
            <a:rPr lang="en-IN" sz="1100">
              <a:solidFill>
                <a:schemeClr val="dk1"/>
              </a:solidFill>
              <a:effectLst/>
              <a:latin typeface="+mn-lt"/>
              <a:ea typeface="+mn-ea"/>
              <a:cs typeface="+mn-cs"/>
            </a:rPr>
            <a:t> Among the categories analyzed, </a:t>
          </a:r>
          <a:r>
            <a:rPr lang="en-IN" sz="1100" b="1">
              <a:solidFill>
                <a:schemeClr val="dk1"/>
              </a:solidFill>
              <a:effectLst/>
              <a:latin typeface="+mn-lt"/>
              <a:ea typeface="+mn-ea"/>
              <a:cs typeface="+mn-cs"/>
            </a:rPr>
            <a:t>Pan, tobacco and intoxicants (13.9%)</a:t>
          </a:r>
          <a:r>
            <a:rPr lang="en-IN" sz="1100">
              <a:solidFill>
                <a:schemeClr val="dk1"/>
              </a:solidFill>
              <a:effectLst/>
              <a:latin typeface="+mn-lt"/>
              <a:ea typeface="+mn-ea"/>
              <a:cs typeface="+mn-cs"/>
            </a:rPr>
            <a:t>, </a:t>
          </a:r>
          <a:r>
            <a:rPr lang="en-IN" sz="1100" b="1">
              <a:solidFill>
                <a:schemeClr val="dk1"/>
              </a:solidFill>
              <a:effectLst/>
              <a:latin typeface="+mn-lt"/>
              <a:ea typeface="+mn-ea"/>
              <a:cs typeface="+mn-cs"/>
            </a:rPr>
            <a:t>Fuel and light (13.5%)</a:t>
          </a:r>
          <a:r>
            <a:rPr lang="en-IN" sz="1100">
              <a:solidFill>
                <a:schemeClr val="dk1"/>
              </a:solidFill>
              <a:effectLst/>
              <a:latin typeface="+mn-lt"/>
              <a:ea typeface="+mn-ea"/>
              <a:cs typeface="+mn-cs"/>
            </a:rPr>
            <a:t>, and </a:t>
          </a:r>
          <a:r>
            <a:rPr lang="en-IN" sz="1100" b="1">
              <a:solidFill>
                <a:schemeClr val="dk1"/>
              </a:solidFill>
              <a:effectLst/>
              <a:latin typeface="+mn-lt"/>
              <a:ea typeface="+mn-ea"/>
              <a:cs typeface="+mn-cs"/>
            </a:rPr>
            <a:t>Clothing and footwear (13.0%)</a:t>
          </a:r>
          <a:r>
            <a:rPr lang="en-IN" sz="1100">
              <a:solidFill>
                <a:schemeClr val="dk1"/>
              </a:solidFill>
              <a:effectLst/>
              <a:latin typeface="+mn-lt"/>
              <a:ea typeface="+mn-ea"/>
              <a:cs typeface="+mn-cs"/>
            </a:rPr>
            <a:t> exhibited the highest relative positive correlation coefficients to imported energy/material shifts over the 2021–2023 timeline.</a:t>
          </a:r>
        </a:p>
        <a:p>
          <a:pPr lvl="1"/>
          <a:endParaRPr lang="en-IN" sz="1100">
            <a:solidFill>
              <a:schemeClr val="dk1"/>
            </a:solidFill>
            <a:effectLst/>
            <a:latin typeface="+mn-lt"/>
            <a:ea typeface="+mn-ea"/>
            <a:cs typeface="+mn-cs"/>
          </a:endParaRPr>
        </a:p>
        <a:p>
          <a:pPr lvl="1"/>
          <a:r>
            <a:rPr lang="en-IN" sz="1100">
              <a:solidFill>
                <a:schemeClr val="dk1"/>
              </a:solidFill>
              <a:effectLst/>
              <a:latin typeface="+mn-lt"/>
              <a:ea typeface="+mn-ea"/>
              <a:cs typeface="+mn-cs"/>
            </a:rPr>
            <a:t>Note:</a:t>
          </a:r>
          <a:r>
            <a:rPr lang="en-IN" sz="1100" baseline="0">
              <a:solidFill>
                <a:schemeClr val="dk1"/>
              </a:solidFill>
              <a:effectLst/>
              <a:latin typeface="+mn-lt"/>
              <a:ea typeface="+mn-ea"/>
              <a:cs typeface="+mn-cs"/>
            </a:rPr>
            <a:t> Crude oil Data imported online for Analysis purpose.</a:t>
          </a:r>
        </a:p>
        <a:p>
          <a:pPr lvl="1"/>
          <a:r>
            <a:rPr lang="en-IN" sz="1100">
              <a:solidFill>
                <a:schemeClr val="dk1"/>
              </a:solidFill>
              <a:effectLst/>
              <a:latin typeface="+mn-lt"/>
              <a:ea typeface="+mn-ea"/>
              <a:cs typeface="+mn-cs"/>
            </a:rPr>
            <a:t>Source:</a:t>
          </a:r>
          <a:r>
            <a:rPr lang="en-IN" sz="1100" baseline="0">
              <a:solidFill>
                <a:schemeClr val="dk1"/>
              </a:solidFill>
              <a:effectLst/>
              <a:latin typeface="+mn-lt"/>
              <a:ea typeface="+mn-ea"/>
              <a:cs typeface="+mn-cs"/>
            </a:rPr>
            <a:t> </a:t>
          </a:r>
          <a:r>
            <a:rPr lang="en-IN" sz="1100">
              <a:solidFill>
                <a:schemeClr val="dk1"/>
              </a:solidFill>
              <a:effectLst/>
              <a:latin typeface="+mn-lt"/>
              <a:ea typeface="+mn-ea"/>
              <a:cs typeface="+mn-cs"/>
            </a:rPr>
            <a:t>https://www.eia.gov/dnav/pet/hist/rbrtem.htm</a:t>
          </a:r>
        </a:p>
        <a:p>
          <a:endParaRPr lang="en-IN" sz="1100">
            <a:solidFill>
              <a:schemeClr val="dk1"/>
            </a:solidFill>
            <a:effectLst/>
            <a:latin typeface="+mn-lt"/>
            <a:ea typeface="+mn-ea"/>
            <a:cs typeface="+mn-cs"/>
          </a:endParaRPr>
        </a:p>
      </xdr:txBody>
    </xdr:sp>
    <xdr:clientData/>
  </xdr:twoCellAnchor>
  <xdr:twoCellAnchor>
    <xdr:from>
      <xdr:col>0</xdr:col>
      <xdr:colOff>7620</xdr:colOff>
      <xdr:row>30</xdr:row>
      <xdr:rowOff>167640</xdr:rowOff>
    </xdr:from>
    <xdr:to>
      <xdr:col>4</xdr:col>
      <xdr:colOff>15240</xdr:colOff>
      <xdr:row>35</xdr:row>
      <xdr:rowOff>7620</xdr:rowOff>
    </xdr:to>
    <xdr:sp macro="" textlink="">
      <xdr:nvSpPr>
        <xdr:cNvPr id="3" name="TextBox 2"/>
        <xdr:cNvSpPr txBox="1"/>
      </xdr:nvSpPr>
      <xdr:spPr>
        <a:xfrm>
          <a:off x="7620" y="5654040"/>
          <a:ext cx="3550920" cy="754380"/>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1" i="0" u="sng" strike="noStrike">
              <a:solidFill>
                <a:schemeClr val="dk1"/>
              </a:solidFill>
              <a:effectLst/>
              <a:latin typeface="+mn-lt"/>
              <a:ea typeface="+mn-ea"/>
              <a:cs typeface="+mn-cs"/>
            </a:rPr>
            <a:t>Solution</a:t>
          </a:r>
          <a:r>
            <a:rPr lang="en-IN" sz="1200" b="1" i="0" u="sng" strike="noStrike" baseline="0">
              <a:solidFill>
                <a:schemeClr val="dk1"/>
              </a:solidFill>
              <a:effectLst/>
              <a:latin typeface="+mn-lt"/>
              <a:ea typeface="+mn-ea"/>
              <a:cs typeface="+mn-cs"/>
            </a:rPr>
            <a:t>:</a:t>
          </a:r>
        </a:p>
        <a:p>
          <a:r>
            <a:rPr lang="en-IN" sz="1200" b="1" i="0" u="none" strike="noStrike" baseline="0">
              <a:solidFill>
                <a:schemeClr val="dk1"/>
              </a:solidFill>
              <a:effectLst/>
              <a:latin typeface="+mn-lt"/>
              <a:ea typeface="+mn-ea"/>
              <a:cs typeface="+mn-cs"/>
            </a:rPr>
            <a:t>Working is in Q column to AE Column followed by findings below the working.</a:t>
          </a:r>
          <a:endParaRPr lang="en-IN" sz="1200" b="1" i="0" u="none" strike="noStrike">
            <a:solidFill>
              <a:schemeClr val="dk1"/>
            </a:solidFill>
            <a:effectLst/>
            <a:latin typeface="+mn-lt"/>
            <a:ea typeface="+mn-ea"/>
            <a:cs typeface="+mn-cs"/>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r:id="rId1" refreshedBy="ACER" refreshedDate="46313.760474074072" createdVersion="6" refreshedVersion="6" minRefreshableVersion="3" recordCount="372">
  <cacheSource type="worksheet">
    <worksheetSource ref="A1:AD373" sheet="All_India_Index_Upto_April"/>
  </cacheSource>
  <cacheFields count="30">
    <cacheField name="Sector" numFmtId="0">
      <sharedItems count="3">
        <s v="Rural"/>
        <s v="Urban"/>
        <s v="Rural+Urban"/>
      </sharedItems>
    </cacheField>
    <cacheField name="Year" numFmtId="0">
      <sharedItems containsSemiMixedTypes="0" containsString="0" containsNumber="1" containsInteger="1" minValue="2013" maxValue="2023" count="11">
        <n v="2013"/>
        <n v="2014"/>
        <n v="2015"/>
        <n v="2016"/>
        <n v="2017"/>
        <n v="2018"/>
        <n v="2019"/>
        <n v="2020"/>
        <n v="2021"/>
        <n v="2022"/>
        <n v="2023"/>
      </sharedItems>
    </cacheField>
    <cacheField name="Month" numFmtId="0">
      <sharedItems count="14">
        <s v="January"/>
        <s v="February"/>
        <s v="March"/>
        <s v="April"/>
        <s v="May"/>
        <s v="June"/>
        <s v="July"/>
        <s v="August"/>
        <s v="September"/>
        <s v="October"/>
        <s v="November "/>
        <s v="November"/>
        <s v="December"/>
        <s v="Marcrh"/>
      </sharedItems>
    </cacheField>
    <cacheField name="Cereals and products" numFmtId="0">
      <sharedItems containsMixedTypes="1" containsNumber="1" minValue="107.5" maxValue="174.8" count="253">
        <n v="107.5"/>
        <n v="110.5"/>
        <n v="108.4"/>
        <n v="109.2"/>
        <n v="112.9"/>
        <n v="110.4"/>
        <n v="110.2"/>
        <n v="113.9"/>
        <n v="111.4"/>
        <n v="114.6"/>
        <n v="111.6"/>
        <n v="110.9"/>
        <n v="115.4"/>
        <n v="112.3"/>
        <n v="117"/>
        <n v="113.8"/>
        <n v="113.4"/>
        <n v="117.8"/>
        <n v="114.8"/>
        <n v="114.3"/>
        <n v="118.3"/>
        <n v="115.6"/>
        <n v="118.6"/>
        <n v="116.4"/>
        <n v="116.3"/>
        <n v="118.9"/>
        <n v="117.1"/>
        <n v="117.3"/>
        <n v="119.8"/>
        <n v="118.1"/>
        <n v="118.4"/>
        <n v="120.5"/>
        <n v="119.1"/>
        <n v="121.2"/>
        <n v="119.6"/>
        <n v="119.4"/>
        <n v="121.9"/>
        <n v="120.2"/>
        <n v="120.1"/>
        <n v="122.1"/>
        <n v="120.7"/>
        <n v="122.5"/>
        <n v="120.9"/>
        <n v="120.3"/>
        <n v="122.7"/>
        <n v="121.1"/>
        <n v="123.1"/>
        <n v="121.5"/>
        <n v="121.7"/>
        <n v="123.8"/>
        <n v="122.4"/>
        <n v="121.8"/>
        <n v="124.8"/>
        <n v="122.3"/>
        <n v="124.2"/>
        <n v="122.9"/>
        <n v="122.6"/>
        <n v="124.6"/>
        <n v="123.2"/>
        <n v="124.5"/>
        <n v="123.3"/>
        <n v="124"/>
        <n v="123.4"/>
        <n v="124.3"/>
        <n v="123.7"/>
        <n v="123.5"/>
        <n v="123.6"/>
        <n v="124.1"/>
        <n v="123.9"/>
        <n v="124.7"/>
        <n v="125.1"/>
        <n v="125.6"/>
        <n v="125"/>
        <n v="126.1"/>
        <n v="125.4"/>
        <n v="126.3"/>
        <n v="125.7"/>
        <n v="126.8"/>
        <n v="127.1"/>
        <n v="126.4"/>
        <n v="127.3"/>
        <n v="126.5"/>
        <n v="127.4"/>
        <n v="124.9"/>
        <n v="126.6"/>
        <n v="127.6"/>
        <n v="128.6"/>
        <n v="125.9"/>
        <n v="127.7"/>
        <n v="129.30000000000001"/>
        <n v="128.5"/>
        <n v="130.1"/>
        <n v="130.80000000000001"/>
        <n v="128.1"/>
        <n v="129.9"/>
        <n v="131.30000000000001"/>
        <n v="128.69999999999999"/>
        <n v="130.5"/>
        <n v="132"/>
        <n v="130.19999999999999"/>
        <n v="131.4"/>
        <n v="132.6"/>
        <n v="131.6"/>
        <n v="132.30000000000001"/>
        <n v="133.1"/>
        <n v="132.19999999999999"/>
        <n v="132.80000000000001"/>
        <n v="133.30000000000001"/>
        <n v="133.6"/>
        <n v="132.69999999999999"/>
        <n v="133.19999999999999"/>
        <n v="133"/>
        <n v="132.9"/>
        <n v="133.5"/>
        <n v="134"/>
        <n v="134.80000000000001"/>
        <n v="134.30000000000001"/>
        <n v="135.19999999999999"/>
        <n v="134.69999999999999"/>
        <n v="135.9"/>
        <n v="133.9"/>
        <n v="135.30000000000001"/>
        <n v="136.30000000000001"/>
        <n v="135.69999999999999"/>
        <n v="136.4"/>
        <n v="134.4"/>
        <n v="135.80000000000001"/>
        <n v="136.6"/>
        <n v="134.6"/>
        <n v="136"/>
        <n v="136.80000000000001"/>
        <n v="135"/>
        <n v="136.19999999999999"/>
        <n v="137.1"/>
        <n v="137.4"/>
        <n v="137.6"/>
        <n v="136.9"/>
        <n v="138.4"/>
        <n v="135.6"/>
        <n v="137.5"/>
        <n v="139.19999999999999"/>
        <n v="136.5"/>
        <n v="138.30000000000001"/>
        <n v="139.4"/>
        <n v="137"/>
        <n v="138.6"/>
        <n v="139.30000000000001"/>
        <n v="138.1"/>
        <n v="138.5"/>
        <n v="139.69999999999999"/>
        <n v="137.80000000000001"/>
        <n v="140.4"/>
        <n v="140.69999999999999"/>
        <n v="138.69999999999999"/>
        <n v="141.4"/>
        <n v="142.1"/>
        <n v="140.1"/>
        <n v="142.69999999999999"/>
        <n v="140.9"/>
        <n v="141"/>
        <n v="143.5"/>
        <n v="141.80000000000001"/>
        <n v="144.1"/>
        <n v="142.5"/>
        <n v="142.80000000000001"/>
        <n v="144.9"/>
        <n v="143.69999999999999"/>
        <n v="145.6"/>
        <n v="144.30000000000001"/>
        <n v="144.19999999999999"/>
        <n v="146.19999999999999"/>
        <n v="144.80000000000001"/>
        <n v="144.4"/>
        <n v="146.5"/>
        <n v="145.1"/>
        <n v="147.19999999999999"/>
        <n v="151.80000000000001"/>
        <n v="148.69999999999999"/>
        <s v="NA"/>
        <n v="148.19999999999999"/>
        <n v="152.69999999999999"/>
        <n v="149.6"/>
        <n v="147.6"/>
        <n v="151.6"/>
        <n v="148.9"/>
        <n v="146.9"/>
        <n v="151.5"/>
        <n v="148.4"/>
        <n v="146"/>
        <n v="150.6"/>
        <n v="147.5"/>
        <n v="145.4"/>
        <n v="149.69999999999999"/>
        <n v="146.80000000000001"/>
        <n v="144.6"/>
        <n v="149"/>
        <n v="143.4"/>
        <n v="148"/>
        <n v="148.80000000000001"/>
        <n v="146.30000000000001"/>
        <n v="149.19999999999999"/>
        <n v="146.69999999999999"/>
        <n v="149.1"/>
        <n v="146.4"/>
        <n v="149.30000000000001"/>
        <n v="146.6"/>
        <n v="146.1"/>
        <n v="150.1"/>
        <n v="147.4"/>
        <n v="151"/>
        <n v="148.30000000000001"/>
        <n v="152.19999999999999"/>
        <n v="149.5"/>
        <n v="152.5"/>
        <n v="150"/>
        <n v="150.19999999999999"/>
        <n v="153.69999999999999"/>
        <n v="151.30000000000001"/>
        <n v="155.4"/>
        <n v="152.9"/>
        <n v="156.69999999999999"/>
        <n v="154.1"/>
        <n v="153.80000000000001"/>
        <n v="157.5"/>
        <n v="155"/>
        <n v="155.19999999999999"/>
        <n v="159.30000000000001"/>
        <n v="156.5"/>
        <n v="159.5"/>
        <n v="162.1"/>
        <n v="160.30000000000001"/>
        <n v="162.9"/>
        <n v="164.9"/>
        <n v="163.5"/>
        <n v="164.7"/>
        <n v="166.4"/>
        <n v="165.2"/>
        <n v="166.9"/>
        <n v="168.4"/>
        <n v="167.4"/>
        <n v="168.8"/>
        <n v="170.2"/>
        <n v="169.2"/>
        <n v="174"/>
        <n v="173.3"/>
        <n v="173.8"/>
        <n v="174.2"/>
        <n v="174.7"/>
        <n v="174.4"/>
        <n v="174.3"/>
        <n v="174.8"/>
        <n v="173.2"/>
        <n v="173.7"/>
      </sharedItems>
    </cacheField>
    <cacheField name="Meat and fish" numFmtId="0">
      <sharedItems containsMixedTypes="1" containsNumber="1" minValue="106.3" maxValue="223.4" count="291">
        <n v="106.3"/>
        <n v="109.1"/>
        <n v="107.3"/>
        <n v="108.7"/>
        <n v="112.9"/>
        <n v="110.2"/>
        <n v="108.8"/>
        <n v="111.4"/>
        <n v="109.7"/>
        <n v="109.5"/>
        <n v="113.4"/>
        <n v="110.9"/>
        <n v="109.8"/>
        <n v="114.2"/>
        <n v="111.3"/>
        <n v="112.1"/>
        <n v="120.1"/>
        <n v="114.9"/>
        <n v="119.2"/>
        <n v="116.4"/>
        <n v="115.4"/>
        <n v="120.4"/>
        <n v="117.2"/>
        <n v="115.7"/>
        <n v="119.1"/>
        <n v="116.9"/>
        <n v="118.1"/>
        <n v="116.3"/>
        <n v="115.9"/>
        <n v="116.7"/>
        <n v="117.1"/>
        <n v="122"/>
        <n v="118.8"/>
        <n v="117.7"/>
        <n v="121.4"/>
        <n v="119.3"/>
        <n v="118.9"/>
        <n v="121.7"/>
        <n v="119.9"/>
        <n v="120.2"/>
        <n v="124.1"/>
        <n v="121.6"/>
        <n v="125.9"/>
        <n v="123.1"/>
        <n v="122.5"/>
        <n v="126.4"/>
        <n v="123.9"/>
        <n v="122.8"/>
        <n v="127.3"/>
        <n v="124.4"/>
        <n v="122.4"/>
        <n v="125.4"/>
        <n v="123.5"/>
        <n v="126.1"/>
        <n v="123.8"/>
        <n v="122.6"/>
        <n v="125.6"/>
        <n v="123.7"/>
        <n v="124.7"/>
        <n v="123.2"/>
        <n v="125.5"/>
        <n v="126.5"/>
        <n v="125.1"/>
        <n v="126.7"/>
        <n v="128.19999999999999"/>
        <n v="127.1"/>
        <n v="129.69999999999999"/>
        <n v="128"/>
        <n v="130.4"/>
        <n v="134.4"/>
        <n v="131.80000000000001"/>
        <n v="131.5"/>
        <n v="134.30000000000001"/>
        <n v="132.5"/>
        <n v="131.30000000000001"/>
        <n v="131.69999999999999"/>
        <n v="131.4"/>
        <n v="131.1"/>
        <n v="129"/>
        <n v="128.6"/>
        <n v="129.80000000000001"/>
        <n v="130.6"/>
        <n v="130.30000000000001"/>
        <n v="133.19999999999999"/>
        <n v="135.9"/>
        <n v="134.1"/>
        <n v="133.69999999999999"/>
        <n v="135.1"/>
        <n v="134.19999999999999"/>
        <n v="136.30000000000001"/>
        <n v="135.4"/>
        <n v="139.30000000000001"/>
        <n v="136.80000000000001"/>
        <n v="137.5"/>
        <n v="142.1"/>
        <n v="139.1"/>
        <n v="138.6"/>
        <n v="143.9"/>
        <n v="140.5"/>
        <n v="139.5"/>
        <n v="144.19999999999999"/>
        <n v="141.19999999999999"/>
        <n v="138.80000000000001"/>
        <n v="140.30000000000001"/>
        <n v="138.19999999999999"/>
        <n v="137.69999999999999"/>
        <n v="138"/>
        <n v="137.6"/>
        <n v="138.4"/>
        <n v="137.9"/>
        <n v="137.4"/>
        <n v="138.5"/>
        <n v="137.80000000000001"/>
        <n v="137.30000000000001"/>
        <n v="138.9"/>
        <n v="138.30000000000001"/>
        <n v="139.80000000000001"/>
        <n v="139.4"/>
        <n v="139"/>
        <n v="138.69999999999999"/>
        <n v="140.6"/>
        <n v="144.1"/>
        <n v="141.6"/>
        <n v="143.69999999999999"/>
        <n v="148.69999999999999"/>
        <n v="145.5"/>
        <n v="148.4"/>
        <n v="145.69999999999999"/>
        <n v="143.1"/>
        <n v="143.4"/>
        <n v="142"/>
        <n v="143"/>
        <n v="142.4"/>
        <n v="141.9"/>
        <n v="142.80000000000001"/>
        <n v="142.19999999999999"/>
        <n v="142.5"/>
        <n v="142.6"/>
        <n v="143.30000000000001"/>
        <n v="144.4"/>
        <n v="143.5"/>
        <n v="143.80000000000001"/>
        <n v="143.6"/>
        <n v="144.5"/>
        <n v="144.30000000000001"/>
        <n v="148.19999999999999"/>
        <n v="146.6"/>
        <n v="148.1"/>
        <n v="149.69999999999999"/>
        <n v="149.30000000000001"/>
        <n v="148.6"/>
        <n v="149.1"/>
        <n v="148.80000000000001"/>
        <n v="146.4"/>
        <n v="148"/>
        <n v="147.19999999999999"/>
        <n v="145.80000000000001"/>
        <n v="147.6"/>
        <n v="144.9"/>
        <n v="149.5"/>
        <n v="150.80000000000001"/>
        <n v="146.30000000000001"/>
        <n v="149.19999999999999"/>
        <n v="151.9"/>
        <n v="147.80000000000001"/>
        <n v="150.5"/>
        <n v="152.5"/>
        <n v="149.4"/>
        <n v="151.4"/>
        <n v="153"/>
        <n v="150.1"/>
        <n v="152"/>
        <n v="154.1"/>
        <n v="151.1"/>
        <n v="159.5"/>
        <n v="156.69999999999999"/>
        <n v="158.5"/>
        <n v="163.5"/>
        <n v="159.6"/>
        <n v="162.1"/>
        <n v="164"/>
        <n v="160.19999999999999"/>
        <n v="162.69999999999999"/>
        <n v="161.9"/>
        <n v="158.30000000000001"/>
        <n v="160.6"/>
        <n v="158.69999999999999"/>
        <n v="160.80000000000001"/>
        <n v="161.6"/>
        <n v="159.80000000000001"/>
        <n v="161"/>
        <n v="163.69999999999999"/>
        <n v="162.4"/>
        <n v="163.19999999999999"/>
        <n v="165.3"/>
        <n v="164.5"/>
        <n v="165"/>
        <n v="167.3"/>
        <n v="167.6"/>
        <n v="167.4"/>
        <n v="167.5"/>
        <n v="166.8"/>
        <n v="167"/>
        <s v="NA"/>
        <n v="190.3"/>
        <n v="197"/>
        <n v="192.7"/>
        <n v="187.2"/>
        <n v="197.8"/>
        <n v="190.9"/>
        <n v="183.9"/>
        <n v="193.1"/>
        <n v="187.1"/>
        <n v="186.3"/>
        <n v="193.7"/>
        <n v="188.9"/>
        <n v="188.6"/>
        <n v="195.5"/>
        <n v="191"/>
        <n v="188.5"/>
        <n v="195.7"/>
        <n v="187.5"/>
        <n v="194.8"/>
        <n v="190.1"/>
        <n v="184"/>
        <n v="191.2"/>
        <n v="186.5"/>
        <n v="189.4"/>
        <n v="197.5"/>
        <n v="192.2"/>
        <n v="202.5"/>
        <n v="198"/>
        <n v="198.5"/>
        <n v="204.3"/>
        <n v="200.5"/>
        <n v="200.1"/>
        <n v="205.5"/>
        <n v="202"/>
        <n v="204.5"/>
        <n v="210.9"/>
        <n v="206.8"/>
        <n v="202.3"/>
        <n v="207.4"/>
        <n v="204"/>
        <n v="202.1"/>
        <n v="208.4"/>
        <n v="204.6"/>
        <n v="199.8"/>
        <n v="204.9"/>
        <n v="201.6"/>
        <n v="202.2"/>
        <n v="198.8"/>
        <n v="196.9"/>
        <n v="198.7"/>
        <n v="198.1"/>
        <n v="205.2"/>
        <n v="200.6"/>
        <n v="208"/>
        <n v="215.8"/>
        <n v="210.7"/>
        <n v="209.7"/>
        <n v="211.8"/>
        <n v="214.7"/>
        <n v="221.2"/>
        <n v="217"/>
        <n v="217.2"/>
        <n v="223.4"/>
        <n v="219.4"/>
        <n v="210.8"/>
        <n v="217.1"/>
        <n v="213"/>
        <n v="204.1"/>
        <n v="206.5"/>
        <n v="206.7"/>
        <n v="213.7"/>
        <n v="209.2"/>
        <n v="208.8"/>
        <n v="214.9"/>
        <n v="207.2"/>
        <n v="213.4"/>
        <n v="209.4"/>
        <n v="206.9"/>
        <n v="212.9"/>
        <n v="209"/>
        <n v="208.3"/>
        <n v="215.2"/>
        <n v="212.2"/>
        <n v="207.7"/>
        <n v="209.3"/>
        <n v="211.5"/>
        <n v="214.3"/>
      </sharedItems>
    </cacheField>
    <cacheField name="Egg" numFmtId="0">
      <sharedItems containsMixedTypes="1" containsNumber="1" minValue="102.7" maxValue="197" count="283">
        <n v="108.1"/>
        <n v="113"/>
        <n v="110"/>
        <n v="110.2"/>
        <n v="116.9"/>
        <n v="112.8"/>
        <n v="109.9"/>
        <n v="113.2"/>
        <n v="111.2"/>
        <n v="106.9"/>
        <n v="106"/>
        <n v="106.6"/>
        <n v="105.9"/>
        <n v="102.7"/>
        <n v="104.7"/>
        <n v="112.5"/>
        <n v="109.8"/>
        <n v="110.5"/>
        <n v="114"/>
        <n v="111.9"/>
        <n v="111.1"/>
        <n v="112.7"/>
        <n v="111.7"/>
        <n v="112.3"/>
        <n v="112.6"/>
        <n v="114.5"/>
        <n v="113.3"/>
        <n v="116.2"/>
        <n v="122.6"/>
        <n v="118.7"/>
        <n v="120.4"/>
        <n v="128.5"/>
        <n v="123.5"/>
        <n v="120.5"/>
        <n v="129.9"/>
        <n v="124.1"/>
        <n v="121.2"/>
        <n v="124.5"/>
        <n v="122.5"/>
        <n v="120.7"/>
        <n v="121.5"/>
        <n v="121"/>
        <n v="118.1"/>
        <n v="114.2"/>
        <n v="115.9"/>
        <n v="116.1"/>
        <n v="115.4"/>
        <n v="115.8"/>
        <n v="117.7"/>
        <n v="118"/>
        <n v="117.8"/>
        <n v="116.5"/>
        <n v="117.3"/>
        <n v="116.4"/>
        <n v="118.3"/>
        <n v="119.9"/>
        <n v="122.7"/>
        <n v="121.8"/>
        <n v="126.3"/>
        <n v="122.1"/>
        <n v="126.6"/>
        <n v="123.8"/>
        <n v="119.5"/>
        <n v="121.1"/>
        <n v="118.9"/>
        <n v="113.5"/>
        <n v="116.8"/>
        <n v="117.2"/>
        <n v="114.4"/>
        <n v="111.3"/>
        <n v="115"/>
        <n v="120.9"/>
        <n v="121.6"/>
        <n v="122"/>
        <n v="121.3"/>
        <n v="120.1"/>
        <n v="115.6"/>
        <n v="120.8"/>
        <n v="121.7"/>
        <n v="123.3"/>
        <n v="127.1"/>
        <n v="124.8"/>
        <n v="126.5"/>
        <n v="132"/>
        <n v="128.6"/>
        <n v="127.7"/>
        <n v="130.30000000000001"/>
        <n v="128.69999999999999"/>
        <n v="125.1"/>
        <n v="123.7"/>
        <n v="124.6"/>
        <n v="123.4"/>
        <n v="124.4"/>
        <n v="127"/>
        <n v="125.4"/>
        <n v="130.9"/>
        <n v="128.30000000000001"/>
        <n v="129.6"/>
        <n v="136.6"/>
        <n v="132.30000000000001"/>
        <n v="133.69999999999999"/>
        <n v="131.6"/>
        <n v="130.5"/>
        <n v="130.6"/>
        <n v="130.1"/>
        <n v="130.19999999999999"/>
        <n v="134.1"/>
        <n v="134.9"/>
        <n v="132.9"/>
        <n v="131.9"/>
        <n v="132.6"/>
        <n v="132.19999999999999"/>
        <n v="129.30000000000001"/>
        <n v="128.80000000000001"/>
        <n v="128.4"/>
        <n v="126.1"/>
        <n v="126.8"/>
        <n v="125.6"/>
        <n v="128"/>
        <n v="128.1"/>
        <n v="129.80000000000001"/>
        <n v="129.4"/>
        <n v="130"/>
        <n v="129.69999999999999"/>
        <n v="131"/>
        <n v="131.4"/>
        <n v="131.19999999999999"/>
        <n v="140.5"/>
        <n v="146.69999999999999"/>
        <n v="142.9"/>
        <n v="144.80000000000001"/>
        <n v="145.9"/>
        <n v="145.19999999999999"/>
        <n v="143.80000000000001"/>
        <n v="143.6"/>
        <n v="143.69999999999999"/>
        <n v="140.6"/>
        <n v="139.9"/>
        <n v="140.30000000000001"/>
        <n v="140"/>
        <n v="135.5"/>
        <n v="138.30000000000001"/>
        <n v="135.9"/>
        <n v="130.80000000000001"/>
        <n v="133.9"/>
        <n v="133.6"/>
        <n v="136.69999999999999"/>
        <n v="135.6"/>
        <n v="139.30000000000001"/>
        <n v="139.1"/>
        <n v="139.19999999999999"/>
        <n v="138.1"/>
        <n v="132.80000000000001"/>
        <n v="135.1"/>
        <n v="134.6"/>
        <n v="133.5"/>
        <n v="137.30000000000001"/>
        <n v="137.80000000000001"/>
        <n v="137.1"/>
        <n v="137.4"/>
        <n v="141.1"/>
        <n v="138.80000000000001"/>
        <n v="138.19999999999999"/>
        <n v="143.5"/>
        <n v="140.19999999999999"/>
        <n v="145.30000000000001"/>
        <n v="141.5"/>
        <n v="138.69999999999999"/>
        <n v="134.5"/>
        <n v="136"/>
        <n v="136.19999999999999"/>
        <n v="140.4"/>
        <n v="138.4"/>
        <n v="142.5"/>
        <n v="140.80000000000001"/>
        <n v="138.5"/>
        <n v="141.6"/>
        <n v="139.6"/>
        <n v="141.19999999999999"/>
        <n v="144.69999999999999"/>
        <n v="142.6"/>
        <n v="148.4"/>
        <n v="145.6"/>
        <n v="149.5"/>
        <n v="153.69999999999999"/>
        <n v="151.1"/>
        <n v="153.5"/>
        <n v="157"/>
        <n v="154.9"/>
        <n v="150.9"/>
        <n v="153.1"/>
        <n v="151.80000000000001"/>
        <n v="147.6"/>
        <n v="148.9"/>
        <n v="148.1"/>
        <n v="146.9"/>
        <n v="151.9"/>
        <n v="148.80000000000001"/>
        <s v="NA"/>
        <n v="149.4"/>
        <n v="154.6"/>
        <n v="151.4"/>
        <n v="154.5"/>
        <n v="150.80000000000001"/>
        <n v="157.30000000000001"/>
        <n v="152.5"/>
        <n v="159.19999999999999"/>
        <n v="164.8"/>
        <n v="161.4"/>
        <n v="171.6"/>
        <n v="176.9"/>
        <n v="173.6"/>
        <n v="173.4"/>
        <n v="178.3"/>
        <n v="175.3"/>
        <n v="178.4"/>
        <n v="168"/>
        <n v="169.9"/>
        <n v="168.7"/>
        <n v="163.19999999999999"/>
        <n v="164.7"/>
        <n v="163.80000000000001"/>
        <n v="163.4"/>
        <n v="166.4"/>
        <n v="164.6"/>
        <n v="168.6"/>
        <n v="173"/>
        <n v="170.3"/>
        <n v="179.3"/>
        <n v="182.8"/>
        <n v="180.7"/>
        <n v="180.4"/>
        <n v="185"/>
        <n v="182.2"/>
        <n v="176.5"/>
        <n v="174.1"/>
        <n v="172.8"/>
        <n v="172"/>
        <n v="170.1"/>
        <n v="171.2"/>
        <n v="171.5"/>
        <n v="175.4"/>
        <n v="180"/>
        <n v="177.9"/>
        <n v="178"/>
        <n v="180.1"/>
        <n v="178.8"/>
        <n v="175.5"/>
        <n v="176.4"/>
        <n v="175.8"/>
        <n v="167.9"/>
        <n v="167.7"/>
        <n v="167.8"/>
        <n v="164.5"/>
        <n v="164.1"/>
        <n v="162.4"/>
        <n v="169.6"/>
        <n v="170.8"/>
        <n v="174.3"/>
        <n v="176.6"/>
        <n v="175.2"/>
        <n v="168.3"/>
        <n v="170.6"/>
        <n v="169.2"/>
        <n v="169"/>
        <n v="170.9"/>
        <n v="169.7"/>
        <n v="171.9"/>
        <n v="180.2"/>
        <n v="183.2"/>
        <n v="181.4"/>
        <n v="189.1"/>
        <n v="191.9"/>
        <n v="190.2"/>
        <n v="192.9"/>
        <n v="197"/>
        <n v="194.5"/>
        <n v="173.9"/>
        <n v="177.2"/>
        <n v="172.4"/>
        <n v="171"/>
        <n v="176.7"/>
        <n v="173.2"/>
      </sharedItems>
    </cacheField>
    <cacheField name="Milk and products" numFmtId="0">
      <sharedItems containsMixedTypes="1" containsNumber="1" minValue="103.6" maxValue="179.6" count="269">
        <n v="104.9"/>
        <n v="103.6"/>
        <n v="104.4"/>
        <n v="105.4"/>
        <n v="104"/>
        <n v="105.6"/>
        <n v="104.3"/>
        <n v="105.1"/>
        <n v="106.3"/>
        <n v="104.7"/>
        <n v="105.7"/>
        <n v="107.5"/>
        <n v="105.5"/>
        <n v="106.8"/>
        <n v="108.3"/>
        <n v="107.3"/>
        <n v="107.9"/>
        <n v="109.3"/>
        <n v="108.9"/>
        <n v="110"/>
        <n v="109.6"/>
        <n v="111"/>
        <n v="110.5"/>
        <n v="111.7"/>
        <n v="110.4"/>
        <n v="111.2"/>
        <n v="112.8"/>
        <n v="112"/>
        <n v="112.5"/>
        <n v="113.8"/>
        <n v="113.4"/>
        <n v="114.4"/>
        <n v="113.6"/>
        <n v="114.1"/>
        <n v="115"/>
        <n v="115.2"/>
        <n v="115.1"/>
        <n v="116.1"/>
        <n v="116.2"/>
        <n v="117"/>
        <n v="118"/>
        <n v="119.1"/>
        <n v="118.4"/>
        <n v="119.3"/>
        <n v="120.4"/>
        <n v="119.7"/>
        <n v="120.6"/>
        <n v="121.6"/>
        <n v="121"/>
        <n v="121.9"/>
        <n v="122.2"/>
        <n v="122"/>
        <n v="122.7"/>
        <n v="123.2"/>
        <n v="123.1"/>
        <n v="124"/>
        <n v="124.6"/>
        <n v="124.2"/>
        <n v="124.9"/>
        <n v="124.5"/>
        <n v="125.2"/>
        <n v="125"/>
        <n v="125.8"/>
        <n v="125.6"/>
        <n v="125.7"/>
        <n v="126"/>
        <n v="125.9"/>
        <n v="126.8"/>
        <n v="126.3"/>
        <n v="126.6"/>
        <n v="127.7"/>
        <n v="127.3"/>
        <n v="128.69999999999999"/>
        <n v="128.19999999999999"/>
        <n v="128.30000000000001"/>
        <n v="128.80000000000001"/>
        <n v="128"/>
        <n v="128.5"/>
        <n v="129.19999999999999"/>
        <n v="128.9"/>
        <n v="129.4"/>
        <n v="129.1"/>
        <n v="129.5"/>
        <n v="128.6"/>
        <n v="129.80000000000001"/>
        <n v="130.30000000000001"/>
        <n v="129.9"/>
        <n v="130.69999999999999"/>
        <n v="129.6"/>
        <n v="130.5"/>
        <n v="129.69999999999999"/>
        <n v="130.19999999999999"/>
        <n v="131.30000000000001"/>
        <n v="130.9"/>
        <n v="132.4"/>
        <n v="130.4"/>
        <n v="131.69999999999999"/>
        <n v="133.6"/>
        <n v="131"/>
        <n v="132.6"/>
        <n v="134.5"/>
        <n v="131.80000000000001"/>
        <n v="133.5"/>
        <n v="135.30000000000001"/>
        <n v="132.19999999999999"/>
        <n v="134.1"/>
        <n v="135.5"/>
        <n v="134.4"/>
        <n v="136"/>
        <n v="132.69999999999999"/>
        <n v="134.80000000000001"/>
        <n v="136.19999999999999"/>
        <n v="132.9"/>
        <n v="135"/>
        <n v="136.30000000000001"/>
        <n v="133.1"/>
        <n v="135.1"/>
        <n v="136.69999999999999"/>
        <n v="135.4"/>
        <n v="137.19999999999999"/>
        <n v="135.80000000000001"/>
        <n v="134.9"/>
        <n v="137.69999999999999"/>
        <n v="138.19999999999999"/>
        <n v="136.80000000000001"/>
        <n v="138.6"/>
        <n v="137.30000000000001"/>
        <n v="138.1"/>
        <n v="139"/>
        <n v="138.5"/>
        <n v="139.4"/>
        <n v="138.30000000000001"/>
        <n v="140.19999999999999"/>
        <n v="138.69999999999999"/>
        <n v="139.6"/>
        <n v="141.5"/>
        <n v="139.1"/>
        <n v="140.6"/>
        <n v="139.5"/>
        <n v="140.80000000000001"/>
        <n v="141.9"/>
        <n v="141"/>
        <n v="142"/>
        <n v="141.1"/>
        <n v="139.9"/>
        <n v="140.9"/>
        <n v="141.19999999999999"/>
        <n v="142.4"/>
        <n v="140.30000000000001"/>
        <n v="141.6"/>
        <n v="142.9"/>
        <n v="140.69999999999999"/>
        <n v="142.1"/>
        <n v="143.19999999999999"/>
        <n v="142.30000000000001"/>
        <n v="143.4"/>
        <n v="142.5"/>
        <n v="143.5"/>
        <n v="142.6"/>
        <n v="143.69999999999999"/>
        <n v="141.80000000000001"/>
        <n v="141.69999999999999"/>
        <n v="142.19999999999999"/>
        <n v="143.30000000000001"/>
        <n v="143.9"/>
        <n v="144.1"/>
        <n v="144"/>
        <n v="144.6"/>
        <n v="144.9"/>
        <n v="144.69999999999999"/>
        <n v="145.69999999999999"/>
        <n v="145.4"/>
        <n v="146.5"/>
        <n v="145.6"/>
        <n v="146.19999999999999"/>
        <n v="147.1"/>
        <n v="145.9"/>
        <n v="146.69999999999999"/>
        <n v="148.69999999999999"/>
        <n v="147.5"/>
        <n v="148.30000000000001"/>
        <n v="150.5"/>
        <n v="149.30000000000001"/>
        <n v="150.1"/>
        <n v="150.9"/>
        <n v="150.69999999999999"/>
        <n v="150.80000000000001"/>
        <n v="151.69999999999999"/>
        <n v="151.1"/>
        <n v="151.5"/>
        <n v="155.6"/>
        <n v="155.5"/>
        <s v="NA"/>
        <n v="153.30000000000001"/>
        <n v="153.4"/>
        <n v="153.9"/>
        <n v="153.6"/>
        <n v="153.69999999999999"/>
        <n v="153.80000000000001"/>
        <n v="154"/>
        <n v="154.19999999999999"/>
        <n v="154.1"/>
        <n v="154.4"/>
        <n v="155.1"/>
        <n v="154.69999999999999"/>
        <n v="154.5"/>
        <n v="154.9"/>
        <n v="155"/>
        <n v="156"/>
        <n v="155.4"/>
        <n v="155.80000000000001"/>
        <n v="156.5"/>
        <n v="156.1"/>
        <n v="156.19999999999999"/>
        <n v="157.1"/>
        <n v="158.19999999999999"/>
        <n v="157.5"/>
        <n v="159.19999999999999"/>
        <n v="158.4"/>
        <n v="158"/>
        <n v="159.1"/>
        <n v="158.69999999999999"/>
        <n v="159.6"/>
        <n v="159.30000000000001"/>
        <n v="159.80000000000001"/>
        <n v="160"/>
        <n v="159.9"/>
        <n v="160.5"/>
        <n v="160.4"/>
        <n v="160.69999999999999"/>
        <n v="160.6"/>
        <n v="162"/>
        <n v="162.6"/>
        <n v="162.19999999999999"/>
        <n v="163.80000000000001"/>
        <n v="164.2"/>
        <n v="163.9"/>
        <n v="164.6"/>
        <n v="165.4"/>
        <n v="164.9"/>
        <n v="166.4"/>
        <n v="165.8"/>
        <n v="166.3"/>
        <n v="167.1"/>
        <n v="166.6"/>
        <n v="167.9"/>
        <n v="168.4"/>
        <n v="168.1"/>
        <n v="169.5"/>
        <n v="170.1"/>
        <n v="169.7"/>
        <n v="170.9"/>
        <n v="171"/>
        <n v="172.3"/>
        <n v="173.4"/>
        <n v="173.9"/>
        <n v="173.6"/>
        <n v="174.3"/>
        <n v="175.2"/>
        <n v="174.6"/>
        <n v="177"/>
        <n v="177.9"/>
        <n v="177.3"/>
        <n v="178.2"/>
        <n v="178.8"/>
        <n v="178.4"/>
        <n v="179.6"/>
        <n v="179.4"/>
        <n v="179.5"/>
      </sharedItems>
    </cacheField>
    <cacheField name="Oils and fats" numFmtId="0">
      <sharedItems containsMixedTypes="1" containsNumber="1" minValue="101.1" maxValue="209.9" count="257">
        <n v="106.1"/>
        <n v="103.4"/>
        <n v="105.1"/>
        <n v="106.7"/>
        <n v="103.5"/>
        <n v="105.5"/>
        <n v="106.2"/>
        <n v="102.7"/>
        <n v="104.9"/>
        <n v="105.7"/>
        <n v="102.1"/>
        <n v="104.4"/>
        <n v="105.3"/>
        <n v="101.5"/>
        <n v="103.9"/>
        <n v="105.9"/>
        <n v="101.3"/>
        <n v="104.2"/>
        <n v="101.1"/>
        <n v="104.3"/>
        <n v="106.4"/>
        <n v="104.5"/>
        <n v="107.4"/>
        <n v="101.7"/>
        <n v="107.7"/>
        <n v="102.3"/>
        <n v="108.9"/>
        <n v="103.2"/>
        <n v="106.8"/>
        <n v="109.5"/>
        <n v="107.3"/>
        <n v="109"/>
        <n v="102.9"/>
        <n v="102.5"/>
        <n v="106.6"/>
        <n v="109.3"/>
        <n v="102.8"/>
        <n v="106.9"/>
        <n v="109.7"/>
        <n v="103.1"/>
        <n v="110.1"/>
        <n v="110.3"/>
        <n v="107.8"/>
        <n v="110.4"/>
        <n v="107.9"/>
        <n v="110.6"/>
        <n v="103.6"/>
        <n v="108"/>
        <n v="110.5"/>
        <n v="110.2"/>
        <n v="103"/>
        <n v="107.6"/>
        <n v="111"/>
        <n v="108.5"/>
        <n v="111.5"/>
        <n v="109.1"/>
        <n v="111.8"/>
        <n v="104.8"/>
        <n v="109.2"/>
        <n v="111.9"/>
        <n v="112.5"/>
        <n v="105.2"/>
        <n v="109.8"/>
        <n v="114.1"/>
        <n v="106"/>
        <n v="111.1"/>
        <n v="113.5"/>
        <n v="106.3"/>
        <n v="110.9"/>
        <n v="114"/>
        <n v="111.4"/>
        <n v="114.7"/>
        <n v="107"/>
        <n v="115.8"/>
        <n v="113.3"/>
        <n v="117.8"/>
        <n v="110"/>
        <n v="114.9"/>
        <n v="118.3"/>
        <n v="115.3"/>
        <n v="118.9"/>
        <n v="115.5"/>
        <n v="118.5"/>
        <n v="108.4"/>
        <n v="114.8"/>
        <n v="114.5"/>
        <n v="118.2"/>
        <n v="109.6"/>
        <n v="115"/>
        <n v="118.6"/>
        <n v="119.5"/>
        <n v="116.4"/>
        <n v="119.9"/>
        <n v="116.9"/>
        <n v="120.2"/>
        <n v="117.2"/>
        <n v="120.8"/>
        <n v="121.1"/>
        <n v="112.6"/>
        <n v="118"/>
        <n v="121.6"/>
        <n v="122"/>
        <n v="119.1"/>
        <n v="122.1"/>
        <n v="114.3"/>
        <n v="119.2"/>
        <n v="118.8"/>
        <n v="121.3"/>
        <n v="118.4"/>
        <n v="113.4"/>
        <n v="118.1"/>
        <n v="120.9"/>
        <n v="120.5"/>
        <n v="120.7"/>
        <n v="121.4"/>
        <n v="119"/>
        <n v="115.2"/>
        <n v="123.1"/>
        <n v="115.9"/>
        <n v="123.2"/>
        <n v="122.9"/>
        <n v="116.2"/>
        <n v="120.4"/>
        <n v="116.5"/>
        <n v="123.5"/>
        <n v="116.6"/>
        <n v="121"/>
        <n v="123.6"/>
        <n v="124"/>
        <n v="124.1"/>
        <n v="116.7"/>
        <n v="125"/>
        <n v="117.4"/>
        <n v="122.2"/>
        <n v="124.6"/>
        <n v="122.8"/>
        <n v="124.2"/>
        <n v="123.9"/>
        <n v="121.8"/>
        <n v="124.3"/>
        <n v="124.4"/>
        <n v="119.3"/>
        <n v="122.5"/>
        <n v="124.7"/>
        <n v="125.1"/>
        <n v="125.6"/>
        <n v="126"/>
        <n v="121.5"/>
        <n v="127.5"/>
        <n v="122.7"/>
        <n v="125.7"/>
        <n v="132"/>
        <n v="126.3"/>
        <n v="129.9"/>
        <n v="133.69999999999999"/>
        <n v="127.4"/>
        <n v="131.4"/>
        <n v="133.30000000000001"/>
        <n v="131.19999999999999"/>
        <n v="137.1"/>
        <n v="131.6"/>
        <n v="135.1"/>
        <s v="NA"/>
        <n v="138.19999999999999"/>
        <n v="132.9"/>
        <n v="136.30000000000001"/>
        <n v="139.80000000000001"/>
        <n v="133.4"/>
        <n v="137.4"/>
        <n v="140.4"/>
        <n v="134.4"/>
        <n v="142.6"/>
        <n v="135.69999999999999"/>
        <n v="140.1"/>
        <n v="145.4"/>
        <n v="138"/>
        <n v="142.69999999999999"/>
        <n v="150"/>
        <n v="140.69999999999999"/>
        <n v="146.6"/>
        <n v="154.80000000000001"/>
        <n v="144.1"/>
        <n v="150.9"/>
        <n v="163"/>
        <n v="151.4"/>
        <n v="158.69999999999999"/>
        <n v="168.2"/>
        <n v="156.4"/>
        <n v="163.9"/>
        <n v="175.2"/>
        <n v="161.4"/>
        <n v="170.1"/>
        <n v="184.4"/>
        <n v="168.8"/>
        <n v="178.7"/>
        <n v="190.4"/>
        <n v="172.2"/>
        <n v="183.7"/>
        <n v="188.7"/>
        <n v="170.6"/>
        <n v="182.1"/>
        <n v="190.9"/>
        <n v="175"/>
        <n v="188"/>
        <n v="195.5"/>
        <n v="198.8"/>
        <n v="176.6"/>
        <n v="190.6"/>
        <n v="198.4"/>
        <n v="175.8"/>
        <n v="190.1"/>
        <n v="195.8"/>
        <n v="173.5"/>
        <n v="187.6"/>
        <n v="192.6"/>
        <n v="171"/>
        <n v="184.7"/>
        <n v="171.5"/>
        <n v="184.9"/>
        <n v="203.1"/>
        <n v="180"/>
        <n v="194.6"/>
        <n v="207.4"/>
        <n v="186"/>
        <n v="199.5"/>
        <n v="209.9"/>
        <n v="189.5"/>
        <n v="202.4"/>
        <n v="208.1"/>
        <n v="188.6"/>
        <n v="200.9"/>
        <n v="202.2"/>
        <n v="184.8"/>
        <n v="198.1"/>
        <n v="182.5"/>
        <n v="192.4"/>
        <n v="194.1"/>
        <n v="179.3"/>
        <n v="191.6"/>
        <n v="177.7"/>
        <n v="186.5"/>
        <n v="194"/>
        <n v="188.9"/>
        <n v="193.9"/>
        <n v="179.1"/>
        <n v="188.5"/>
        <n v="178"/>
        <n v="187.2"/>
        <n v="183.4"/>
        <n v="183.3"/>
        <n v="179.2"/>
        <n v="178.5"/>
        <n v="168.7"/>
        <n v="174.9"/>
        <n v="173.3"/>
        <n v="164.4"/>
        <n v="170"/>
      </sharedItems>
    </cacheField>
    <cacheField name="Fruits" numFmtId="0">
      <sharedItems containsMixedTypes="1" containsNumber="1" minValue="102.3" maxValue="179.5" count="281">
        <n v="103.9"/>
        <n v="102.3"/>
        <n v="103.2"/>
        <n v="104"/>
        <n v="103.1"/>
        <n v="103.6"/>
        <n v="105.7"/>
        <n v="104.9"/>
        <n v="105.3"/>
        <n v="108.3"/>
        <n v="109.5"/>
        <n v="108.9"/>
        <n v="108.1"/>
        <n v="110.6"/>
        <n v="109.3"/>
        <n v="109.2"/>
        <n v="112.4"/>
        <n v="110.7"/>
        <n v="110.3"/>
        <n v="113.2"/>
        <n v="111.7"/>
        <n v="110.8"/>
        <n v="108.7"/>
        <n v="109.8"/>
        <n v="110.9"/>
        <n v="107.3"/>
        <n v="106.2"/>
        <n v="109.9"/>
        <n v="116.6"/>
        <n v="110"/>
        <n v="113.5"/>
        <n v="115.5"/>
        <n v="113.3"/>
        <n v="112.1"/>
        <n v="113.9"/>
        <n v="114.1"/>
        <n v="115.4"/>
        <n v="119.6"/>
        <n v="117.7"/>
        <n v="118.7"/>
        <n v="125.5"/>
        <n v="126.7"/>
        <n v="126.1"/>
        <n v="126.3"/>
        <n v="129.19999999999999"/>
        <n v="127.7"/>
        <n v="125.8"/>
        <n v="131.19999999999999"/>
        <n v="128.30000000000001"/>
        <n v="129.1"/>
        <n v="133.69999999999999"/>
        <n v="129.69999999999999"/>
        <n v="132.69999999999999"/>
        <n v="131.1"/>
        <n v="129.80000000000001"/>
        <n v="124.5"/>
        <n v="127.3"/>
        <n v="128.9"/>
        <n v="123.5"/>
        <n v="126.4"/>
        <n v="128.80000000000001"/>
        <n v="122.2"/>
        <n v="125.7"/>
        <n v="128.6"/>
        <n v="122.3"/>
        <n v="130.4"/>
        <n v="121.3"/>
        <n v="126.2"/>
        <n v="129.4"/>
        <n v="121.6"/>
        <n v="130.9"/>
        <n v="123.8"/>
        <n v="127.6"/>
        <n v="134.19999999999999"/>
        <n v="130.6"/>
        <n v="132.5"/>
        <n v="134.1"/>
        <n v="130.80000000000001"/>
        <n v="132.6"/>
        <n v="133.19999999999999"/>
        <n v="132.30000000000001"/>
        <n v="132.80000000000001"/>
        <n v="133.30000000000001"/>
        <n v="133.1"/>
        <n v="130.1"/>
        <n v="124"/>
        <n v="128.4"/>
        <n v="124.1"/>
        <n v="129"/>
        <n v="132.1"/>
        <n v="123.7"/>
        <n v="128.19999999999999"/>
        <n v="131.6"/>
        <n v="120.8"/>
        <n v="126.6"/>
        <n v="119"/>
        <n v="118.6"/>
        <n v="124.9"/>
        <n v="131.69999999999999"/>
        <n v="119.9"/>
        <n v="138.1"/>
        <n v="134.80000000000001"/>
        <n v="133.5"/>
        <n v="136"/>
        <n v="137.4"/>
        <n v="135.5"/>
        <n v="136.5"/>
        <n v="138.5"/>
        <n v="137"/>
        <n v="137.80000000000001"/>
        <n v="140.19999999999999"/>
        <n v="135.80000000000001"/>
        <n v="139.19999999999999"/>
        <n v="136.1"/>
        <n v="138.4"/>
        <n v="134.69999999999999"/>
        <n v="136.9"/>
        <n v="135.6"/>
        <n v="129.30000000000001"/>
        <n v="129.6"/>
        <n v="133"/>
        <n v="138.69999999999999"/>
        <n v="131.4"/>
        <n v="135.30000000000001"/>
        <n v="139.69999999999999"/>
        <n v="136.80000000000001"/>
        <n v="138.30000000000001"/>
        <n v="141.80000000000001"/>
        <n v="137.69999999999999"/>
        <n v="139.9"/>
        <n v="135.19999999999999"/>
        <n v="137.9"/>
        <n v="140.9"/>
        <n v="137.19999999999999"/>
        <n v="143.9"/>
        <n v="139.4"/>
        <n v="148"/>
        <n v="142.69999999999999"/>
        <n v="145.5"/>
        <n v="147.80000000000001"/>
        <n v="137.5"/>
        <n v="143"/>
        <n v="146.69999999999999"/>
        <n v="141.5"/>
        <n v="147.30000000000001"/>
        <n v="136.4"/>
        <n v="142.19999999999999"/>
        <n v="147.19999999999999"/>
        <n v="135"/>
        <n v="147.9"/>
        <n v="133.80000000000001"/>
        <n v="141.30000000000001"/>
        <n v="149.4"/>
        <n v="142.9"/>
        <n v="152.9"/>
        <n v="146.19999999999999"/>
        <n v="156.4"/>
        <n v="150.1"/>
        <n v="153.5"/>
        <n v="157.5"/>
        <n v="151.30000000000001"/>
        <n v="154.6"/>
        <n v="154.1"/>
        <n v="152.19999999999999"/>
        <n v="153.19999999999999"/>
        <n v="153.30000000000001"/>
        <n v="149.69999999999999"/>
        <n v="151.6"/>
        <n v="154.4"/>
        <n v="146.30000000000001"/>
        <n v="150.6"/>
        <n v="140"/>
        <n v="145.4"/>
        <n v="144.5"/>
        <n v="139.5"/>
        <n v="142.5"/>
        <n v="142.80000000000001"/>
        <n v="135.4"/>
        <n v="137.6"/>
        <n v="143.69999999999999"/>
        <n v="146.5"/>
        <n v="143.30000000000001"/>
        <n v="150.9"/>
        <n v="146.80000000000001"/>
        <n v="146.4"/>
        <n v="154.69999999999999"/>
        <n v="150.30000000000001"/>
        <n v="153.9"/>
        <n v="143.80000000000001"/>
        <n v="149.80000000000001"/>
        <n v="146.6"/>
        <n v="145.69999999999999"/>
        <n v="148.80000000000001"/>
        <n v="147.4"/>
        <n v="144.30000000000001"/>
        <n v="144.4"/>
        <n v="143.19999999999999"/>
        <n v="140.69999999999999"/>
        <n v="143.1"/>
        <n v="149.9"/>
        <s v="NA"/>
        <n v="151.80000000000001"/>
        <n v="146.9"/>
        <n v="154.5"/>
        <n v="150.4"/>
        <n v="147"/>
        <n v="155.4"/>
        <n v="155.69999999999999"/>
        <n v="151.19999999999999"/>
        <n v="150.5"/>
        <n v="148.4"/>
        <n v="145.9"/>
        <n v="147.69999999999999"/>
        <n v="152.6"/>
        <n v="149.6"/>
        <n v="154"/>
        <n v="150.69999999999999"/>
        <n v="157.30000000000001"/>
        <n v="153.69999999999999"/>
        <n v="160.6"/>
        <n v="168.8"/>
        <n v="164.4"/>
        <n v="162.30000000000001"/>
        <n v="172.5"/>
        <n v="167.1"/>
        <n v="158.6"/>
        <n v="171.5"/>
        <n v="164.6"/>
        <n v="157.69999999999999"/>
        <n v="170.9"/>
        <n v="163.9"/>
        <n v="161.30000000000001"/>
        <n v="156.80000000000001"/>
        <n v="152.69999999999999"/>
        <n v="161.19999999999999"/>
        <n v="156.69999999999999"/>
        <n v="159.30000000000001"/>
        <n v="160.30000000000001"/>
        <n v="156.5"/>
        <n v="152"/>
        <n v="158.30000000000001"/>
        <n v="154.9"/>
        <n v="151.4"/>
        <n v="155.9"/>
        <n v="159.6"/>
        <n v="157.6"/>
        <n v="169.7"/>
        <n v="175.9"/>
        <n v="172.6"/>
        <n v="168"/>
        <n v="174.5"/>
        <n v="171"/>
        <n v="165.8"/>
        <n v="174.1"/>
        <n v="169.6"/>
        <n v="179.5"/>
        <n v="174.2"/>
        <n v="169.2"/>
        <n v="177.1"/>
        <n v="172.9"/>
        <n v="164.1"/>
        <n v="167.5"/>
        <n v="165.7"/>
        <n v="162.19999999999999"/>
        <n v="163.80000000000001"/>
        <n v="159.1"/>
        <n v="162.6"/>
        <n v="160.69999999999999"/>
        <n v="159.5"/>
        <n v="158"/>
        <n v="156.30000000000001"/>
        <n v="160.5"/>
        <n v="167.2"/>
        <n v="172.1"/>
        <n v="169.5"/>
        <n v="173.7"/>
        <n v="179.2"/>
        <n v="176.3"/>
        <n v="169"/>
        <n v="175.8"/>
        <n v="172.2"/>
      </sharedItems>
    </cacheField>
    <cacheField name="Vegetables" numFmtId="0">
      <sharedItems containsMixedTypes="1" containsNumber="1" minValue="101.4" maxValue="245.3" count="312">
        <n v="101.9"/>
        <n v="102.9"/>
        <n v="102.2"/>
        <n v="102.4"/>
        <n v="104.9"/>
        <n v="103.2"/>
        <n v="101.4"/>
        <n v="103.8"/>
        <n v="103.4"/>
        <n v="109.7"/>
        <n v="105.5"/>
        <n v="107.3"/>
        <n v="123.7"/>
        <n v="112.9"/>
        <n v="118"/>
        <n v="143.6"/>
        <n v="126.7"/>
        <n v="129.19999999999999"/>
        <n v="160.9"/>
        <n v="140"/>
        <n v="138.9"/>
        <n v="177"/>
        <n v="151.80000000000001"/>
        <n v="154"/>
        <n v="174.3"/>
        <n v="164.9"/>
        <n v="183.5"/>
        <n v="171.2"/>
        <n v="178.1"/>
        <n v="192.8"/>
        <n v="183.1"/>
        <n v="145.69999999999999"/>
        <n v="144.80000000000001"/>
        <n v="145.4"/>
        <n v="123.9"/>
        <n v="118.9"/>
        <n v="122.2"/>
        <n v="116"/>
        <n v="111.5"/>
        <n v="114.5"/>
        <n v="117.9"/>
        <n v="113.3"/>
        <n v="116.3"/>
        <n v="120.5"/>
        <n v="121.2"/>
        <n v="120.7"/>
        <n v="127"/>
        <n v="125"/>
        <n v="129.30000000000001"/>
        <n v="137.5"/>
        <n v="132.1"/>
        <n v="150.1"/>
        <n v="172.4"/>
        <n v="157.69999999999999"/>
        <n v="161.1"/>
        <n v="181.9"/>
        <n v="168.2"/>
        <n v="158.80000000000001"/>
        <n v="168.6"/>
        <n v="162.1"/>
        <n v="155.30000000000001"/>
        <n v="159.6"/>
        <n v="156.80000000000001"/>
        <n v="152"/>
        <n v="153.19999999999999"/>
        <n v="152.4"/>
        <n v="140.30000000000001"/>
        <n v="141"/>
        <n v="140.5"/>
        <n v="132.30000000000001"/>
        <n v="134.4"/>
        <n v="133"/>
        <n v="128.19999999999999"/>
        <n v="131.80000000000001"/>
        <n v="129.4"/>
        <n v="128"/>
        <n v="131.4"/>
        <n v="127.5"/>
        <n v="130.80000000000001"/>
        <n v="128.6"/>
        <n v="128.5"/>
        <n v="135.6"/>
        <n v="130.9"/>
        <n v="135.19999999999999"/>
        <n v="146.69999999999999"/>
        <n v="139.1"/>
        <n v="140.80000000000001"/>
        <n v="153.5"/>
        <n v="145.1"/>
        <n v="153.6"/>
        <n v="165.5"/>
        <n v="157.6"/>
        <n v="158.9"/>
        <n v="168.5"/>
        <n v="162.19999999999999"/>
        <n v="165.8"/>
        <n v="160.4"/>
        <n v="155.19999999999999"/>
        <n v="164.6"/>
        <n v="158.4"/>
        <n v="145.5"/>
        <n v="149"/>
        <n v="140.1"/>
        <n v="144.1"/>
        <n v="141.5"/>
        <n v="130.30000000000001"/>
        <n v="130.69999999999999"/>
        <n v="128.1"/>
        <n v="129.80000000000001"/>
        <n v="134.1"/>
        <n v="136.80000000000001"/>
        <n v="135"/>
        <n v="141.80000000000001"/>
        <n v="151.4"/>
        <n v="152.5"/>
        <n v="173.7"/>
        <n v="159.69999999999999"/>
        <n v="158.19999999999999"/>
        <n v="179.5"/>
        <n v="165.4"/>
        <n v="156.9"/>
        <n v="163.5"/>
        <n v="159.1"/>
        <n v="149.5"/>
        <n v="152.9"/>
        <n v="150.69999999999999"/>
        <n v="149.19999999999999"/>
        <n v="155.1"/>
        <n v="151.19999999999999"/>
        <n v="142"/>
        <n v="141.9"/>
        <n v="121.1"/>
        <n v="125.3"/>
        <n v="119.8"/>
        <n v="118.7"/>
        <n v="119.4"/>
        <n v="119.1"/>
        <n v="120.2"/>
        <n v="119.5"/>
        <n v="119.7"/>
        <n v="121.5"/>
        <n v="127.1"/>
        <n v="123.4"/>
        <n v="123.8"/>
        <n v="125.6"/>
        <n v="128.80000000000001"/>
        <n v="142.19999999999999"/>
        <n v="133.30000000000001"/>
        <n v="151.5"/>
        <n v="175.1"/>
        <n v="159.5"/>
        <n v="162.9"/>
        <n v="179.8"/>
        <n v="154.5"/>
        <n v="160.69999999999999"/>
        <n v="156.6"/>
        <n v="157.1"/>
        <n v="173.2"/>
        <n v="162.6"/>
        <n v="168"/>
        <n v="185.2"/>
        <n v="173.8"/>
        <n v="161"/>
        <n v="163.19999999999999"/>
        <n v="161.69999999999999"/>
        <n v="152.1"/>
        <n v="150.5"/>
        <n v="151.6"/>
        <n v="142.4"/>
        <n v="136.9"/>
        <n v="138"/>
        <n v="134.6"/>
        <n v="135.1"/>
        <n v="127.6"/>
        <n v="132.6"/>
        <n v="137.80000000000001"/>
        <n v="143.5"/>
        <n v="144"/>
        <n v="143.69999999999999"/>
        <n v="154.19999999999999"/>
        <n v="159.19999999999999"/>
        <n v="155.9"/>
        <n v="156.30000000000001"/>
        <n v="157.30000000000001"/>
        <n v="149.4"/>
        <n v="151.30000000000001"/>
        <n v="150"/>
        <n v="147.6"/>
        <n v="153"/>
        <n v="147.5"/>
        <n v="145.19999999999999"/>
        <n v="136.6"/>
        <n v="132.4"/>
        <n v="131.69999999999999"/>
        <n v="130.5"/>
        <n v="131.30000000000001"/>
        <n v="128.69999999999999"/>
        <n v="131.6"/>
        <n v="129.69999999999999"/>
        <n v="141.19999999999999"/>
        <n v="133.4"/>
        <n v="161.6"/>
        <n v="143"/>
        <n v="140.6"/>
        <n v="169.8"/>
        <n v="180.1"/>
        <n v="160.30000000000001"/>
        <n v="156.19999999999999"/>
        <n v="189.1"/>
        <n v="167.4"/>
        <n v="163.4"/>
        <n v="192.4"/>
        <n v="178.8"/>
        <n v="207.2"/>
        <n v="188.4"/>
        <n v="191.4"/>
        <n v="215.7"/>
        <n v="199.6"/>
        <n v="209.5"/>
        <n v="231.5"/>
        <n v="217"/>
        <n v="191.5"/>
        <n v="207.8"/>
        <n v="197"/>
        <n v="165.1"/>
        <n v="181.7"/>
        <n v="170.7"/>
        <n v="152.30000000000001"/>
        <n v="167"/>
        <n v="162.69999999999999"/>
        <n v="180"/>
        <s v="NA"/>
        <n v="148.9"/>
        <n v="156.5"/>
        <n v="171"/>
        <n v="191.9"/>
        <n v="202"/>
        <n v="186.7"/>
        <n v="200.6"/>
        <n v="226"/>
        <n v="209.2"/>
        <n v="222.2"/>
        <n v="245.3"/>
        <n v="230"/>
        <n v="225.2"/>
        <n v="240.9"/>
        <n v="230.5"/>
        <n v="187.8"/>
        <n v="206.8"/>
        <n v="194.2"/>
        <n v="149.69999999999999"/>
        <n v="180.2"/>
        <n v="160"/>
        <n v="166.1"/>
        <n v="138.4"/>
        <n v="166.5"/>
        <n v="147.9"/>
        <n v="144.69999999999999"/>
        <n v="176.2"/>
        <n v="155.4"/>
        <n v="152.80000000000001"/>
        <n v="186.4"/>
        <n v="164.2"/>
        <n v="153.9"/>
        <n v="183.3"/>
        <n v="162.30000000000001"/>
        <n v="170.4"/>
        <n v="214.4"/>
        <n v="185.3"/>
        <n v="183.9"/>
        <n v="229.1"/>
        <n v="199.2"/>
        <n v="172.3"/>
        <n v="219.5"/>
        <n v="188.3"/>
        <n v="203.6"/>
        <n v="198"/>
        <n v="169.7"/>
        <n v="155.80000000000001"/>
        <n v="166.9"/>
        <n v="190.7"/>
        <n v="166.2"/>
        <n v="203.2"/>
        <n v="174.9"/>
        <n v="167.3"/>
        <n v="211.5"/>
        <n v="182.3"/>
        <n v="208.5"/>
        <n v="182.1"/>
        <n v="173.1"/>
        <n v="213.1"/>
        <n v="176.9"/>
        <n v="220.8"/>
        <n v="191.8"/>
        <n v="184.8"/>
        <n v="228.6"/>
        <n v="199.7"/>
        <n v="171.6"/>
        <n v="205.5"/>
        <n v="150.19999999999999"/>
        <n v="178.7"/>
        <n v="159.9"/>
        <n v="142.9"/>
        <n v="175.3"/>
        <n v="140.9"/>
        <n v="175.8"/>
        <n v="152.69999999999999"/>
        <n v="175.9"/>
        <n v="142.80000000000001"/>
        <n v="179.9"/>
        <n v="148.69999999999999"/>
        <n v="185"/>
      </sharedItems>
    </cacheField>
    <cacheField name="Pulses and products" numFmtId="0">
      <sharedItems containsMixedTypes="1" containsNumber="1" minValue="103.5" maxValue="191.6" count="265">
        <n v="106.1"/>
        <n v="105.8"/>
        <n v="106"/>
        <n v="105.9"/>
        <n v="104.1"/>
        <n v="105.3"/>
        <n v="105.7"/>
        <n v="103.5"/>
        <n v="105"/>
        <n v="104.6"/>
        <n v="105.2"/>
        <n v="106.8"/>
        <n v="105.4"/>
        <n v="106.3"/>
        <n v="107.1"/>
        <n v="105.1"/>
        <n v="106.4"/>
        <n v="107.4"/>
        <n v="104.7"/>
        <n v="106.5"/>
        <n v="108.1"/>
        <n v="108.3"/>
        <n v="107.3"/>
        <n v="109.1"/>
        <n v="108.2"/>
        <n v="109.5"/>
        <n v="108.7"/>
        <n v="109.6"/>
        <n v="107.5"/>
        <n v="108.9"/>
        <n v="109.8"/>
        <n v="109.3"/>
        <n v="110.2"/>
        <n v="111"/>
        <n v="111.5"/>
        <n v="112.6"/>
        <n v="111.9"/>
        <n v="112.2"/>
        <n v="112.8"/>
        <n v="112.4"/>
        <n v="113.2"/>
        <n v="113.1"/>
        <n v="114.1"/>
        <n v="115.2"/>
        <n v="114.5"/>
        <n v="115"/>
        <n v="116.9"/>
        <n v="115.6"/>
        <n v="115.5"/>
        <n v="117.4"/>
        <n v="116.1"/>
        <n v="116.2"/>
        <n v="119.3"/>
        <n v="117.2"/>
        <n v="116.3"/>
        <n v="120.1"/>
        <n v="117.6"/>
        <n v="122.9"/>
        <n v="119.1"/>
        <n v="118.8"/>
        <n v="125.1"/>
        <n v="120.9"/>
        <n v="119.9"/>
        <n v="127.2"/>
        <n v="122.4"/>
        <n v="121.5"/>
        <n v="131.30000000000001"/>
        <n v="124.8"/>
        <n v="124.3"/>
        <n v="142.6"/>
        <n v="130.5"/>
        <n v="131.9"/>
        <n v="148.1"/>
        <n v="137.4"/>
        <n v="133.80000000000001"/>
        <n v="149.5"/>
        <n v="139.1"/>
        <n v="137.9"/>
        <n v="156"/>
        <n v="144"/>
        <n v="142.1"/>
        <n v="165.4"/>
        <n v="150"/>
        <n v="154.19999999999999"/>
        <n v="187.2"/>
        <n v="165.3"/>
        <n v="160.80000000000001"/>
        <n v="191.6"/>
        <n v="171.2"/>
        <n v="162.1"/>
        <n v="190.1"/>
        <n v="171.5"/>
        <n v="163.80000000000001"/>
        <n v="184.2"/>
        <n v="170.7"/>
        <n v="162.80000000000001"/>
        <n v="176.4"/>
        <n v="167.4"/>
        <n v="161.19999999999999"/>
        <n v="170.3"/>
        <n v="164.3"/>
        <n v="162.69999999999999"/>
        <n v="176.9"/>
        <n v="167.5"/>
        <n v="166"/>
        <n v="182.8"/>
        <n v="171.7"/>
        <n v="169.2"/>
        <n v="184.4"/>
        <n v="174.3"/>
        <n v="171.8"/>
        <n v="188.4"/>
        <n v="177.4"/>
        <n v="172.2"/>
        <n v="182.3"/>
        <n v="175.6"/>
        <n v="170.4"/>
        <n v="173.6"/>
        <n v="170.2"/>
        <n v="175.7"/>
        <n v="172.1"/>
        <n v="170"/>
        <n v="174.9"/>
        <n v="167.9"/>
        <n v="168.7"/>
        <n v="161.69999999999999"/>
        <n v="155.1"/>
        <n v="159.5"/>
        <n v="156.9"/>
        <n v="143.1"/>
        <n v="152.19999999999999"/>
        <n v="148"/>
        <n v="135.80000000000001"/>
        <n v="143.9"/>
        <n v="144.5"/>
        <n v="140.9"/>
        <n v="141.80000000000001"/>
        <n v="131.5"/>
        <n v="138.30000000000001"/>
        <n v="140.19999999999999"/>
        <n v="128.19999999999999"/>
        <n v="136.19999999999999"/>
        <n v="138.1"/>
        <n v="124.7"/>
        <n v="133.6"/>
        <n v="123.5"/>
        <n v="132.69999999999999"/>
        <n v="137.1"/>
        <n v="124.5"/>
        <n v="132.9"/>
        <n v="136.4"/>
        <n v="124.1"/>
        <n v="132.30000000000001"/>
        <n v="122.2"/>
        <n v="131.19999999999999"/>
        <n v="119.8"/>
        <n v="129.1"/>
        <n v="131.80000000000001"/>
        <n v="118.4"/>
        <n v="127.3"/>
        <n v="130.19999999999999"/>
        <n v="117"/>
        <n v="125.8"/>
        <n v="129.30000000000001"/>
        <n v="124.6"/>
        <n v="128.4"/>
        <n v="114"/>
        <n v="122.3"/>
        <n v="126"/>
        <n v="112.3"/>
        <n v="121.4"/>
        <n v="126.4"/>
        <n v="121.7"/>
        <n v="126.8"/>
        <n v="113.6"/>
        <n v="125.4"/>
        <n v="113.5"/>
        <n v="121"/>
        <n v="115.3"/>
        <n v="117.5"/>
        <n v="121.3"/>
        <n v="118.2"/>
        <n v="120.3"/>
        <n v="120.7"/>
        <n v="121.8"/>
        <n v="124.4"/>
        <n v="124.9"/>
        <n v="128.69999999999999"/>
        <n v="127.4"/>
        <n v="128.30000000000001"/>
        <n v="130.6"/>
        <n v="128.9"/>
        <n v="130"/>
        <n v="129.80000000000001"/>
        <n v="130.9"/>
        <n v="132.19999999999999"/>
        <n v="130.30000000000001"/>
        <n v="131.6"/>
        <n v="133.1"/>
        <n v="132.5"/>
        <n v="134.6"/>
        <n v="135.69999999999999"/>
        <n v="138.80000000000001"/>
        <n v="137.19999999999999"/>
        <n v="141.1"/>
        <n v="140.4"/>
        <n v="139.6"/>
        <n v="139.69999999999999"/>
        <n v="150.19999999999999"/>
        <n v="150.80000000000001"/>
        <n v="150.4"/>
        <s v="NA"/>
        <n v="150.30000000000001"/>
        <n v="152"/>
        <n v="150.9"/>
        <n v="149.9"/>
        <n v="151.30000000000001"/>
        <n v="149.30000000000001"/>
        <n v="149.80000000000001"/>
        <n v="155.9"/>
        <n v="158.69999999999999"/>
        <n v="156.80000000000001"/>
        <n v="161.5"/>
        <n v="160.19999999999999"/>
        <n v="160.4"/>
        <n v="158.30000000000001"/>
        <n v="159.80000000000001"/>
        <n v="158.80000000000001"/>
        <n v="159.19999999999999"/>
        <n v="161.1"/>
        <n v="165.1"/>
        <n v="165.9"/>
        <n v="165.5"/>
        <n v="166.9"/>
        <n v="163.6"/>
        <n v="164.7"/>
        <n v="164"/>
        <n v="164.5"/>
        <n v="164.1"/>
        <n v="163.9"/>
        <n v="165.2"/>
        <n v="164.2"/>
        <n v="164.4"/>
        <n v="163.19999999999999"/>
        <n v="163.69999999999999"/>
        <n v="163.4"/>
        <n v="165"/>
        <n v="164.6"/>
        <n v="167.1"/>
        <n v="167.3"/>
        <n v="167.2"/>
        <n v="169"/>
        <n v="169.1"/>
        <n v="169.7"/>
        <n v="169.9"/>
        <n v="169.8"/>
        <n v="171"/>
        <n v="170.5"/>
        <n v="171.3"/>
        <n v="170.8"/>
        <n v="170.9"/>
        <n v="171.1"/>
        <n v="172.8"/>
        <n v="174.7"/>
        <n v="173.4"/>
      </sharedItems>
    </cacheField>
    <cacheField name="Sugar and Confectionery" numFmtId="0">
      <sharedItems containsMixedTypes="1" containsNumber="1" minValue="85.3" maxValue="124.2" count="205">
        <n v="106.8"/>
        <n v="105.1"/>
        <n v="106.2"/>
        <n v="105.7"/>
        <n v="103.8"/>
        <n v="105"/>
        <n v="102.6"/>
        <n v="104.2"/>
        <n v="102"/>
        <n v="103.5"/>
        <n v="103.7"/>
        <n v="101.9"/>
        <n v="103.1"/>
        <n v="104.1"/>
        <n v="101.4"/>
        <n v="103.2"/>
        <n v="104.3"/>
        <n v="101.3"/>
        <n v="103.3"/>
        <n v="101"/>
        <n v="100.8"/>
        <n v="103.9"/>
        <n v="100.2"/>
        <n v="102.7"/>
        <n v="103.6"/>
        <n v="99.5"/>
        <n v="102.2"/>
        <n v="102.9"/>
        <n v="98.6"/>
        <n v="101.5"/>
        <n v="101.8"/>
        <n v="96.9"/>
        <n v="101.1"/>
        <n v="95.4"/>
        <n v="99.2"/>
        <n v="101.2"/>
        <n v="96.3"/>
        <n v="99.6"/>
        <n v="100.3"/>
        <n v="102.8"/>
        <n v="104.8"/>
        <n v="104.7"/>
        <n v="104"/>
        <n v="99.8"/>
        <n v="102.1"/>
        <n v="97.8"/>
        <n v="100.6"/>
        <n v="100.5"/>
        <n v="96.1"/>
        <n v="99"/>
        <n v="100"/>
        <n v="95"/>
        <n v="98.3"/>
        <n v="98.9"/>
        <n v="93.2"/>
        <n v="97"/>
        <n v="91.6"/>
        <n v="95.7"/>
        <n v="97.6"/>
        <n v="90.8"/>
        <n v="95.3"/>
        <n v="89.8"/>
        <n v="94.1"/>
        <n v="85.7"/>
        <n v="91.3"/>
        <n v="93.1"/>
        <n v="85.3"/>
        <n v="90.5"/>
        <n v="92.5"/>
        <n v="86.3"/>
        <n v="90.4"/>
        <n v="93.7"/>
        <n v="89.4"/>
        <n v="92.3"/>
        <n v="94.5"/>
        <n v="93.3"/>
        <n v="92.7"/>
        <n v="97.7"/>
        <n v="96.7"/>
        <n v="97.4"/>
        <n v="98.7"/>
        <n v="99.1"/>
        <n v="98.8"/>
        <n v="100.4"/>
        <n v="100.9"/>
        <n v="109.1"/>
        <n v="106.4"/>
        <n v="107.5"/>
        <n v="111.1"/>
        <n v="108.7"/>
        <n v="108.8"/>
        <n v="112"/>
        <n v="109.9"/>
        <n v="110.3"/>
        <n v="113.3"/>
        <n v="111.3"/>
        <n v="112.1"/>
        <n v="114.6"/>
        <n v="112.9"/>
        <n v="113.1"/>
        <n v="115.1"/>
        <n v="113.8"/>
        <n v="113.4"/>
        <n v="115.4"/>
        <n v="114.1"/>
        <n v="115.6"/>
        <n v="115.5"/>
        <n v="114.4"/>
        <n v="114.8"/>
        <n v="117.3"/>
        <n v="116.2"/>
        <n v="119.5"/>
        <n v="116.9"/>
        <n v="120.3"/>
        <n v="118"/>
        <n v="117.4"/>
        <n v="120.8"/>
        <n v="118.5"/>
        <n v="118.6"/>
        <n v="121"/>
        <n v="119.4"/>
        <n v="118.9"/>
        <n v="120.9"/>
        <n v="119.6"/>
        <n v="120"/>
        <n v="121.5"/>
        <n v="120.5"/>
        <n v="122.1"/>
        <n v="121.2"/>
        <n v="122.4"/>
        <n v="121.4"/>
        <n v="122.6"/>
        <n v="121.8"/>
        <n v="122.5"/>
        <n v="123.9"/>
        <n v="123"/>
        <n v="121.9"/>
        <n v="120.7"/>
        <n v="118.8"/>
        <n v="117.9"/>
        <n v="117.1"/>
        <n v="114.2"/>
        <n v="116.1"/>
        <n v="115.2"/>
        <n v="110.6"/>
        <n v="113.7"/>
        <n v="111.8"/>
        <n v="105.3"/>
        <n v="109.6"/>
        <n v="112.4"/>
        <n v="108.4"/>
        <n v="114.3"/>
        <n v="113.5"/>
        <n v="114.7"/>
        <n v="112.3"/>
        <n v="112.8"/>
        <n v="111.9"/>
        <n v="111.6"/>
        <n v="112.5"/>
        <n v="111"/>
        <n v="110.4"/>
        <n v="108.3"/>
        <n v="109"/>
        <n v="109.3"/>
        <n v="111.2"/>
        <n v="110.8"/>
        <n v="111.7"/>
        <n v="112.7"/>
        <n v="114"/>
        <n v="113.2"/>
        <n v="113.6"/>
        <n v="115"/>
        <n v="112.6"/>
        <n v="119.8"/>
        <s v="NA"/>
        <n v="116.3"/>
        <n v="116.8"/>
        <n v="116.4"/>
        <n v="115.3"/>
        <n v="118.1"/>
        <n v="114.9"/>
        <n v="117.2"/>
        <n v="115.7"/>
        <n v="112.2"/>
        <n v="115.9"/>
        <n v="113.9"/>
        <n v="114.5"/>
        <n v="120.4"/>
        <n v="119.7"/>
        <n v="119.3"/>
        <n v="121.6"/>
        <n v="123.1"/>
        <n v="120.6"/>
        <n v="121.3"/>
        <n v="118.2"/>
        <n v="119"/>
        <n v="119.1"/>
        <n v="119.9"/>
        <n v="119.2"/>
        <n v="120.2"/>
        <n v="122.2"/>
        <n v="121.1"/>
        <n v="123.4"/>
        <n v="122.7"/>
        <n v="124.2"/>
      </sharedItems>
    </cacheField>
    <cacheField name="Spices" numFmtId="0">
      <sharedItems containsMixedTypes="1" containsNumber="1" minValue="101.8" maxValue="221" count="282">
        <n v="103.1"/>
        <n v="101.8"/>
        <n v="102.7"/>
        <n v="102.3"/>
        <n v="102.8"/>
        <n v="103.3"/>
        <n v="102.4"/>
        <n v="103"/>
        <n v="103.2"/>
        <n v="103.5"/>
        <n v="104"/>
        <n v="105"/>
        <n v="104.3"/>
        <n v="105.4"/>
        <n v="106.4"/>
        <n v="105.7"/>
        <n v="107.5"/>
        <n v="106.8"/>
        <n v="106.9"/>
        <n v="108.5"/>
        <n v="107.4"/>
        <n v="107.9"/>
        <n v="109.1"/>
        <n v="108.3"/>
        <n v="108.2"/>
        <n v="109.6"/>
        <n v="108.7"/>
        <n v="109"/>
        <n v="110.3"/>
        <n v="109.4"/>
        <n v="109.8"/>
        <n v="111.9"/>
        <n v="110.5"/>
        <n v="110.2"/>
        <n v="112.7"/>
        <n v="111"/>
        <n v="110.4"/>
        <n v="113.5"/>
        <n v="111.4"/>
        <n v="110.7"/>
        <n v="114.1"/>
        <n v="111.8"/>
        <n v="111.2"/>
        <n v="115.3"/>
        <n v="112.6"/>
        <n v="111.6"/>
        <n v="117"/>
        <n v="113.4"/>
        <n v="112.3"/>
        <n v="118.3"/>
        <n v="114.3"/>
        <n v="113.3"/>
        <n v="120"/>
        <n v="115.5"/>
        <n v="114.6"/>
        <n v="122.1"/>
        <n v="117.1"/>
        <n v="114.9"/>
        <n v="122.9"/>
        <n v="117.6"/>
        <n v="123.8"/>
        <n v="118.1"/>
        <n v="115.8"/>
        <n v="124.6"/>
        <n v="118.7"/>
        <n v="116"/>
        <n v="125.4"/>
        <n v="119.1"/>
        <n v="117.2"/>
        <n v="126.6"/>
        <n v="120.3"/>
        <n v="118.6"/>
        <n v="127.7"/>
        <n v="121.6"/>
        <n v="119.4"/>
        <n v="127.4"/>
        <n v="119.8"/>
        <n v="122.4"/>
        <n v="120.7"/>
        <n v="128.80000000000001"/>
        <n v="123.4"/>
        <n v="123"/>
        <n v="130.5"/>
        <n v="125.5"/>
        <n v="131.5"/>
        <n v="126.1"/>
        <n v="123.9"/>
        <n v="132.69999999999999"/>
        <n v="126.8"/>
        <n v="134.4"/>
        <n v="128.4"/>
        <n v="135.80000000000001"/>
        <n v="129.69999999999999"/>
        <n v="128.30000000000001"/>
        <n v="137.1"/>
        <n v="131.19999999999999"/>
        <n v="128.9"/>
        <n v="138.6"/>
        <n v="132.1"/>
        <n v="129.6"/>
        <n v="139.5"/>
        <n v="132.9"/>
        <n v="130.6"/>
        <n v="139.69999999999999"/>
        <n v="133.6"/>
        <n v="130.80000000000001"/>
        <n v="140.1"/>
        <n v="133.9"/>
        <n v="131.4"/>
        <n v="140.4"/>
        <n v="132.19999999999999"/>
        <n v="141.5"/>
        <n v="135.30000000000001"/>
        <n v="133.1"/>
        <n v="142.80000000000001"/>
        <n v="136.30000000000001"/>
        <n v="134.30000000000001"/>
        <n v="143.9"/>
        <n v="137.5"/>
        <n v="134.9"/>
        <n v="144.6"/>
        <n v="138.1"/>
        <n v="144.80000000000001"/>
        <n v="138.80000000000001"/>
        <n v="145.30000000000001"/>
        <n v="139.30000000000001"/>
        <n v="136.80000000000001"/>
        <n v="145.4"/>
        <n v="145.5"/>
        <n v="140.19999999999999"/>
        <n v="136.9"/>
        <n v="144.9"/>
        <n v="139.6"/>
        <n v="136"/>
        <n v="144"/>
        <n v="138.69999999999999"/>
        <n v="135.6"/>
        <n v="142.6"/>
        <n v="137.9"/>
        <n v="134.1"/>
        <n v="141.30000000000001"/>
        <n v="136.5"/>
        <n v="134"/>
        <n v="139.9"/>
        <n v="133.5"/>
        <n v="137.80000000000001"/>
        <n v="135.19999999999999"/>
        <n v="134.69999999999999"/>
        <n v="137.30000000000001"/>
        <n v="138.30000000000001"/>
        <n v="140.5"/>
        <n v="140.69999999999999"/>
        <n v="137.19999999999999"/>
        <n v="138.19999999999999"/>
        <n v="137.4"/>
        <n v="137.6"/>
        <n v="140"/>
        <n v="138.4"/>
        <n v="140.30000000000001"/>
        <n v="138.9"/>
        <n v="141.1"/>
        <n v="139.4"/>
        <n v="141.19999999999999"/>
        <n v="141"/>
        <n v="140.6"/>
        <n v="141.4"/>
        <n v="140.9"/>
        <n v="139.19999999999999"/>
        <n v="140.80000000000001"/>
        <n v="141.69999999999999"/>
        <n v="141.6"/>
        <n v="142.69999999999999"/>
        <n v="142.5"/>
        <n v="144.19999999999999"/>
        <n v="143.80000000000001"/>
        <n v="144.1"/>
        <n v="145.19999999999999"/>
        <n v="147.30000000000001"/>
        <n v="146.30000000000001"/>
        <n v="147"/>
        <n v="149.1"/>
        <n v="148"/>
        <n v="148.69999999999999"/>
        <n v="151.6"/>
        <n v="149.5"/>
        <n v="150.9"/>
        <n v="152.80000000000001"/>
        <n v="150.4"/>
        <n v="152"/>
        <n v="154"/>
        <n v="151.5"/>
        <n v="153.19999999999999"/>
        <n v="158.69999999999999"/>
        <n v="157.1"/>
        <s v="NA"/>
        <n v="159.80000000000001"/>
        <n v="158.80000000000001"/>
        <n v="159.5"/>
        <n v="160"/>
        <n v="160.9"/>
        <n v="160.30000000000001"/>
        <n v="161.30000000000001"/>
        <n v="161"/>
        <n v="162"/>
        <n v="161.4"/>
        <n v="161.80000000000001"/>
        <n v="163.5"/>
        <n v="161.9"/>
        <n v="163"/>
        <n v="164.5"/>
        <n v="164"/>
        <n v="165"/>
        <n v="162.5"/>
        <n v="164.2"/>
        <n v="162.6"/>
        <n v="164.4"/>
        <n v="162.80000000000001"/>
        <n v="163.9"/>
        <n v="169.7"/>
        <n v="165.2"/>
        <n v="168.2"/>
        <n v="170"/>
        <n v="165.5"/>
        <n v="168.5"/>
        <n v="168.3"/>
        <n v="169.8"/>
        <n v="166.2"/>
        <n v="168.8"/>
        <n v="170.1"/>
        <n v="170.6"/>
        <n v="166.8"/>
        <n v="169.3"/>
        <n v="170.8"/>
        <n v="167.2"/>
        <n v="169.6"/>
        <n v="171.7"/>
        <n v="170.5"/>
        <n v="173.3"/>
        <n v="172.1"/>
        <n v="175.4"/>
        <n v="172.2"/>
        <n v="174.3"/>
        <n v="178.7"/>
        <n v="174.7"/>
        <n v="177.4"/>
        <n v="182.9"/>
        <n v="178"/>
        <n v="181.3"/>
        <n v="186.6"/>
        <n v="181.4"/>
        <n v="184.9"/>
        <n v="188.9"/>
        <n v="183.5"/>
        <n v="187.1"/>
        <n v="191.8"/>
        <n v="186.3"/>
        <n v="190"/>
        <n v="195.6"/>
        <n v="189.7"/>
        <n v="193.6"/>
        <n v="199.1"/>
        <n v="197.3"/>
        <n v="201.6"/>
        <n v="196.4"/>
        <n v="199.9"/>
        <n v="204.8"/>
        <n v="198.8"/>
        <n v="202.8"/>
        <n v="207.5"/>
        <n v="200.5"/>
        <n v="205.2"/>
        <n v="210.5"/>
        <n v="204.3"/>
        <n v="208.4"/>
        <n v="212.1"/>
        <n v="209.7"/>
        <n v="215.5"/>
        <n v="207.8"/>
        <n v="212.9"/>
        <n v="221"/>
        <n v="211.9"/>
        <n v="218"/>
      </sharedItems>
    </cacheField>
    <cacheField name="Non-alcoholic beverages" numFmtId="0">
      <sharedItems containsMixedTypes="1" containsNumber="1" minValue="104.8" maxValue="178.7" count="268">
        <n v="104.8"/>
        <n v="105.1"/>
        <n v="104.9"/>
        <n v="106"/>
        <n v="105.5"/>
        <n v="105.6"/>
        <n v="107"/>
        <n v="106.2"/>
        <n v="106.5"/>
        <n v="108.2"/>
        <n v="107.2"/>
        <n v="107.4"/>
        <n v="109.1"/>
        <n v="108.1"/>
        <n v="110"/>
        <n v="109"/>
        <n v="110.4"/>
        <n v="109.6"/>
        <n v="109.7"/>
        <n v="110.9"/>
        <n v="110.2"/>
        <n v="111.1"/>
        <n v="110.7"/>
        <n v="111.4"/>
        <n v="111.2"/>
        <n v="111.8"/>
        <n v="112.1"/>
        <n v="112.4"/>
        <n v="112.3"/>
        <n v="112.9"/>
        <n v="112.6"/>
        <n v="113"/>
        <n v="112.2"/>
        <n v="112.7"/>
        <n v="113.5"/>
        <n v="113.2"/>
        <n v="114.2"/>
        <n v="113.7"/>
        <n v="114.9"/>
        <n v="115.6"/>
        <n v="113.8"/>
        <n v="114.8"/>
        <n v="115.8"/>
        <n v="114.4"/>
        <n v="115.2"/>
        <n v="116.5"/>
        <n v="116.8"/>
        <n v="116.1"/>
        <n v="116.4"/>
        <n v="117.3"/>
        <n v="117.9"/>
        <n v="118.8"/>
        <n v="118"/>
        <n v="118.9"/>
        <n v="117"/>
        <n v="118.1"/>
        <n v="119.4"/>
        <n v="117.2"/>
        <n v="118.5"/>
        <n v="120.2"/>
        <n v="117.7"/>
        <n v="119.2"/>
        <n v="121.1"/>
        <n v="119.8"/>
        <n v="121"/>
        <n v="118.3"/>
        <n v="119.9"/>
        <n v="121.5"/>
        <n v="120.4"/>
        <n v="121.9"/>
        <n v="119.1"/>
        <n v="120.7"/>
        <n v="122.3"/>
        <n v="123.1"/>
        <n v="121.7"/>
        <n v="123.3"/>
        <n v="122"/>
        <n v="124.3"/>
        <n v="120.5"/>
        <n v="122.7"/>
        <n v="124.8"/>
        <n v="120.6"/>
        <n v="123"/>
        <n v="124.9"/>
        <n v="125.4"/>
        <n v="123.6"/>
        <n v="126.1"/>
        <n v="124.2"/>
        <n v="126.4"/>
        <n v="121.6"/>
        <n v="124.4"/>
        <n v="127.3"/>
        <n v="125"/>
        <n v="128.1"/>
        <n v="125.5"/>
        <n v="128.80000000000001"/>
        <n v="122.1"/>
        <n v="126"/>
        <n v="128.69999999999999"/>
        <n v="122.5"/>
        <n v="126.2"/>
        <n v="129.1"/>
        <n v="126.6"/>
        <n v="129"/>
        <n v="123.2"/>
        <n v="129.4"/>
        <n v="123.4"/>
        <n v="126.9"/>
        <n v="129.80000000000001"/>
        <n v="127.2"/>
        <n v="130"/>
        <n v="123.8"/>
        <n v="127.4"/>
        <n v="130.30000000000001"/>
        <n v="127.6"/>
        <n v="130.4"/>
        <n v="127.8"/>
        <n v="131.4"/>
        <n v="128.5"/>
        <n v="131.6"/>
        <n v="124.6"/>
        <n v="131.69999999999999"/>
        <n v="131.30000000000001"/>
        <n v="125.1"/>
        <n v="131.9"/>
        <n v="129.19999999999999"/>
        <n v="131.1"/>
        <n v="125.7"/>
        <n v="131.19999999999999"/>
        <n v="125.9"/>
        <n v="130.5"/>
        <n v="128.6"/>
        <n v="126.5"/>
        <n v="129.6"/>
        <n v="132.19999999999999"/>
        <n v="129.9"/>
        <n v="132.80000000000001"/>
        <n v="126.7"/>
        <n v="126.8"/>
        <n v="133.80000000000001"/>
        <n v="133.1"/>
        <n v="127.7"/>
        <n v="130.80000000000001"/>
        <n v="134.6"/>
        <n v="133.6"/>
        <n v="137.5"/>
        <n v="128"/>
        <n v="133.5"/>
        <n v="137.80000000000001"/>
        <n v="137"/>
        <n v="133.30000000000001"/>
        <n v="137.4"/>
        <n v="128.30000000000001"/>
        <n v="133.69999999999999"/>
        <n v="137.69999999999999"/>
        <n v="128.9"/>
        <n v="134"/>
        <n v="138"/>
        <n v="134.19999999999999"/>
        <n v="138.5"/>
        <n v="129.5"/>
        <n v="134.69999999999999"/>
        <n v="134.9"/>
        <n v="135"/>
        <n v="138.6"/>
        <n v="130.19999999999999"/>
        <n v="135.1"/>
        <n v="138.69999999999999"/>
        <n v="135.30000000000001"/>
        <n v="139.30000000000001"/>
        <n v="135.80000000000001"/>
        <n v="139.69999999999999"/>
        <n v="136.1"/>
        <n v="140.1"/>
        <n v="131.5"/>
        <n v="136.5"/>
        <n v="136.69999999999999"/>
        <n v="139.19999999999999"/>
        <n v="136.80000000000001"/>
        <s v="NA"/>
        <n v="142.1"/>
        <n v="135.6"/>
        <n v="139.4"/>
        <n v="143.5"/>
        <n v="140.6"/>
        <n v="145.4"/>
        <n v="142.19999999999999"/>
        <n v="147.4"/>
        <n v="144"/>
        <n v="150"/>
        <n v="141.5"/>
        <n v="146.5"/>
        <n v="153.4"/>
        <n v="143.30000000000001"/>
        <n v="149.19999999999999"/>
        <n v="156.1"/>
        <n v="145.9"/>
        <n v="151.80000000000001"/>
        <n v="160"/>
        <n v="155.5"/>
        <n v="160.6"/>
        <n v="150.69999999999999"/>
        <n v="156.5"/>
        <n v="161.9"/>
        <n v="151.5"/>
        <n v="157.6"/>
        <n v="164.6"/>
        <n v="152"/>
        <n v="159.30000000000001"/>
        <n v="165.5"/>
        <n v="152.30000000000001"/>
        <n v="166.2"/>
        <n v="160.9"/>
        <n v="167.6"/>
        <n v="154.80000000000001"/>
        <n v="162.69999999999999"/>
        <n v="168.3"/>
        <n v="168.8"/>
        <n v="155.4"/>
        <n v="163.19999999999999"/>
        <n v="169.1"/>
        <n v="163.69999999999999"/>
        <n v="169.7"/>
        <n v="164.2"/>
        <n v="169.8"/>
        <n v="156.6"/>
        <n v="164.3"/>
        <n v="170.5"/>
        <n v="156.69999999999999"/>
        <n v="164.7"/>
        <n v="171.2"/>
        <n v="157.1"/>
        <n v="165.3"/>
        <n v="172.4"/>
        <n v="157.5"/>
        <n v="173.2"/>
        <n v="158.5"/>
        <n v="167.1"/>
        <n v="174.2"/>
        <n v="159.1"/>
        <n v="167.9"/>
        <n v="174.5"/>
        <n v="159.80000000000001"/>
        <n v="168.4"/>
        <n v="174.8"/>
        <n v="160.5"/>
        <n v="175.4"/>
        <n v="161.1"/>
        <n v="169.4"/>
        <n v="175.8"/>
        <n v="161.6"/>
        <n v="169.9"/>
        <n v="176.4"/>
        <n v="162.1"/>
        <n v="170.4"/>
        <n v="176.8"/>
        <n v="162.80000000000001"/>
        <n v="171"/>
        <n v="176.9"/>
        <n v="171.4"/>
        <n v="177.6"/>
        <n v="164.9"/>
        <n v="172.3"/>
        <n v="178.2"/>
        <n v="172.9"/>
        <n v="178.7"/>
        <n v="165.9"/>
        <n v="173.4"/>
      </sharedItems>
    </cacheField>
    <cacheField name="Prepared meals, snacks, sweets etc." numFmtId="0">
      <sharedItems containsMixedTypes="1" containsNumber="1" minValue="106.7" maxValue="197.7" count="307">
        <n v="106.7"/>
        <n v="107.9"/>
        <n v="107.3"/>
        <n v="107.7"/>
        <n v="109"/>
        <n v="108.3"/>
        <n v="108.2"/>
        <n v="109.8"/>
        <n v="108.9"/>
        <n v="108.8"/>
        <n v="110.6"/>
        <n v="109.6"/>
        <n v="109.9"/>
        <n v="111.3"/>
        <n v="110.5"/>
        <n v="111"/>
        <n v="112.2"/>
        <n v="111.6"/>
        <n v="112.1"/>
        <n v="113.1"/>
        <n v="112.6"/>
        <n v="114.3"/>
        <n v="113.4"/>
        <n v="114"/>
        <n v="115.4"/>
        <n v="114.6"/>
        <n v="114.9"/>
        <n v="116"/>
        <n v="117.1"/>
        <n v="116.5"/>
        <n v="116.8"/>
        <n v="118.1"/>
        <n v="117.4"/>
        <n v="117.3"/>
        <n v="119"/>
        <n v="117.8"/>
        <n v="119.9"/>
        <n v="118.8"/>
        <n v="118.3"/>
        <n v="120.5"/>
        <n v="119.3"/>
        <n v="118.7"/>
        <n v="121"/>
        <n v="119.8"/>
        <n v="119.2"/>
        <n v="121.7"/>
        <n v="120.4"/>
        <n v="120.1"/>
        <n v="122.4"/>
        <n v="121.2"/>
        <n v="120.9"/>
        <n v="123.4"/>
        <n v="122.1"/>
        <n v="124.7"/>
        <n v="123.1"/>
        <n v="122.6"/>
        <n v="125.2"/>
        <n v="123.8"/>
        <n v="123.2"/>
        <n v="125.9"/>
        <n v="124.5"/>
        <n v="126.9"/>
        <n v="125.6"/>
        <n v="124.8"/>
        <n v="127.6"/>
        <n v="126.1"/>
        <n v="128"/>
        <n v="126.7"/>
        <n v="126.8"/>
        <n v="128.6"/>
        <n v="127.7"/>
        <n v="129.19999999999999"/>
        <n v="128.4"/>
        <n v="128.69999999999999"/>
        <n v="129.5"/>
        <n v="129.1"/>
        <n v="129.80000000000001"/>
        <n v="129.9"/>
        <n v="131.19999999999999"/>
        <n v="130.5"/>
        <n v="130.9"/>
        <n v="131.69999999999999"/>
        <n v="131.1"/>
        <n v="131.4"/>
        <n v="132.5"/>
        <n v="132.1"/>
        <n v="132.69999999999999"/>
        <n v="132.30000000000001"/>
        <n v="133.1"/>
        <n v="132.9"/>
        <n v="133"/>
        <n v="134.19999999999999"/>
        <n v="133.69999999999999"/>
        <n v="134"/>
        <n v="135.1"/>
        <n v="134.69999999999999"/>
        <n v="135.9"/>
        <n v="135.30000000000001"/>
        <n v="136.4"/>
        <n v="135.19999999999999"/>
        <n v="135.80000000000001"/>
        <n v="137"/>
        <n v="135.4"/>
        <n v="136.30000000000001"/>
        <n v="137.4"/>
        <n v="136.69999999999999"/>
        <n v="138.30000000000001"/>
        <n v="139.19999999999999"/>
        <n v="136.9"/>
        <n v="138.1"/>
        <n v="139.9"/>
        <n v="137.5"/>
        <n v="138.80000000000001"/>
        <n v="140.69999999999999"/>
        <n v="139.5"/>
        <n v="141.5"/>
        <n v="140.19999999999999"/>
        <n v="142.4"/>
        <n v="139.6"/>
        <n v="141.1"/>
        <n v="143.1"/>
        <n v="140.30000000000001"/>
        <n v="141.80000000000001"/>
        <n v="143.6"/>
        <n v="140.9"/>
        <n v="142.30000000000001"/>
        <n v="143.9"/>
        <n v="141.6"/>
        <n v="142.80000000000001"/>
        <n v="144.4"/>
        <n v="141.9"/>
        <n v="143.19999999999999"/>
        <n v="145.4"/>
        <n v="144"/>
        <n v="145.5"/>
        <n v="142.6"/>
        <n v="144.19999999999999"/>
        <n v="145.80000000000001"/>
        <n v="142.9"/>
        <n v="144.5"/>
        <n v="146.5"/>
        <n v="144.9"/>
        <n v="147.69999999999999"/>
        <n v="143.69999999999999"/>
        <n v="148.69999999999999"/>
        <n v="146.80000000000001"/>
        <n v="149.30000000000001"/>
        <n v="145"/>
        <n v="147.30000000000001"/>
        <n v="150.30000000000001"/>
        <n v="148.1"/>
        <n v="151.4"/>
        <n v="146"/>
        <n v="148.9"/>
        <n v="146.30000000000001"/>
        <n v="149"/>
        <n v="151.80000000000001"/>
        <n v="149.5"/>
        <n v="151.69999999999999"/>
        <n v="147.1"/>
        <n v="149.6"/>
        <n v="152.80000000000001"/>
        <n v="147.6"/>
        <n v="150.4"/>
        <n v="153.80000000000001"/>
        <n v="148.30000000000001"/>
        <n v="151.19999999999999"/>
        <n v="154.30000000000001"/>
        <n v="154.80000000000001"/>
        <n v="149.4"/>
        <n v="152.30000000000001"/>
        <n v="155.19999999999999"/>
        <n v="153"/>
        <n v="155.9"/>
        <n v="151.30000000000001"/>
        <n v="152"/>
        <n v="154.5"/>
        <n v="156.1"/>
        <n v="152.6"/>
        <n v="156"/>
        <n v="152.9"/>
        <n v="154.6"/>
        <n v="155.80000000000001"/>
        <n v="153.19999999999999"/>
        <n v="156.19999999999999"/>
        <n v="153.5"/>
        <n v="154.9"/>
        <n v="156.4"/>
        <n v="153.9"/>
        <n v="155.5"/>
        <n v="156.6"/>
        <n v="155.1"/>
        <n v="156.69999999999999"/>
        <n v="155.6"/>
        <n v="156.9"/>
        <n v="157.19999999999999"/>
        <n v="156.80000000000001"/>
        <n v="157.4"/>
        <n v="157.1"/>
        <n v="157.69999999999999"/>
        <n v="157.5"/>
        <n v="158.30000000000001"/>
        <n v="158"/>
        <n v="158.69999999999999"/>
        <n v="158.5"/>
        <n v="158.6"/>
        <n v="159.19999999999999"/>
        <n v="159"/>
        <n v="159.1"/>
        <n v="160"/>
        <n v="159.6"/>
        <s v="NA"/>
        <n v="161.80000000000001"/>
        <n v="161.69999999999999"/>
        <n v="161.5"/>
        <n v="163.30000000000001"/>
        <n v="162.30000000000001"/>
        <n v="161.6"/>
        <n v="164.4"/>
        <n v="162.9"/>
        <n v="161.9"/>
        <n v="164.8"/>
        <n v="163.19999999999999"/>
        <n v="162.69999999999999"/>
        <n v="165.1"/>
        <n v="163.80000000000001"/>
        <n v="163.6"/>
        <n v="166.1"/>
        <n v="164.3"/>
        <n v="167.2"/>
        <n v="165.6"/>
        <n v="165.8"/>
        <n v="169.4"/>
        <n v="167.5"/>
        <n v="166.4"/>
        <n v="170.3"/>
        <n v="168.2"/>
        <n v="166.8"/>
        <n v="171.4"/>
        <n v="168.9"/>
        <n v="169.8"/>
        <n v="171.1"/>
        <n v="170.4"/>
        <n v="171.7"/>
        <n v="173.3"/>
        <n v="172.4"/>
        <n v="171"/>
        <n v="173.5"/>
        <n v="172.2"/>
        <n v="171.9"/>
        <n v="175.1"/>
        <n v="173.9"/>
        <n v="172.8"/>
        <n v="173.6"/>
        <n v="175.9"/>
        <n v="174.7"/>
        <n v="174.3"/>
        <n v="176.8"/>
        <n v="175.5"/>
        <n v="178.2"/>
        <n v="176.5"/>
        <n v="175.8"/>
        <n v="179"/>
        <n v="177.3"/>
        <n v="176.3"/>
        <n v="180"/>
        <n v="178"/>
        <n v="177.4"/>
        <n v="181.5"/>
        <n v="179.3"/>
        <n v="178.9"/>
        <n v="183.3"/>
        <n v="180.9"/>
        <n v="180.4"/>
        <n v="184.9"/>
        <n v="182.5"/>
        <n v="181.9"/>
        <n v="186.3"/>
        <n v="183.9"/>
        <n v="183.1"/>
        <n v="187.7"/>
        <n v="185.2"/>
        <n v="184"/>
        <n v="188.9"/>
        <n v="184.8"/>
        <n v="190.4"/>
        <n v="187.4"/>
        <n v="185.6"/>
        <n v="191.5"/>
        <n v="188.3"/>
        <n v="186.9"/>
        <n v="192.4"/>
        <n v="189.5"/>
        <n v="193.3"/>
        <n v="190.3"/>
        <n v="188.5"/>
        <n v="194.3"/>
        <n v="191.2"/>
        <n v="189.9"/>
        <n v="196.6"/>
        <n v="193"/>
        <n v="190.5"/>
        <n v="197"/>
        <n v="193.5"/>
        <n v="191.1"/>
        <n v="197.7"/>
        <n v="194.2"/>
      </sharedItems>
    </cacheField>
    <cacheField name="Food and beverages" numFmtId="0">
      <sharedItems containsMixedTypes="1" containsNumber="1" minValue="105.5" maxValue="183.3"/>
    </cacheField>
    <cacheField name="Pan, tobacco and intoxicants" numFmtId="0">
      <sharedItems containsMixedTypes="1" containsNumber="1" minValue="105.1" maxValue="204.2" count="309">
        <n v="105.1"/>
        <n v="105.2"/>
        <n v="105.6"/>
        <n v="106"/>
        <n v="105.7"/>
        <n v="106.5"/>
        <n v="106.8"/>
        <n v="106.6"/>
        <n v="107.1"/>
        <n v="108.5"/>
        <n v="107.5"/>
        <n v="108.1"/>
        <n v="109.8"/>
        <n v="108.6"/>
        <n v="109"/>
        <n v="110.9"/>
        <n v="109.5"/>
        <n v="111.7"/>
        <n v="110.3"/>
        <n v="110.7"/>
        <n v="112.4"/>
        <n v="111.2"/>
        <n v="112.9"/>
        <n v="112"/>
        <n v="112.2"/>
        <n v="113.5"/>
        <n v="112.5"/>
        <n v="112.8"/>
        <n v="114.1"/>
        <n v="113.1"/>
        <n v="113.6"/>
        <n v="115"/>
        <n v="114"/>
        <n v="115.7"/>
        <n v="114.5"/>
        <n v="114.2"/>
        <n v="116.2"/>
        <n v="114.7"/>
        <n v="114.6"/>
        <n v="116.7"/>
        <n v="115.2"/>
        <n v="115.4"/>
        <n v="117.6"/>
        <n v="116"/>
        <n v="116.3"/>
        <n v="118.3"/>
        <n v="116.8"/>
        <n v="117.3"/>
        <n v="119"/>
        <n v="117.8"/>
        <n v="118"/>
        <n v="121"/>
        <n v="118.8"/>
        <n v="123"/>
        <n v="119.9"/>
        <n v="119.5"/>
        <n v="124.3"/>
        <n v="120.8"/>
        <n v="120"/>
        <n v="121.1"/>
        <n v="125.8"/>
        <n v="122.1"/>
        <n v="121.7"/>
        <n v="126.4"/>
        <n v="122.7"/>
        <n v="127.4"/>
        <n v="124"/>
        <n v="124.2"/>
        <n v="128.1"/>
        <n v="125.2"/>
        <n v="124.7"/>
        <n v="128.80000000000001"/>
        <n v="125.7"/>
        <n v="130.1"/>
        <n v="126.9"/>
        <n v="126.7"/>
        <n v="131.30000000000001"/>
        <n v="127.9"/>
        <n v="128.19999999999999"/>
        <n v="132.1"/>
        <n v="129.19999999999999"/>
        <n v="129.4"/>
        <n v="133.1"/>
        <n v="130.4"/>
        <n v="134.19999999999999"/>
        <n v="131.19999999999999"/>
        <n v="131"/>
        <n v="134.69999999999999"/>
        <n v="132"/>
        <n v="131.5"/>
        <n v="135.30000000000001"/>
        <n v="132.5"/>
        <n v="132.19999999999999"/>
        <n v="137.6"/>
        <n v="133.6"/>
        <n v="138.19999999999999"/>
        <n v="134.5"/>
        <n v="139.5"/>
        <n v="135.19999999999999"/>
        <n v="134.4"/>
        <n v="140"/>
        <n v="135.9"/>
        <n v="135"/>
        <n v="140.6"/>
        <n v="136.5"/>
        <n v="135.5"/>
        <n v="141.5"/>
        <n v="137.1"/>
        <n v="136"/>
        <n v="142.19999999999999"/>
        <n v="137.69999999999999"/>
        <n v="137.19999999999999"/>
        <n v="142.69999999999999"/>
        <n v="138.69999999999999"/>
        <n v="138"/>
        <n v="142.9"/>
        <n v="139.30000000000001"/>
        <n v="138.9"/>
        <n v="143.6"/>
        <n v="140.19999999999999"/>
        <n v="139.9"/>
        <n v="143.9"/>
        <n v="141"/>
        <n v="140.9"/>
        <n v="144.30000000000001"/>
        <n v="141.80000000000001"/>
        <n v="141.19999999999999"/>
        <n v="142"/>
        <n v="142.4"/>
        <n v="145"/>
        <n v="143.1"/>
        <n v="145.6"/>
        <n v="143.80000000000001"/>
        <n v="143.69999999999999"/>
        <n v="146.30000000000001"/>
        <n v="144.4"/>
        <n v="144.19999999999999"/>
        <n v="147.5"/>
        <n v="145.1"/>
        <n v="148"/>
        <n v="145.4"/>
        <n v="145.5"/>
        <n v="148.30000000000001"/>
        <n v="146.19999999999999"/>
        <n v="145.80000000000001"/>
        <n v="148.6"/>
        <n v="146.5"/>
        <n v="147.4"/>
        <n v="150.5"/>
        <n v="148.19999999999999"/>
        <n v="149"/>
        <n v="152.1"/>
        <n v="149.80000000000001"/>
        <n v="153.6"/>
        <n v="150.80000000000001"/>
        <n v="154.6"/>
        <n v="151.6"/>
        <n v="156.19999999999999"/>
        <n v="153.19999999999999"/>
        <n v="157"/>
        <n v="154.19999999999999"/>
        <n v="157.69999999999999"/>
        <n v="154.69999999999999"/>
        <n v="153.30000000000001"/>
        <n v="159.30000000000001"/>
        <n v="154.9"/>
        <n v="155.1"/>
        <n v="159.69999999999999"/>
        <n v="156.30000000000001"/>
        <n v="156.1"/>
        <n v="159.19999999999999"/>
        <n v="156.9"/>
        <n v="160.30000000000001"/>
        <n v="157.9"/>
        <n v="157.30000000000001"/>
        <n v="161"/>
        <n v="158.30000000000001"/>
        <n v="161.4"/>
        <n v="157.5"/>
        <n v="156.4"/>
        <n v="162.1"/>
        <n v="163.30000000000001"/>
        <n v="159.6"/>
        <n v="164"/>
        <n v="162.6"/>
        <n v="161.9"/>
        <n v="164.4"/>
        <n v="162.4"/>
        <n v="164.6"/>
        <n v="163"/>
        <n v="162.69999999999999"/>
        <n v="164.7"/>
        <n v="163.19999999999999"/>
        <n v="162.80000000000001"/>
        <n v="164.9"/>
        <n v="163.4"/>
        <n v="162.9"/>
        <n v="165.3"/>
        <n v="163.5"/>
        <n v="166.2"/>
        <n v="164.1"/>
        <n v="164.2"/>
        <n v="166.7"/>
        <n v="164.5"/>
        <n v="167.2"/>
        <n v="165.2"/>
        <n v="165.1"/>
        <n v="167.9"/>
        <n v="165.8"/>
        <n v="165.7"/>
        <n v="168.6"/>
        <n v="166.5"/>
        <n v="166.3"/>
        <n v="169.3"/>
        <n v="167.1"/>
        <n v="169.9"/>
        <n v="167.8"/>
        <n v="170.4"/>
        <n v="168.5"/>
        <n v="170.8"/>
        <n v="169.2"/>
        <n v="169.4"/>
        <n v="172"/>
        <n v="170.1"/>
        <n v="170.5"/>
        <n v="173.3"/>
        <n v="171.2"/>
        <s v="NA"/>
        <n v="182.4"/>
        <n v="186.7"/>
        <n v="183.5"/>
        <n v="180.9"/>
        <n v="187.2"/>
        <n v="182.6"/>
        <n v="182.9"/>
        <n v="188.7"/>
        <n v="184.4"/>
        <n v="182.7"/>
        <n v="184.3"/>
        <n v="183.4"/>
        <n v="188.8"/>
        <n v="184.8"/>
        <n v="183.6"/>
        <n v="190.2"/>
        <n v="185.4"/>
        <n v="184.6"/>
        <n v="191.8"/>
        <n v="186.5"/>
        <n v="193.3"/>
        <n v="188.3"/>
        <n v="186.1"/>
        <n v="193.5"/>
        <n v="188.1"/>
        <n v="186.8"/>
        <n v="194.4"/>
        <n v="189.6"/>
        <n v="198.2"/>
        <n v="191.9"/>
        <n v="189.1"/>
        <n v="195.6"/>
        <n v="190.8"/>
        <n v="189.7"/>
        <n v="195.5"/>
        <n v="191.2"/>
        <n v="196.5"/>
        <n v="192.1"/>
        <n v="190.5"/>
        <n v="197"/>
        <n v="192.7"/>
        <n v="191.4"/>
        <n v="192.9"/>
        <n v="196.8"/>
        <n v="192.4"/>
        <n v="190.7"/>
        <n v="196.4"/>
        <n v="192.2"/>
        <n v="191.5"/>
        <n v="192.8"/>
        <n v="192.3"/>
        <n v="197.5"/>
        <n v="193.7"/>
        <n v="197.1"/>
        <n v="193.9"/>
        <n v="194.1"/>
        <n v="198.3"/>
        <n v="194.3"/>
        <n v="193.2"/>
        <n v="198.6"/>
        <n v="194.6"/>
        <n v="198.7"/>
        <n v="195"/>
        <n v="194.5"/>
        <n v="199.7"/>
        <n v="195.9"/>
        <n v="194.9"/>
        <n v="200.1"/>
        <n v="196.3"/>
        <n v="200.6"/>
        <n v="196.9"/>
        <n v="201.1"/>
        <n v="197.3"/>
        <n v="201.6"/>
        <n v="202.7"/>
        <n v="199.5"/>
        <n v="198.4"/>
        <n v="203.5"/>
        <n v="199.9"/>
        <n v="204.2"/>
        <n v="201"/>
      </sharedItems>
    </cacheField>
    <cacheField name="Clothing" numFmtId="0">
      <sharedItems containsMixedTypes="1" containsNumber="1" minValue="105.9" maxValue="191.2"/>
    </cacheField>
    <cacheField name="Footwear" numFmtId="0">
      <sharedItems containsMixedTypes="1" containsNumber="1" minValue="105" maxValue="187.9"/>
    </cacheField>
    <cacheField name="Clothing and footwear" numFmtId="0">
      <sharedItems containsMixedTypes="1" containsNumber="1" minValue="105.8" maxValue="190.8" count="303">
        <n v="106.4"/>
        <n v="105.8"/>
        <n v="106.2"/>
        <n v="107"/>
        <n v="106.8"/>
        <n v="107.5"/>
        <n v="107.3"/>
        <n v="108"/>
        <n v="107.7"/>
        <n v="107.9"/>
        <n v="108.6"/>
        <n v="108.3"/>
        <n v="108.5"/>
        <n v="109.5"/>
        <n v="108.9"/>
        <n v="109.3"/>
        <n v="110.3"/>
        <n v="110"/>
        <n v="111.1"/>
        <n v="110.2"/>
        <n v="110.7"/>
        <n v="112.5"/>
        <n v="111.9"/>
        <n v="113.4"/>
        <n v="112"/>
        <n v="112.8"/>
        <n v="114.4"/>
        <n v="113"/>
        <n v="113.8"/>
        <n v="115.5"/>
        <n v="113.7"/>
        <n v="114.8"/>
        <n v="116.2"/>
        <n v="114.3"/>
        <n v="115.4"/>
        <n v="116.7"/>
        <n v="114.7"/>
        <n v="115.9"/>
        <n v="117.2"/>
        <n v="115.2"/>
        <n v="116.4"/>
        <n v="117.8"/>
        <n v="115.7"/>
        <n v="117"/>
        <n v="118.5"/>
        <n v="117.6"/>
        <n v="119.3"/>
        <n v="118.3"/>
        <n v="120.3"/>
        <n v="117.4"/>
        <n v="119.1"/>
        <n v="120.7"/>
        <n v="117.9"/>
        <n v="119.6"/>
        <n v="121.3"/>
        <n v="118.4"/>
        <n v="120.1"/>
        <n v="122.3"/>
        <n v="118.9"/>
        <n v="121"/>
        <n v="122.9"/>
        <n v="119.5"/>
        <n v="121.6"/>
        <n v="123.3"/>
        <n v="120"/>
        <n v="122"/>
        <n v="124"/>
        <n v="120.2"/>
        <n v="122.5"/>
        <n v="125"/>
        <n v="120.6"/>
        <n v="125.5"/>
        <n v="120.9"/>
        <n v="123.7"/>
        <n v="126"/>
        <n v="124.1"/>
        <n v="126.8"/>
        <n v="124.7"/>
        <n v="128"/>
        <n v="125.7"/>
        <n v="128.30000000000001"/>
        <n v="122.7"/>
        <n v="126.1"/>
        <n v="129"/>
        <n v="126.6"/>
        <n v="129.9"/>
        <n v="123.2"/>
        <n v="127.2"/>
        <n v="130.6"/>
        <n v="123.6"/>
        <n v="127.8"/>
        <n v="131.5"/>
        <n v="124.2"/>
        <n v="128.6"/>
        <n v="131.9"/>
        <n v="124.5"/>
        <n v="132.6"/>
        <n v="124.9"/>
        <n v="129.5"/>
        <n v="133.4"/>
        <n v="125.3"/>
        <n v="130.19999999999999"/>
        <n v="133.80000000000001"/>
        <n v="130.5"/>
        <n v="134.4"/>
        <n v="125.8"/>
        <n v="131"/>
        <n v="134.80000000000001"/>
        <n v="126.2"/>
        <n v="131.4"/>
        <n v="135.6"/>
        <n v="132"/>
        <n v="136.5"/>
        <n v="126.9"/>
        <n v="132.69999999999999"/>
        <n v="137.1"/>
        <n v="127.3"/>
        <n v="133.19999999999999"/>
        <n v="137.80000000000001"/>
        <n v="127.7"/>
        <n v="138.80000000000001"/>
        <n v="134.5"/>
        <n v="139.19999999999999"/>
        <n v="128.5"/>
        <n v="135"/>
        <n v="139.69999999999999"/>
        <n v="128.80000000000001"/>
        <n v="135.4"/>
        <n v="140"/>
        <n v="140.19999999999999"/>
        <n v="129.30000000000001"/>
        <n v="135.9"/>
        <n v="140.80000000000001"/>
        <n v="129.6"/>
        <n v="136.4"/>
        <n v="141.6"/>
        <n v="130"/>
        <n v="137"/>
        <n v="141.80000000000001"/>
        <n v="137.19999999999999"/>
        <n v="142.30000000000001"/>
        <n v="137.5"/>
        <n v="143.5"/>
        <n v="130.4"/>
        <n v="138.30000000000001"/>
        <n v="144.5"/>
        <n v="139.30000000000001"/>
        <n v="145.19999999999999"/>
        <n v="146.19999999999999"/>
        <n v="147.30000000000001"/>
        <n v="133.5"/>
        <n v="147.19999999999999"/>
        <n v="134"/>
        <n v="142"/>
        <n v="147.5"/>
        <n v="147.80000000000001"/>
        <n v="134.69999999999999"/>
        <n v="142.6"/>
        <n v="148.30000000000001"/>
        <n v="135.19999999999999"/>
        <n v="143.1"/>
        <n v="149.1"/>
        <n v="136.19999999999999"/>
        <n v="144"/>
        <n v="149.80000000000001"/>
        <n v="144.69999999999999"/>
        <n v="150.30000000000001"/>
        <n v="137.4"/>
        <n v="150.6"/>
        <n v="137.9"/>
        <n v="145.6"/>
        <n v="151.30000000000001"/>
        <n v="146.1"/>
        <n v="139.1"/>
        <n v="146.5"/>
        <n v="146.80000000000001"/>
        <n v="150.80000000000001"/>
        <n v="140.5"/>
        <n v="146.69999999999999"/>
        <n v="149.9"/>
        <n v="141.1"/>
        <n v="146.4"/>
        <n v="141.4"/>
        <n v="150.1"/>
        <n v="150.69999999999999"/>
        <n v="142.19999999999999"/>
        <n v="142.4"/>
        <n v="147.4"/>
        <n v="150.9"/>
        <n v="142.69999999999999"/>
        <n v="147.6"/>
        <n v="151.1"/>
        <n v="143"/>
        <n v="147.9"/>
        <n v="151"/>
        <n v="143.30000000000001"/>
        <n v="143.9"/>
        <n v="148.19999999999999"/>
        <n v="151.5"/>
        <n v="144.19999999999999"/>
        <n v="148.6"/>
        <n v="151.9"/>
        <n v="144.6"/>
        <n v="149"/>
        <n v="152.1"/>
        <n v="144.9"/>
        <n v="149.19999999999999"/>
        <n v="152.30000000000001"/>
        <n v="149.5"/>
        <n v="152.5"/>
        <s v="NA"/>
        <n v="154.1"/>
        <n v="151.4"/>
        <n v="154.30000000000001"/>
        <n v="151.69999999999999"/>
        <n v="154.6"/>
        <n v="148.1"/>
        <n v="152"/>
        <n v="155"/>
        <n v="155.5"/>
        <n v="148.80000000000001"/>
        <n v="152.80000000000001"/>
        <n v="156.30000000000001"/>
        <n v="149.6"/>
        <n v="153.6"/>
        <n v="156.80000000000001"/>
        <n v="150.19999999999999"/>
        <n v="154.19999999999999"/>
        <n v="158.4"/>
        <n v="151.80000000000001"/>
        <n v="155.80000000000001"/>
        <n v="158.9"/>
        <n v="152.6"/>
        <n v="156.4"/>
        <n v="159.9"/>
        <n v="153.4"/>
        <n v="157.30000000000001"/>
        <n v="164.5"/>
        <n v="160.4"/>
        <n v="164.6"/>
        <n v="154.80000000000001"/>
        <n v="160.69999999999999"/>
        <n v="165.3"/>
        <n v="161.4"/>
        <n v="166.3"/>
        <n v="163.19999999999999"/>
        <n v="167.1"/>
        <n v="157.4"/>
        <n v="163.30000000000001"/>
        <n v="168.3"/>
        <n v="158.30000000000001"/>
        <n v="164.3"/>
        <n v="169.8"/>
        <n v="159.69999999999999"/>
        <n v="165.8"/>
        <n v="171.2"/>
        <n v="167"/>
        <n v="172.7"/>
        <n v="162.19999999999999"/>
        <n v="168.5"/>
        <n v="173.7"/>
        <n v="163.4"/>
        <n v="169.6"/>
        <n v="175.1"/>
        <n v="164.9"/>
        <n v="171.1"/>
        <n v="177.1"/>
        <n v="172.8"/>
        <n v="179"/>
        <n v="167.8"/>
        <n v="174.6"/>
        <n v="180.4"/>
        <n v="169.4"/>
        <n v="176"/>
        <n v="181.7"/>
        <n v="170.6"/>
        <n v="177.3"/>
        <n v="183"/>
        <n v="171.6"/>
        <n v="178.5"/>
        <n v="184.5"/>
        <n v="173"/>
        <n v="179.9"/>
        <n v="185.9"/>
        <n v="173.6"/>
        <n v="181"/>
        <n v="186.9"/>
        <n v="174.7"/>
        <n v="182.1"/>
        <n v="187.8"/>
        <n v="175.7"/>
        <n v="188.6"/>
        <n v="176.6"/>
        <n v="183.8"/>
        <n v="189.6"/>
        <n v="178.2"/>
        <n v="185.1"/>
        <n v="190.2"/>
        <n v="178.9"/>
        <n v="185.7"/>
        <n v="190.8"/>
        <n v="179.3"/>
        <n v="186.2"/>
      </sharedItems>
    </cacheField>
    <cacheField name="Housing" numFmtId="0">
      <sharedItems containsMixedTypes="1" containsNumber="1" minValue="100.3" maxValue="175.6" count="118">
        <s v="NA"/>
        <n v="100.3"/>
        <n v="100.4"/>
        <n v="100.5"/>
        <n v="106.6"/>
        <n v="107.7"/>
        <n v="108.9"/>
        <n v="109.7"/>
        <n v="110.5"/>
        <n v="111.1"/>
        <n v="110.7"/>
        <n v="111.6"/>
        <n v="112.5"/>
        <n v="113.2"/>
        <n v="113.9"/>
        <n v="114.3"/>
        <n v="114.8"/>
        <n v="115.5"/>
        <n v="116.1"/>
        <n v="116.7"/>
        <n v="117.1"/>
        <n v="116.5"/>
        <n v="117.3"/>
        <n v="118.1"/>
        <n v="118.6"/>
        <n v="119.2"/>
        <n v="119.6"/>
        <n v="119"/>
        <n v="119.9"/>
        <n v="120.9"/>
        <n v="121.6"/>
        <n v="122.4"/>
        <n v="122.9"/>
        <n v="123.4"/>
        <n v="124.4"/>
        <n v="124.9"/>
        <n v="125.6"/>
        <n v="126"/>
        <n v="125.5"/>
        <n v="126.4"/>
        <n v="127.3"/>
        <n v="127.9"/>
        <n v="128.69999999999999"/>
        <n v="129.1"/>
        <n v="128.5"/>
        <n v="129.6"/>
        <n v="130.5"/>
        <n v="131.1"/>
        <n v="131.69999999999999"/>
        <n v="132.1"/>
        <n v="131.4"/>
        <n v="132.6"/>
        <n v="134.4"/>
        <n v="135.69999999999999"/>
        <n v="137.30000000000001"/>
        <n v="138.6"/>
        <n v="139.1"/>
        <n v="140.4"/>
        <n v="141.30000000000001"/>
        <n v="142"/>
        <n v="142.9"/>
        <n v="143.19999999999999"/>
        <n v="142.5"/>
        <n v="143.6"/>
        <n v="144.6"/>
        <n v="145.30000000000001"/>
        <n v="146.30000000000001"/>
        <n v="146.9"/>
        <n v="146.5"/>
        <n v="147.69999999999999"/>
        <n v="148.5"/>
        <n v="149"/>
        <n v="150.1"/>
        <n v="149.4"/>
        <n v="150.6"/>
        <n v="151.6"/>
        <n v="152.19999999999999"/>
        <n v="153"/>
        <n v="153.5"/>
        <n v="152.80000000000001"/>
        <n v="153.9"/>
        <n v="154.80000000000001"/>
        <n v="154.5"/>
        <n v="155.6"/>
        <n v="154.69999999999999"/>
        <n v="155.5"/>
        <n v="156.30000000000001"/>
        <n v="156.5"/>
        <n v="158"/>
        <n v="158.4"/>
        <n v="157.69999999999999"/>
        <n v="159.80000000000001"/>
        <s v="-"/>
        <n v="159.9"/>
        <n v="161.4"/>
        <n v="161.6"/>
        <n v="160.5"/>
        <n v="161.5"/>
        <n v="162.1"/>
        <n v="163.6"/>
        <n v="164.2"/>
        <n v="163.4"/>
        <n v="164.5"/>
        <n v="165.5"/>
        <n v="165.3"/>
        <n v="167"/>
        <n v="167.5"/>
        <n v="166.8"/>
        <n v="167.8"/>
        <n v="169"/>
        <n v="169.5"/>
        <n v="171.2"/>
        <n v="171.8"/>
        <n v="170.7"/>
        <n v="172.1"/>
        <n v="173.5"/>
        <n v="175.2"/>
        <n v="175.6"/>
      </sharedItems>
    </cacheField>
    <cacheField name="Fuel and light" numFmtId="0">
      <sharedItems containsMixedTypes="1" containsNumber="1" minValue="105.4" maxValue="183.4" count="274">
        <n v="105.5"/>
        <n v="105.4"/>
        <n v="106.2"/>
        <n v="105.7"/>
        <n v="106"/>
        <n v="106.1"/>
        <n v="106.5"/>
        <n v="106.4"/>
        <n v="107.5"/>
        <n v="107.2"/>
        <n v="107.4"/>
        <n v="108.5"/>
        <n v="108"/>
        <n v="108.3"/>
        <n v="109.5"/>
        <n v="108.6"/>
        <n v="109.2"/>
        <n v="109.9"/>
        <n v="109.3"/>
        <n v="109.7"/>
        <n v="111.1"/>
        <n v="110.5"/>
        <n v="111.6"/>
        <n v="110.9"/>
        <n v="112.6"/>
        <n v="110"/>
        <n v="112.8"/>
        <n v="110.4"/>
        <n v="111.9"/>
        <n v="113"/>
        <n v="111"/>
        <n v="112.2"/>
        <n v="113.2"/>
        <n v="112.4"/>
        <n v="113.4"/>
        <n v="112.5"/>
        <n v="114.4"/>
        <n v="111.2"/>
        <n v="115.3"/>
        <n v="113.9"/>
        <n v="115.4"/>
        <n v="111.8"/>
        <n v="114"/>
        <n v="115.8"/>
        <n v="114.3"/>
        <n v="116.4"/>
        <n v="112"/>
        <n v="114.7"/>
        <n v="117.3"/>
        <n v="115.5"/>
        <n v="117.4"/>
        <n v="115.7"/>
        <n v="118.4"/>
        <n v="116.5"/>
        <n v="120"/>
        <n v="117.7"/>
        <n v="120.6"/>
        <n v="118.3"/>
        <n v="121.2"/>
        <n v="118.7"/>
        <n v="121.9"/>
        <n v="114.9"/>
        <n v="119.2"/>
        <n v="122.6"/>
        <n v="115.1"/>
        <n v="119.8"/>
        <n v="123"/>
        <n v="120.1"/>
        <n v="123.8"/>
        <n v="123.7"/>
        <n v="120.4"/>
        <n v="124.4"/>
        <n v="120.8"/>
        <n v="125.6"/>
        <n v="121.6"/>
        <n v="125.7"/>
        <n v="116"/>
        <n v="122"/>
        <n v="126.2"/>
        <n v="116.9"/>
        <n v="122.7"/>
        <n v="127.5"/>
        <n v="123.1"/>
        <n v="127"/>
        <n v="114.8"/>
        <n v="122.4"/>
        <n v="114.6"/>
        <n v="122.3"/>
        <n v="127.4"/>
        <n v="115"/>
        <n v="128"/>
        <n v="123.3"/>
        <n v="128.19999999999999"/>
        <n v="123.4"/>
        <n v="129.1"/>
        <n v="123.6"/>
        <n v="129.69999999999999"/>
        <n v="124.1"/>
        <n v="129.80000000000001"/>
        <n v="115.2"/>
        <n v="124.3"/>
        <n v="130.30000000000001"/>
        <n v="116.2"/>
        <n v="125"/>
        <n v="132"/>
        <n v="117.8"/>
        <n v="126.6"/>
        <n v="132.1"/>
        <n v="118"/>
        <n v="126.8"/>
        <n v="133.19999999999999"/>
        <n v="127.9"/>
        <n v="134.19999999999999"/>
        <n v="135"/>
        <n v="121.4"/>
        <n v="129.4"/>
        <n v="134.80000000000001"/>
        <n v="119"/>
        <n v="128.80000000000001"/>
        <n v="135.30000000000001"/>
        <n v="119.7"/>
        <n v="136.4"/>
        <n v="118.9"/>
        <n v="137.4"/>
        <n v="131"/>
        <n v="138.1"/>
        <n v="132.19999999999999"/>
        <n v="141.1"/>
        <n v="142.6"/>
        <n v="136.6"/>
        <n v="142.30000000000001"/>
        <n v="127.3"/>
        <n v="142.4"/>
        <n v="136.69999999999999"/>
        <n v="126.4"/>
        <n v="136.5"/>
        <n v="143.80000000000001"/>
        <n v="124.6"/>
        <n v="144.30000000000001"/>
        <n v="124.7"/>
        <n v="136.9"/>
        <n v="145.1"/>
        <n v="126.5"/>
        <n v="146.80000000000001"/>
        <n v="128.1"/>
        <n v="139.69999999999999"/>
        <n v="147.69999999999999"/>
        <n v="140.9"/>
        <n v="149"/>
        <n v="131.19999999999999"/>
        <n v="149.69999999999999"/>
        <n v="133.4"/>
        <n v="145.30000000000001"/>
        <n v="150.30000000000001"/>
        <n v="132.4"/>
        <n v="142.69999999999999"/>
        <n v="146.19999999999999"/>
        <n v="128.6"/>
        <n v="139.5"/>
        <n v="127.1"/>
        <n v="138.4"/>
        <n v="146.4"/>
        <n v="146.9"/>
        <n v="140.30000000000001"/>
        <n v="147.80000000000001"/>
        <n v="130.5"/>
        <n v="141.19999999999999"/>
        <n v="139.30000000000001"/>
        <n v="125.5"/>
        <n v="138.5"/>
        <n v="139.19999999999999"/>
        <n v="128.9"/>
        <n v="140.6"/>
        <n v="148.4"/>
        <n v="149.9"/>
        <n v="133.6"/>
        <n v="143.69999999999999"/>
        <n v="150.4"/>
        <n v="135.1"/>
        <n v="144.6"/>
        <n v="152.30000000000001"/>
        <n v="138.9"/>
        <n v="147.19999999999999"/>
        <n v="153.4"/>
        <n v="141.4"/>
        <n v="148.9"/>
        <n v="137.1"/>
        <n v="144.1"/>
        <s v="NA"/>
        <n v="144.9"/>
        <n v="141.9"/>
        <n v="145.80000000000001"/>
        <n v="138.30000000000001"/>
        <n v="143"/>
        <n v="137.19999999999999"/>
        <n v="142.9"/>
        <n v="143.1"/>
        <n v="147.5"/>
        <n v="137.30000000000001"/>
        <n v="143.6"/>
        <n v="148.69999999999999"/>
        <n v="137.9"/>
        <n v="150.9"/>
        <n v="147.9"/>
        <n v="154.4"/>
        <n v="149.1"/>
        <n v="152.4"/>
        <n v="156"/>
        <n v="154.80000000000001"/>
        <n v="155.5"/>
        <n v="154.9"/>
        <n v="155.6"/>
        <n v="161.69999999999999"/>
        <n v="159.4"/>
        <n v="162.1"/>
        <n v="156.1"/>
        <n v="159.80000000000001"/>
        <n v="162.5"/>
        <n v="157.69999999999999"/>
        <n v="160.69999999999999"/>
        <n v="163.1"/>
        <n v="162.6"/>
        <n v="163.69999999999999"/>
        <n v="160.80000000000001"/>
        <n v="165.5"/>
        <n v="162.19999999999999"/>
        <n v="164.2"/>
        <n v="165.3"/>
        <n v="161.6"/>
        <n v="163.9"/>
        <n v="165.6"/>
        <n v="164.1"/>
        <n v="165.8"/>
        <n v="167.4"/>
        <n v="163"/>
        <n v="165.7"/>
        <n v="168.9"/>
        <n v="164.5"/>
        <n v="167.2"/>
        <n v="173.3"/>
        <n v="170.5"/>
        <n v="172.2"/>
        <n v="175.3"/>
        <n v="173.5"/>
        <n v="174.6"/>
        <n v="176.7"/>
        <n v="174.9"/>
        <n v="176"/>
        <n v="179.6"/>
        <n v="179.5"/>
        <n v="179.1"/>
        <n v="178.4"/>
        <n v="178.8"/>
        <n v="179.7"/>
        <n v="179.2"/>
        <n v="180.8"/>
        <n v="180"/>
        <n v="180.5"/>
        <n v="181.9"/>
        <n v="180.3"/>
        <n v="181.3"/>
        <n v="182.8"/>
        <n v="180.6"/>
        <n v="182"/>
        <n v="183.2"/>
        <n v="180.1"/>
        <n v="181.6"/>
        <n v="182.1"/>
        <n v="181.4"/>
        <n v="182.6"/>
        <n v="181.5"/>
        <n v="181.7"/>
        <n v="182.5"/>
        <n v="183.4"/>
      </sharedItems>
    </cacheField>
    <cacheField name="Household goods and services" numFmtId="0">
      <sharedItems containsMixedTypes="1" containsNumber="1" minValue="104.8" maxValue="179.8" count="291">
        <n v="104.8"/>
        <n v="105.2"/>
        <n v="105.6"/>
        <n v="105.7"/>
        <n v="106.1"/>
        <n v="106.5"/>
        <n v="106.3"/>
        <n v="106.8"/>
        <n v="107.1"/>
        <n v="106.9"/>
        <n v="107.5"/>
        <n v="107.7"/>
        <n v="107.6"/>
        <n v="108.3"/>
        <n v="108.1"/>
        <n v="108.2"/>
        <n v="108.7"/>
        <n v="109.6"/>
        <n v="110.4"/>
        <n v="110.2"/>
        <n v="110.3"/>
        <n v="111.3"/>
        <n v="110.9"/>
        <n v="111.1"/>
        <n v="112.1"/>
        <n v="111.7"/>
        <n v="112.6"/>
        <n v="111.9"/>
        <n v="112.3"/>
        <n v="112.9"/>
        <n v="112.8"/>
        <n v="113.4"/>
        <n v="113"/>
        <n v="113.2"/>
        <n v="113.7"/>
        <n v="113.6"/>
        <n v="114.1"/>
        <n v="114.9"/>
        <n v="114.3"/>
        <n v="114.6"/>
        <n v="115.4"/>
        <n v="115.2"/>
        <n v="115.9"/>
        <n v="115.3"/>
        <n v="115.6"/>
        <n v="116.7"/>
        <n v="115.5"/>
        <n v="116.1"/>
        <n v="117.5"/>
        <n v="115.8"/>
        <n v="118.1"/>
        <n v="116.4"/>
        <n v="117.3"/>
        <n v="118.2"/>
        <n v="116.8"/>
        <n v="118.9"/>
        <n v="117.2"/>
        <n v="119.6"/>
        <n v="117.7"/>
        <n v="118.7"/>
        <n v="120.2"/>
        <n v="118"/>
        <n v="119.2"/>
        <n v="120.9"/>
        <n v="118.4"/>
        <n v="119.7"/>
        <n v="121.5"/>
        <n v="122.8"/>
        <n v="121.1"/>
        <n v="123"/>
        <n v="119.5"/>
        <n v="121.3"/>
        <n v="123.7"/>
        <n v="120"/>
        <n v="122"/>
        <n v="124.5"/>
        <n v="120.4"/>
        <n v="122.6"/>
        <n v="125.1"/>
        <n v="120.7"/>
        <n v="125.6"/>
        <n v="121"/>
        <n v="123.4"/>
        <n v="126"/>
        <n v="123.6"/>
        <n v="126.6"/>
        <n v="121.6"/>
        <n v="124.2"/>
        <n v="127.1"/>
        <n v="121.8"/>
        <n v="124.6"/>
        <n v="127.7"/>
        <n v="122.3"/>
        <n v="128"/>
        <n v="125.5"/>
        <n v="128.5"/>
        <n v="123.2"/>
        <n v="129.30000000000001"/>
        <n v="126.4"/>
        <n v="130"/>
        <n v="123.5"/>
        <n v="126.9"/>
        <n v="130.6"/>
        <n v="123.9"/>
        <n v="127.4"/>
        <n v="131.1"/>
        <n v="124.3"/>
        <n v="127.9"/>
        <n v="131.80000000000001"/>
        <n v="128.4"/>
        <n v="132.1"/>
        <n v="124.7"/>
        <n v="128.6"/>
        <n v="132.9"/>
        <n v="125"/>
        <n v="129.19999999999999"/>
        <n v="133.19999999999999"/>
        <n v="129.4"/>
        <n v="133.6"/>
        <n v="125.3"/>
        <n v="129.69999999999999"/>
        <n v="134.1"/>
        <n v="130.1"/>
        <n v="134.30000000000001"/>
        <n v="130.4"/>
        <n v="134.9"/>
        <n v="126.5"/>
        <n v="130.9"/>
        <n v="135.19999999999999"/>
        <n v="126.8"/>
        <n v="131.19999999999999"/>
        <n v="136.1"/>
        <n v="127.2"/>
        <n v="131.9"/>
        <n v="137.30000000000001"/>
        <n v="132.80000000000001"/>
        <n v="137.9"/>
        <n v="128.1"/>
        <n v="133.30000000000001"/>
        <n v="138.4"/>
        <n v="128.30000000000001"/>
        <n v="139.4"/>
        <n v="128.80000000000001"/>
        <n v="134.4"/>
        <n v="139.5"/>
        <n v="134.69999999999999"/>
        <n v="139.80000000000001"/>
        <n v="129.5"/>
        <n v="139.9"/>
        <n v="129.9"/>
        <n v="130.80000000000001"/>
        <n v="135.6"/>
        <n v="140.9"/>
        <n v="136.6"/>
        <n v="141.80000000000001"/>
        <n v="132.5"/>
        <n v="137.4"/>
        <n v="142.19999999999999"/>
        <n v="133.1"/>
        <n v="143.1"/>
        <n v="138.6"/>
        <n v="143.80000000000001"/>
        <n v="144"/>
        <n v="139.69999999999999"/>
        <n v="147.5"/>
        <n v="135.1"/>
        <n v="148"/>
        <n v="135.80000000000001"/>
        <n v="149.5"/>
        <n v="136.19999999999999"/>
        <n v="143.19999999999999"/>
        <n v="150.1"/>
        <n v="136.30000000000001"/>
        <n v="143.6"/>
        <n v="143.69999999999999"/>
        <n v="150"/>
        <n v="136.80000000000001"/>
        <n v="137.19999999999999"/>
        <n v="149.6"/>
        <n v="137.69999999999999"/>
        <n v="144.19999999999999"/>
        <n v="150.19999999999999"/>
        <n v="138.1"/>
        <n v="144.5"/>
        <n v="150.30000000000001"/>
        <n v="138.30000000000001"/>
        <n v="144.6"/>
        <n v="150.6"/>
        <n v="138.69999999999999"/>
        <n v="145"/>
        <n v="150.9"/>
        <n v="139.1"/>
        <n v="145.30000000000001"/>
        <n v="151.19999999999999"/>
        <n v="145.80000000000001"/>
        <n v="151.69999999999999"/>
        <n v="140.1"/>
        <n v="146.19999999999999"/>
        <n v="151.80000000000001"/>
        <n v="140.4"/>
        <n v="146.4"/>
        <n v="151.5"/>
        <n v="140.80000000000001"/>
        <s v="NA"/>
        <n v="151.9"/>
        <n v="148.4"/>
        <n v="151.6"/>
        <n v="145.4"/>
        <n v="148.69999999999999"/>
        <n v="152"/>
        <n v="145.1"/>
        <n v="152.80000000000001"/>
        <n v="149.19999999999999"/>
        <n v="153.4"/>
        <n v="145.5"/>
        <n v="149.69999999999999"/>
        <n v="153.9"/>
        <n v="145.69999999999999"/>
        <n v="154.80000000000001"/>
        <n v="146.5"/>
        <n v="147.19999999999999"/>
        <n v="155.5"/>
        <n v="147.6"/>
        <n v="158.80000000000001"/>
        <n v="154.69999999999999"/>
        <n v="159.19999999999999"/>
        <n v="149.80000000000001"/>
        <n v="160.30000000000001"/>
        <n v="150.69999999999999"/>
        <n v="155.80000000000001"/>
        <n v="160.9"/>
        <n v="153.19999999999999"/>
        <n v="157.5"/>
        <n v="161.30000000000001"/>
        <n v="153.30000000000001"/>
        <n v="162"/>
        <n v="154.30000000000001"/>
        <n v="158.4"/>
        <n v="162.9"/>
        <n v="155.19999999999999"/>
        <n v="159.30000000000001"/>
        <n v="163.9"/>
        <n v="156"/>
        <n v="160.19999999999999"/>
        <n v="164.9"/>
        <n v="156.80000000000001"/>
        <n v="161.1"/>
        <n v="165.7"/>
        <n v="157.4"/>
        <n v="161.80000000000001"/>
        <n v="166.5"/>
        <n v="158.6"/>
        <n v="162.80000000000001"/>
        <n v="167.7"/>
        <n v="159.80000000000001"/>
        <n v="164"/>
        <n v="168.9"/>
        <n v="165.2"/>
        <n v="170.3"/>
        <n v="162.1"/>
        <n v="166.4"/>
        <n v="171.3"/>
        <n v="163.1"/>
        <n v="167.4"/>
        <n v="172.3"/>
        <n v="164.2"/>
        <n v="168.5"/>
        <n v="173.6"/>
        <n v="165"/>
        <n v="169.5"/>
        <n v="174.4"/>
        <n v="166"/>
        <n v="170.4"/>
        <n v="175.5"/>
        <n v="166.9"/>
        <n v="171.4"/>
        <n v="176.4"/>
        <n v="167.3"/>
        <n v="172.1"/>
        <n v="177.2"/>
        <n v="168"/>
        <n v="172.9"/>
        <n v="178.6"/>
        <n v="169.2"/>
        <n v="174.2"/>
        <n v="179.1"/>
        <n v="169.6"/>
        <n v="174.6"/>
        <n v="179.8"/>
        <n v="170.1"/>
        <n v="175.2"/>
      </sharedItems>
    </cacheField>
    <cacheField name="Health" numFmtId="0">
      <sharedItems containsMixedTypes="1" containsNumber="1" minValue="104" maxValue="187.8" count="307">
        <n v="104"/>
        <n v="104.1"/>
        <n v="104.4"/>
        <n v="104.7"/>
        <n v="104.5"/>
        <n v="105.2"/>
        <n v="104.9"/>
        <n v="105.1"/>
        <n v="105.7"/>
        <n v="105.3"/>
        <n v="106.2"/>
        <n v="105.9"/>
        <n v="106.3"/>
        <n v="106.5"/>
        <n v="106.4"/>
        <n v="106.9"/>
        <n v="107.1"/>
        <n v="107"/>
        <n v="107.5"/>
        <n v="107.6"/>
        <n v="108.3"/>
        <n v="107.9"/>
        <n v="108.1"/>
        <n v="108.9"/>
        <n v="108.2"/>
        <n v="108.6"/>
        <n v="109.7"/>
        <n v="109.3"/>
        <n v="110.1"/>
        <n v="109"/>
        <n v="110.6"/>
        <n v="110.3"/>
        <n v="110.9"/>
        <n v="110.4"/>
        <n v="110.7"/>
        <n v="111.4"/>
        <n v="110.8"/>
        <n v="111.2"/>
        <n v="111.8"/>
        <n v="111"/>
        <n v="111.5"/>
        <n v="112.1"/>
        <n v="112.8"/>
        <n v="112.3"/>
        <n v="113.4"/>
        <n v="112.7"/>
        <n v="114"/>
        <n v="112.2"/>
        <n v="113.3"/>
        <n v="114.5"/>
        <n v="113.7"/>
        <n v="115.3"/>
        <n v="112.6"/>
        <n v="114.3"/>
        <n v="115.9"/>
        <n v="113"/>
        <n v="114.8"/>
        <n v="116.2"/>
        <n v="113.2"/>
        <n v="115.1"/>
        <n v="116.6"/>
        <n v="115.5"/>
        <n v="117.7"/>
        <n v="114.1"/>
        <n v="116.3"/>
        <n v="118.2"/>
        <n v="116.7"/>
        <n v="118.6"/>
        <n v="114.6"/>
        <n v="117.1"/>
        <n v="119.4"/>
        <n v="114.9"/>
        <n v="120.4"/>
        <n v="115.4"/>
        <n v="118.5"/>
        <n v="120.8"/>
        <n v="116"/>
        <n v="119"/>
        <n v="121.1"/>
        <n v="121.4"/>
        <n v="119.8"/>
        <n v="122"/>
        <n v="122.6"/>
        <n v="118.1"/>
        <n v="120.9"/>
        <n v="123.1"/>
        <n v="123.7"/>
        <n v="119.1"/>
        <n v="124.3"/>
        <n v="119.5"/>
        <n v="122.5"/>
        <n v="124.8"/>
        <n v="119.7"/>
        <n v="122.9"/>
        <n v="125.2"/>
        <n v="120"/>
        <n v="123.2"/>
        <n v="125.8"/>
        <n v="120.3"/>
        <n v="126.2"/>
        <n v="120.6"/>
        <n v="124.1"/>
        <n v="126.7"/>
        <n v="124.5"/>
        <n v="127"/>
        <n v="121.2"/>
        <n v="127.8"/>
        <n v="125.4"/>
        <n v="128.69999999999999"/>
        <n v="121.8"/>
        <n v="126.1"/>
        <n v="129.1"/>
        <n v="122.1"/>
        <n v="126.4"/>
        <n v="129.69999999999999"/>
        <n v="122.3"/>
        <n v="126.9"/>
        <n v="129.9"/>
        <n v="127.1"/>
        <n v="130.1"/>
        <n v="127.4"/>
        <n v="130.6"/>
        <n v="131"/>
        <n v="123.4"/>
        <n v="128.1"/>
        <n v="131.4"/>
        <n v="123.6"/>
        <n v="128.4"/>
        <n v="131.30000000000001"/>
        <n v="123.8"/>
        <n v="128.5"/>
        <n v="132.1"/>
        <n v="125"/>
        <n v="129.4"/>
        <n v="133"/>
        <n v="125.7"/>
        <n v="130.19999999999999"/>
        <n v="133.4"/>
        <n v="134.19999999999999"/>
        <n v="126.6"/>
        <n v="135.80000000000001"/>
        <n v="132.6"/>
        <n v="136.1"/>
        <n v="128.19999999999999"/>
        <n v="133.1"/>
        <n v="136"/>
        <n v="129"/>
        <n v="133.30000000000001"/>
        <n v="136.19999999999999"/>
        <n v="129.80000000000001"/>
        <n v="133.80000000000001"/>
        <n v="136.69999999999999"/>
        <n v="130.5"/>
        <n v="134.30000000000001"/>
        <n v="137.6"/>
        <n v="135.19999999999999"/>
        <n v="138.4"/>
        <n v="132"/>
        <n v="139"/>
        <n v="133.6"/>
        <n v="137"/>
        <n v="139.4"/>
        <n v="134.9"/>
        <n v="137.69999999999999"/>
        <n v="140"/>
        <n v="135.69999999999999"/>
        <n v="144.80000000000001"/>
        <n v="142.1"/>
        <n v="145.4"/>
        <n v="136.80000000000001"/>
        <n v="149.6"/>
        <n v="137.30000000000001"/>
        <n v="144.9"/>
        <n v="137.80000000000001"/>
        <n v="145.1"/>
        <n v="149.9"/>
        <n v="138.5"/>
        <n v="145.6"/>
        <n v="150.4"/>
        <n v="139.19999999999999"/>
        <n v="146.19999999999999"/>
        <n v="151.30000000000001"/>
        <n v="139.80000000000001"/>
        <n v="146.9"/>
        <n v="151.69999999999999"/>
        <n v="140.30000000000001"/>
        <n v="147.4"/>
        <n v="152.19999999999999"/>
        <n v="140.80000000000001"/>
        <n v="147.9"/>
        <n v="152.69999999999999"/>
        <n v="141.5"/>
        <n v="148.5"/>
        <n v="153.4"/>
        <n v="141.9"/>
        <n v="149"/>
        <n v="153.69999999999999"/>
        <n v="142.4"/>
        <n v="149.4"/>
        <n v="154.30000000000001"/>
        <n v="142.80000000000001"/>
        <n v="154.80000000000001"/>
        <n v="143.19999999999999"/>
        <n v="155.69999999999999"/>
        <n v="143.80000000000001"/>
        <n v="151.19999999999999"/>
        <n v="156.19999999999999"/>
        <n v="144.4"/>
        <n v="156.69999999999999"/>
        <n v="145"/>
        <n v="152.30000000000001"/>
        <n v="150.69999999999999"/>
        <s v="NA"/>
        <n v="158.19999999999999"/>
        <n v="148.1"/>
        <n v="154.4"/>
        <n v="158.80000000000001"/>
        <n v="148.69999999999999"/>
        <n v="155"/>
        <n v="159.1"/>
        <n v="150"/>
        <n v="155.6"/>
        <n v="159.5"/>
        <n v="151"/>
        <n v="156.30000000000001"/>
        <n v="160.4"/>
        <n v="152"/>
        <n v="157.19999999999999"/>
        <n v="161.6"/>
        <n v="152.9"/>
        <n v="158.30000000000001"/>
        <n v="162.5"/>
        <n v="154.1"/>
        <n v="159.30000000000001"/>
        <n v="164.3"/>
        <n v="161.30000000000001"/>
        <n v="164.6"/>
        <n v="156.9"/>
        <n v="161.69999999999999"/>
        <n v="165.3"/>
        <n v="157.5"/>
        <n v="162.30000000000001"/>
        <n v="169.1"/>
        <n v="165.8"/>
        <n v="169.7"/>
        <n v="160.80000000000001"/>
        <n v="166.3"/>
        <n v="170.4"/>
        <n v="161.5"/>
        <n v="167"/>
        <n v="171.1"/>
        <n v="162.80000000000001"/>
        <n v="168.4"/>
        <n v="171.9"/>
        <n v="172.5"/>
        <n v="163.5"/>
        <n v="173.4"/>
        <n v="164.2"/>
        <n v="169.9"/>
        <n v="174"/>
        <n v="165.1"/>
        <n v="170.6"/>
        <n v="174.7"/>
        <n v="166.1"/>
        <n v="171.4"/>
        <n v="175.3"/>
        <n v="167.2"/>
        <n v="172.2"/>
        <n v="176"/>
        <n v="168.2"/>
        <n v="173"/>
        <n v="177"/>
        <n v="169"/>
        <n v="177.7"/>
        <n v="170.1"/>
        <n v="174.8"/>
        <n v="178.2"/>
        <n v="170.9"/>
        <n v="175.4"/>
        <n v="178.8"/>
        <n v="171.7"/>
        <n v="176.1"/>
        <n v="179.4"/>
        <n v="172.6"/>
        <n v="176.8"/>
        <n v="180.2"/>
        <n v="173.8"/>
        <n v="177.8"/>
        <n v="181.2"/>
        <n v="178.7"/>
        <n v="182.3"/>
        <n v="175.8"/>
        <n v="179.8"/>
        <n v="183.5"/>
        <n v="177.2"/>
        <n v="181.1"/>
        <n v="184.7"/>
        <n v="178.5"/>
        <n v="186.6"/>
        <n v="180.8"/>
        <n v="184.4"/>
        <n v="187.2"/>
        <n v="181.5"/>
        <n v="185"/>
        <n v="187.8"/>
        <n v="182.2"/>
        <n v="185.7"/>
      </sharedItems>
    </cacheField>
    <cacheField name="Transport and communication" numFmtId="0">
      <sharedItems containsMixedTypes="1" containsNumber="1" minValue="103.2" maxValue="169.7" count="251">
        <n v="103.3"/>
        <n v="103.2"/>
        <n v="103.9"/>
        <n v="104.4"/>
        <n v="104.2"/>
        <n v="104.6"/>
        <n v="105.5"/>
        <n v="105.1"/>
        <n v="105"/>
        <n v="104.7"/>
        <n v="104.1"/>
        <n v="104"/>
        <n v="105.2"/>
        <n v="106.8"/>
        <n v="107.3"/>
        <n v="107.1"/>
        <n v="107.8"/>
        <n v="108.1"/>
        <n v="108"/>
        <n v="109.3"/>
        <n v="110.4"/>
        <n v="109.9"/>
        <n v="109.7"/>
        <n v="109.5"/>
        <n v="109.6"/>
        <n v="109.8"/>
        <n v="110.5"/>
        <n v="110.8"/>
        <n v="110.7"/>
        <n v="111.3"/>
        <n v="111.1"/>
        <n v="111.2"/>
        <n v="111.6"/>
        <n v="111.4"/>
        <n v="112.2"/>
        <n v="111.5"/>
        <n v="111.8"/>
        <n v="113.2"/>
        <n v="113"/>
        <n v="113.1"/>
        <n v="112.5"/>
        <n v="112.8"/>
        <n v="112"/>
        <n v="112.6"/>
        <n v="111"/>
        <n v="108.8"/>
        <n v="110.1"/>
        <n v="107.9"/>
        <n v="109.4"/>
        <n v="110.9"/>
        <n v="108.7"/>
        <n v="108.4"/>
        <n v="111.9"/>
        <n v="113.3"/>
        <n v="114.2"/>
        <n v="111.7"/>
        <n v="112.9"/>
        <n v="114.1"/>
        <n v="112.7"/>
        <n v="113.6"/>
        <n v="113.8"/>
        <n v="109.1"/>
        <n v="114"/>
        <n v="108.9"/>
        <n v="113.9"/>
        <n v="108.5"/>
        <n v="114.4"/>
        <n v="110"/>
        <n v="112.1"/>
        <n v="115.1"/>
        <n v="116.3"/>
        <n v="112.3"/>
        <n v="116.4"/>
        <n v="116"/>
        <n v="117"/>
        <n v="114.3"/>
        <n v="117.8"/>
        <n v="115.2"/>
        <n v="118.2"/>
        <n v="113.4"/>
        <n v="115.7"/>
        <n v="118.6"/>
        <n v="113.7"/>
        <n v="119.1"/>
        <n v="119.5"/>
        <n v="115.5"/>
        <n v="117.4"/>
        <n v="119.8"/>
        <n v="115.6"/>
        <n v="117.6"/>
        <n v="119.2"/>
        <n v="116.6"/>
        <n v="119.4"/>
        <n v="116.7"/>
        <n v="116.5"/>
        <n v="120.3"/>
        <n v="114.6"/>
        <n v="117.3"/>
        <n v="121.2"/>
        <n v="118.3"/>
        <n v="121"/>
        <n v="115"/>
        <n v="121.6"/>
        <n v="115.3"/>
        <n v="122"/>
        <n v="118.5"/>
        <n v="122.7"/>
        <n v="119.3"/>
        <n v="123.3"/>
        <n v="120.2"/>
        <n v="124.6"/>
        <n v="125.3"/>
        <n v="118.9"/>
        <n v="121.9"/>
        <n v="126.4"/>
        <n v="122.9"/>
        <n v="127.4"/>
        <n v="120.4"/>
        <n v="123.7"/>
        <n v="127.5"/>
        <n v="120.1"/>
        <n v="123.6"/>
        <n v="128.30000000000001"/>
        <n v="120.7"/>
        <n v="124.3"/>
        <n v="129.9"/>
        <n v="122.5"/>
        <n v="126"/>
        <n v="130.80000000000001"/>
        <n v="125.5"/>
        <n v="130.30000000000001"/>
        <n v="128.9"/>
        <n v="118.8"/>
        <n v="128.6"/>
        <n v="129.19999999999999"/>
        <n v="123.9"/>
        <n v="119.9"/>
        <n v="130.19999999999999"/>
        <n v="124.9"/>
        <n v="119.6"/>
        <n v="131.19999999999999"/>
        <n v="120.6"/>
        <n v="125.6"/>
        <n v="131.4"/>
        <n v="120.8"/>
        <n v="125.8"/>
        <n v="131.6"/>
        <n v="126.1"/>
        <n v="131.69999999999999"/>
        <n v="121.5"/>
        <n v="126.3"/>
        <n v="132.1"/>
        <n v="121.7"/>
        <n v="126.6"/>
        <n v="135"/>
        <n v="125.2"/>
        <n v="129.80000000000001"/>
        <n v="136.30000000000001"/>
        <n v="130.9"/>
        <n v="136"/>
        <n v="135.80000000000001"/>
        <s v="NA"/>
        <n v="141.4"/>
        <n v="129.30000000000001"/>
        <n v="143.6"/>
        <n v="133.9"/>
        <n v="138.5"/>
        <n v="144.6"/>
        <n v="135.1"/>
        <n v="139.6"/>
        <n v="146.4"/>
        <n v="135.4"/>
        <n v="140.6"/>
        <n v="146.1"/>
        <n v="135.19999999999999"/>
        <n v="140.4"/>
        <n v="135.5"/>
        <n v="140.69999999999999"/>
        <n v="147.5"/>
        <n v="136.9"/>
        <n v="141.9"/>
        <n v="150.19999999999999"/>
        <n v="140.5"/>
        <n v="145.1"/>
        <n v="151.30000000000001"/>
        <n v="141.69999999999999"/>
        <n v="146.19999999999999"/>
        <n v="151.69999999999999"/>
        <n v="142.1"/>
        <n v="146.6"/>
        <n v="153.19999999999999"/>
        <n v="145"/>
        <n v="148.9"/>
        <n v="154.19999999999999"/>
        <n v="150.69999999999999"/>
        <n v="157.1"/>
        <n v="149.5"/>
        <n v="153.1"/>
        <n v="157.69999999999999"/>
        <n v="150.4"/>
        <n v="154"/>
        <n v="157.80000000000001"/>
        <n v="150.5"/>
        <n v="159.5"/>
        <n v="152.19999999999999"/>
        <n v="155.69999999999999"/>
        <n v="158.9"/>
        <n v="151.19999999999999"/>
        <n v="154.80000000000001"/>
        <n v="160.1"/>
        <n v="151.80000000000001"/>
        <n v="160.80000000000001"/>
        <n v="152.69999999999999"/>
        <n v="156.5"/>
        <n v="161.19999999999999"/>
        <n v="156.9"/>
        <n v="162"/>
        <n v="157.9"/>
        <n v="166.2"/>
        <n v="159.30000000000001"/>
        <n v="162.6"/>
        <n v="167.1"/>
        <n v="159.4"/>
        <n v="163"/>
        <n v="165.5"/>
        <n v="157.19999999999999"/>
        <n v="161.1"/>
        <n v="166.3"/>
        <n v="157.4"/>
        <n v="161.6"/>
        <n v="166.6"/>
        <n v="161.9"/>
        <n v="166.9"/>
        <n v="158.19999999999999"/>
        <n v="162.30000000000001"/>
        <n v="167.4"/>
        <n v="158.80000000000001"/>
        <n v="162.9"/>
        <n v="167.5"/>
        <n v="167.8"/>
        <n v="163.4"/>
        <n v="168.2"/>
        <n v="163.6"/>
        <n v="169"/>
        <n v="159.80000000000001"/>
        <n v="164.2"/>
        <n v="169.4"/>
        <n v="164.5"/>
        <n v="169.7"/>
        <n v="160.4"/>
        <n v="164.8"/>
      </sharedItems>
    </cacheField>
    <cacheField name="Recreation and amusement" numFmtId="0">
      <sharedItems containsMixedTypes="1" containsNumber="1" minValue="102.9" maxValue="173.8" count="303">
        <n v="103.4"/>
        <n v="102.9"/>
        <n v="103.1"/>
        <n v="104"/>
        <n v="103.3"/>
        <n v="103.6"/>
        <n v="103.5"/>
        <n v="103.7"/>
        <n v="104.5"/>
        <n v="104.2"/>
        <n v="105"/>
        <n v="104.6"/>
        <n v="104.8"/>
        <n v="105.6"/>
        <n v="105.2"/>
        <n v="105.4"/>
        <n v="106.4"/>
        <n v="105.9"/>
        <n v="106.1"/>
        <n v="106.8"/>
        <n v="106.5"/>
        <n v="106.6"/>
        <n v="107.7"/>
        <n v="107.4"/>
        <n v="107.5"/>
        <n v="108.3"/>
        <n v="108"/>
        <n v="108.1"/>
        <n v="108.7"/>
        <n v="108.5"/>
        <n v="108.6"/>
        <n v="109.2"/>
        <n v="108.9"/>
        <n v="109"/>
        <n v="109.6"/>
        <n v="109.8"/>
        <n v="109.7"/>
        <n v="109.9"/>
        <n v="110.3"/>
        <n v="110.1"/>
        <n v="110.2"/>
        <n v="110.9"/>
        <n v="110.6"/>
        <n v="110.5"/>
        <n v="111.2"/>
        <n v="111.5"/>
        <n v="111.4"/>
        <n v="111.8"/>
        <n v="111.6"/>
        <n v="112.4"/>
        <n v="112.1"/>
        <n v="112.2"/>
        <n v="112.9"/>
        <n v="112.6"/>
        <n v="113.4"/>
        <n v="113.1"/>
        <n v="113"/>
        <n v="113.6"/>
        <n v="113.3"/>
        <n v="114"/>
        <n v="113.7"/>
        <n v="114.3"/>
        <n v="113.9"/>
        <n v="114.6"/>
        <n v="114.8"/>
        <n v="114.9"/>
        <n v="115.5"/>
        <n v="115.4"/>
        <n v="116.2"/>
        <n v="115.6"/>
        <n v="115.9"/>
        <n v="116.7"/>
        <n v="116"/>
        <n v="116.3"/>
        <n v="117.9"/>
        <n v="116.9"/>
        <n v="118"/>
        <n v="116.6"/>
        <n v="117.2"/>
        <n v="118.5"/>
        <n v="117.8"/>
        <n v="119.6"/>
        <n v="117.3"/>
        <n v="118.3"/>
        <n v="120.1"/>
        <n v="117.7"/>
        <n v="118.7"/>
        <n v="120.9"/>
        <n v="119.2"/>
        <n v="121.6"/>
        <n v="118.1"/>
        <n v="121.4"/>
        <n v="119.8"/>
        <n v="122.3"/>
        <n v="118.8"/>
        <n v="120.3"/>
        <n v="122.5"/>
        <n v="119.1"/>
        <n v="120.6"/>
        <n v="123.2"/>
        <n v="119.5"/>
        <n v="121.1"/>
        <n v="123.6"/>
        <n v="121.5"/>
        <n v="124.1"/>
        <n v="119.9"/>
        <n v="121.7"/>
        <n v="125.2"/>
        <n v="122.4"/>
        <n v="125.5"/>
        <n v="122.7"/>
        <n v="125.7"/>
        <n v="120.8"/>
        <n v="122.9"/>
        <n v="126.5"/>
        <n v="121.2"/>
        <n v="123.5"/>
        <n v="126.9"/>
        <n v="124"/>
        <n v="127.3"/>
        <n v="121.8"/>
        <n v="124.2"/>
        <n v="127"/>
        <n v="122"/>
        <n v="127.7"/>
        <n v="122.2"/>
        <n v="124.6"/>
        <n v="128.30000000000001"/>
        <n v="125"/>
        <n v="122.6"/>
        <n v="125.1"/>
        <n v="129.4"/>
        <n v="122.8"/>
        <n v="129.80000000000001"/>
        <n v="125.9"/>
        <n v="130.6"/>
        <n v="126.6"/>
        <n v="131.5"/>
        <n v="132.30000000000001"/>
        <n v="124.5"/>
        <n v="127.9"/>
        <n v="133"/>
        <n v="124.8"/>
        <n v="128.4"/>
        <n v="133.69999999999999"/>
        <n v="128.9"/>
        <n v="133.4"/>
        <n v="125.6"/>
        <n v="129"/>
        <n v="134.30000000000001"/>
        <n v="126.2"/>
        <n v="129.69999999999999"/>
        <n v="129.9"/>
        <n v="135.1"/>
        <n v="126.8"/>
        <n v="130.4"/>
        <n v="136"/>
        <n v="127.6"/>
        <n v="131.30000000000001"/>
        <n v="136.80000000000001"/>
        <n v="128"/>
        <n v="131.80000000000001"/>
        <n v="137.80000000000001"/>
        <n v="128.5"/>
        <n v="132.6"/>
        <n v="138.4"/>
        <n v="133.1"/>
        <n v="138.6"/>
        <n v="133.6"/>
        <n v="140"/>
        <n v="130.19999999999999"/>
        <n v="134.5"/>
        <n v="140.1"/>
        <n v="130.69999999999999"/>
        <n v="136.5"/>
        <n v="143.1"/>
        <n v="143.30000000000001"/>
        <n v="131.69999999999999"/>
        <n v="142.9"/>
        <n v="131.9"/>
        <n v="136.69999999999999"/>
        <n v="143.4"/>
        <n v="132.19999999999999"/>
        <n v="137.1"/>
        <n v="143.80000000000001"/>
        <n v="137.69999999999999"/>
        <n v="145.9"/>
        <n v="134"/>
        <n v="139.19999999999999"/>
        <n v="146.4"/>
        <n v="139.6"/>
        <n v="147.5"/>
        <n v="135"/>
        <n v="140.5"/>
        <n v="148"/>
        <n v="135.4"/>
        <n v="140.9"/>
        <n v="148.30000000000001"/>
        <n v="135.9"/>
        <n v="141.30000000000001"/>
        <n v="148.69999999999999"/>
        <n v="136.19999999999999"/>
        <n v="141.69999999999999"/>
        <n v="149.1"/>
        <n v="142.1"/>
        <n v="149.5"/>
        <n v="142.30000000000001"/>
        <n v="150.1"/>
        <n v="137.19999999999999"/>
        <n v="142.80000000000001"/>
        <n v="150.4"/>
        <n v="143.19999999999999"/>
        <n v="151.19999999999999"/>
        <n v="137.9"/>
        <n v="143.69999999999999"/>
        <s v="NA"/>
        <n v="153.19999999999999"/>
        <n v="144.5"/>
        <n v="152.19999999999999"/>
        <n v="141.19999999999999"/>
        <n v="146"/>
        <n v="152.80000000000001"/>
        <n v="141.80000000000001"/>
        <n v="146.6"/>
        <n v="152.4"/>
        <n v="142"/>
        <n v="146.5"/>
        <n v="153.6"/>
        <n v="144.4"/>
        <n v="148.4"/>
        <n v="153.9"/>
        <n v="144.30000000000001"/>
        <n v="148.5"/>
        <n v="155.1"/>
        <n v="145.4"/>
        <n v="149.6"/>
        <n v="157"/>
        <n v="147.30000000000001"/>
        <n v="151.5"/>
        <n v="157.80000000000001"/>
        <n v="148.6"/>
        <n v="152.6"/>
        <n v="158.6"/>
        <n v="160"/>
        <n v="155.80000000000001"/>
        <n v="160.4"/>
        <n v="150.69999999999999"/>
        <n v="154.9"/>
        <n v="160.69999999999999"/>
        <n v="155.30000000000001"/>
        <n v="161.1"/>
        <n v="153.69999999999999"/>
        <n v="157.6"/>
        <n v="162.69999999999999"/>
        <n v="157.69999999999999"/>
        <n v="163.19999999999999"/>
        <n v="163.80000000000001"/>
        <n v="156.69999999999999"/>
        <n v="159.80000000000001"/>
        <n v="164.5"/>
        <n v="160.6"/>
        <n v="164.9"/>
        <n v="158.4"/>
        <n v="161.19999999999999"/>
        <n v="165.5"/>
        <n v="159.5"/>
        <n v="162.1"/>
        <n v="166.6"/>
        <n v="160.80000000000001"/>
        <n v="163.30000000000001"/>
        <n v="167.2"/>
        <n v="162.19999999999999"/>
        <n v="164.4"/>
        <n v="167.6"/>
        <n v="165.1"/>
        <n v="168"/>
        <n v="164.1"/>
        <n v="165.8"/>
        <n v="168.6"/>
        <n v="164.6"/>
        <n v="166.3"/>
        <n v="169.3"/>
        <n v="166.9"/>
        <n v="170"/>
        <n v="170.6"/>
        <n v="168.2"/>
        <n v="170.8"/>
        <n v="166.7"/>
        <n v="168.5"/>
        <n v="171.2"/>
        <n v="167.1"/>
        <n v="168.9"/>
        <n v="171.8"/>
        <n v="167.8"/>
        <n v="169.5"/>
        <n v="172.8"/>
        <n v="168.4"/>
        <n v="170.3"/>
        <n v="173.2"/>
        <n v="168.8"/>
        <n v="170.7"/>
        <n v="173.8"/>
        <n v="169.2"/>
      </sharedItems>
    </cacheField>
    <cacheField name="Education" numFmtId="0">
      <sharedItems containsMixedTypes="1" containsNumber="1" minValue="103.5" maxValue="180.3" count="292">
        <n v="103.8"/>
        <n v="103.5"/>
        <n v="103.6"/>
        <n v="104.1"/>
        <n v="103.7"/>
        <n v="103.9"/>
        <n v="104.3"/>
        <n v="104"/>
        <n v="104.8"/>
        <n v="105.2"/>
        <n v="105"/>
        <n v="105.5"/>
        <n v="105.7"/>
        <n v="105.6"/>
        <n v="106.5"/>
        <n v="108.1"/>
        <n v="107.4"/>
        <n v="107.8"/>
        <n v="110.1"/>
        <n v="109.1"/>
        <n v="108.7"/>
        <n v="110.8"/>
        <n v="109.9"/>
        <n v="109.8"/>
        <n v="111.2"/>
        <n v="110.6"/>
        <n v="110.2"/>
        <n v="111.3"/>
        <n v="111"/>
        <n v="111.6"/>
        <n v="111.4"/>
        <n v="111.5"/>
        <n v="111.8"/>
        <n v="112"/>
        <n v="112.4"/>
        <n v="113"/>
        <n v="112.5"/>
        <n v="112.7"/>
        <n v="113.1"/>
        <n v="112.9"/>
        <n v="114.3"/>
        <n v="115.1"/>
        <n v="114.8"/>
        <n v="115.5"/>
        <n v="117.8"/>
        <n v="116.8"/>
        <n v="116.2"/>
        <n v="119.2"/>
        <n v="118"/>
        <n v="116.6"/>
        <n v="120"/>
        <n v="118.6"/>
        <n v="116.9"/>
        <n v="120.2"/>
        <n v="118.8"/>
        <n v="117.2"/>
        <n v="120.3"/>
        <n v="119"/>
        <n v="117.7"/>
        <n v="120.7"/>
        <n v="119.5"/>
        <n v="118.2"/>
        <n v="120.8"/>
        <n v="119.7"/>
        <n v="118.7"/>
        <n v="120.4"/>
        <n v="119.4"/>
        <n v="120.6"/>
        <n v="120.1"/>
        <n v="119.9"/>
        <n v="121.7"/>
        <n v="121"/>
        <n v="120.5"/>
        <n v="122"/>
        <n v="121.4"/>
        <n v="123.8"/>
        <n v="123.1"/>
        <n v="122.9"/>
        <n v="125.4"/>
        <n v="124.4"/>
        <n v="123.6"/>
        <n v="126.2"/>
        <n v="125.1"/>
        <n v="124.5"/>
        <n v="126.5"/>
        <n v="125.7"/>
        <n v="125.9"/>
        <n v="125.8"/>
        <n v="126.6"/>
        <n v="126.3"/>
        <n v="125.6"/>
        <n v="126.4"/>
        <n v="127.1"/>
        <n v="127.5"/>
        <n v="126.9"/>
        <n v="127.9"/>
        <n v="127.6"/>
        <n v="127.7"/>
        <n v="129.1"/>
        <n v="128"/>
        <n v="128.5"/>
        <n v="130.19999999999999"/>
        <n v="129.30000000000001"/>
        <n v="129.69999999999999"/>
        <n v="130.80000000000001"/>
        <n v="131.9"/>
        <n v="131.5"/>
        <n v="131.69999999999999"/>
        <n v="132.19999999999999"/>
        <n v="131.6"/>
        <n v="131.80000000000001"/>
        <n v="133"/>
        <n v="132.4"/>
        <n v="133.69999999999999"/>
        <n v="132.1"/>
        <n v="132.80000000000001"/>
        <n v="134.19999999999999"/>
        <n v="132.30000000000001"/>
        <n v="133.1"/>
        <n v="134.6"/>
        <n v="133.30000000000001"/>
        <n v="134.9"/>
        <n v="133.4"/>
        <n v="135.19999999999999"/>
        <n v="133.80000000000001"/>
        <n v="135.69999999999999"/>
        <n v="133.6"/>
        <n v="134.5"/>
        <n v="136.30000000000001"/>
        <n v="134.80000000000001"/>
        <n v="136.9"/>
        <n v="134.30000000000001"/>
        <n v="135.4"/>
        <n v="138.6"/>
        <n v="135.5"/>
        <n v="136.80000000000001"/>
        <n v="140.19999999999999"/>
        <n v="137.6"/>
        <n v="139.6"/>
        <n v="135.9"/>
        <n v="137.4"/>
        <n v="140.1"/>
        <n v="137.9"/>
        <n v="141.5"/>
        <n v="136.6"/>
        <n v="141.1"/>
        <n v="136.69999999999999"/>
        <n v="138.5"/>
        <n v="141.6"/>
        <n v="137.1"/>
        <n v="139"/>
        <n v="137.19999999999999"/>
        <n v="142.69999999999999"/>
        <n v="137.80000000000001"/>
        <n v="139.80000000000001"/>
        <n v="143.69999999999999"/>
        <n v="139.69999999999999"/>
        <n v="141.4"/>
        <n v="144.4"/>
        <n v="140.4"/>
        <n v="142.1"/>
        <n v="145.1"/>
        <n v="141.19999999999999"/>
        <n v="142.80000000000001"/>
        <n v="145.80000000000001"/>
        <n v="144"/>
        <n v="144.69999999999999"/>
        <n v="146.9"/>
        <n v="145.30000000000001"/>
        <n v="146"/>
        <n v="147.6"/>
        <n v="145.19999999999999"/>
        <n v="146.19999999999999"/>
        <n v="148"/>
        <n v="145.5"/>
        <n v="147.80000000000001"/>
        <n v="150.19999999999999"/>
        <n v="146.1"/>
        <n v="155.1"/>
        <n v="146.5"/>
        <n v="150.1"/>
        <n v="155.19999999999999"/>
        <n v="146.6"/>
        <n v="155.5"/>
        <n v="150.30000000000001"/>
        <n v="146.69999999999999"/>
        <n v="156.69999999999999"/>
        <n v="151.6"/>
        <n v="157.69999999999999"/>
        <n v="148.9"/>
        <n v="152.5"/>
        <n v="159.1"/>
        <n v="150.4"/>
        <n v="154"/>
        <n v="159.69999999999999"/>
        <n v="151.5"/>
        <n v="154.9"/>
        <n v="160.19999999999999"/>
        <n v="160.69999999999999"/>
        <n v="151.69999999999999"/>
        <n v="155.4"/>
        <n v="160.80000000000001"/>
        <n v="151.80000000000001"/>
        <n v="161.1"/>
        <n v="151.9"/>
        <n v="155.69999999999999"/>
        <n v="161.69999999999999"/>
        <n v="152.1"/>
        <n v="156.1"/>
        <n v="161.9"/>
        <n v="152.19999999999999"/>
        <n v="156.19999999999999"/>
        <n v="161.19999999999999"/>
        <s v="NA"/>
        <n v="161.80000000000001"/>
        <n v="156.4"/>
        <n v="162.69999999999999"/>
        <n v="158.5"/>
        <n v="157.5"/>
        <n v="162.5"/>
        <n v="161.6"/>
        <n v="158.6"/>
        <n v="162.9"/>
        <n v="156.9"/>
        <n v="159.4"/>
        <n v="163.5"/>
        <n v="159.19999999999999"/>
        <n v="163.6"/>
        <n v="156.6"/>
        <n v="159.5"/>
        <n v="163.80000000000001"/>
        <n v="157.6"/>
        <n v="164.1"/>
        <n v="160.30000000000001"/>
        <n v="167.6"/>
        <n v="166.8"/>
        <n v="158.1"/>
        <n v="167.2"/>
        <n v="163.19999999999999"/>
        <n v="167.5"/>
        <n v="160.4"/>
        <n v="168.5"/>
        <n v="163.69999999999999"/>
        <n v="169"/>
        <n v="163.9"/>
        <n v="169.3"/>
        <n v="164.3"/>
        <n v="169.7"/>
        <n v="160.6"/>
        <n v="164.4"/>
        <n v="169.9"/>
        <n v="161"/>
        <n v="164.7"/>
        <n v="170.3"/>
        <n v="162"/>
        <n v="165.4"/>
        <n v="170.6"/>
        <n v="166"/>
        <n v="170.9"/>
        <n v="164"/>
        <n v="166.9"/>
        <n v="171.8"/>
        <n v="165.2"/>
        <n v="167.9"/>
        <n v="172.6"/>
        <n v="166.5"/>
        <n v="174.7"/>
        <n v="169.1"/>
        <n v="171.4"/>
        <n v="175.7"/>
        <n v="172.3"/>
        <n v="176.2"/>
        <n v="173.1"/>
        <n v="176.5"/>
        <n v="171.2"/>
        <n v="173.4"/>
        <n v="176.9"/>
        <n v="171.5"/>
        <n v="173.7"/>
        <n v="177.3"/>
        <n v="174.1"/>
        <n v="177.8"/>
        <n v="174.3"/>
        <n v="178.5"/>
        <n v="172.5"/>
        <n v="175"/>
        <n v="179.4"/>
        <n v="174.2"/>
        <n v="176.4"/>
        <n v="180.3"/>
        <n v="174.8"/>
        <n v="177.1"/>
      </sharedItems>
    </cacheField>
    <cacheField name="Personal care and effects" numFmtId="0">
      <sharedItems containsMixedTypes="1" containsNumber="1" minValue="102.1" maxValue="185.6" count="282">
        <n v="104.7"/>
        <n v="104.3"/>
        <n v="104.5"/>
        <n v="104.6"/>
        <n v="104.2"/>
        <n v="102.7"/>
        <n v="103.2"/>
        <n v="102.9"/>
        <n v="102.1"/>
        <n v="102.6"/>
        <n v="102.3"/>
        <n v="102.5"/>
        <n v="103.3"/>
        <n v="102.8"/>
        <n v="105"/>
        <n v="106"/>
        <n v="105.4"/>
        <n v="106.7"/>
        <n v="106.9"/>
        <n v="106.8"/>
        <n v="107.5"/>
        <n v="107.3"/>
        <n v="107.4"/>
        <n v="108.2"/>
        <n v="107.9"/>
        <n v="108.1"/>
        <n v="107.7"/>
        <n v="108.3"/>
        <n v="108"/>
        <n v="108.7"/>
        <n v="108.9"/>
        <n v="109.2"/>
        <n v="109"/>
        <n v="109.1"/>
        <n v="109.3"/>
        <n v="108.8"/>
        <n v="109.7"/>
        <n v="109.4"/>
        <n v="110.5"/>
        <n v="109.9"/>
        <n v="110"/>
        <n v="109.5"/>
        <n v="110.1"/>
        <n v="109.6"/>
        <n v="110.4"/>
        <n v="109.8"/>
        <n v="110.2"/>
        <n v="111.4"/>
        <n v="110.7"/>
        <n v="110.8"/>
        <n v="111.7"/>
        <n v="111.2"/>
        <n v="111.3"/>
        <n v="111"/>
        <n v="111.6"/>
        <n v="111.8"/>
        <n v="112.3"/>
        <n v="112.4"/>
        <n v="113"/>
        <n v="112.5"/>
        <n v="112.8"/>
        <n v="112.7"/>
        <n v="112"/>
        <n v="113.7"/>
        <n v="112.9"/>
        <n v="113.4"/>
        <n v="114.2"/>
        <n v="113.5"/>
        <n v="113.9"/>
        <n v="113.3"/>
        <n v="113.8"/>
        <n v="114.1"/>
        <n v="113.2"/>
        <n v="114.9"/>
        <n v="114"/>
        <n v="114.5"/>
        <n v="116.8"/>
        <n v="116.2"/>
        <n v="116.6"/>
        <n v="117.4"/>
        <n v="117.1"/>
        <n v="117.3"/>
        <n v="118.4"/>
        <n v="117.6"/>
        <n v="118.1"/>
        <n v="119.7"/>
        <n v="118.5"/>
        <n v="119.2"/>
        <n v="119.9"/>
        <n v="118.8"/>
        <n v="119.4"/>
        <n v="120.9"/>
        <n v="120"/>
        <n v="120.5"/>
        <n v="122"/>
        <n v="121.5"/>
        <n v="122.8"/>
        <n v="121.2"/>
        <n v="122.1"/>
        <n v="123"/>
        <n v="120.8"/>
        <n v="123.5"/>
        <n v="121.3"/>
        <n v="122.6"/>
        <n v="121.9"/>
        <n v="121.1"/>
        <n v="122.3"/>
        <n v="121.7"/>
        <n v="123.2"/>
        <n v="123.3"/>
        <n v="123.7"/>
        <n v="122.2"/>
        <n v="123.1"/>
        <n v="124.1"/>
        <n v="122.5"/>
        <n v="123.4"/>
        <n v="124.4"/>
        <n v="122.4"/>
        <n v="123.6"/>
        <n v="125.4"/>
        <n v="124.5"/>
        <n v="126.7"/>
        <n v="125.7"/>
        <n v="127.4"/>
        <n v="124.6"/>
        <n v="126.2"/>
        <n v="128.1"/>
        <n v="124.9"/>
        <n v="126.8"/>
        <n v="127.8"/>
        <n v="126.5"/>
        <n v="128.6"/>
        <n v="125.5"/>
        <n v="127.3"/>
        <n v="128.80000000000001"/>
        <n v="127.7"/>
        <n v="129.30000000000001"/>
        <n v="128.19999999999999"/>
        <n v="130.4"/>
        <n v="127.6"/>
        <n v="129.19999999999999"/>
        <n v="131.19999999999999"/>
        <n v="129.9"/>
        <n v="131.4"/>
        <n v="130.1"/>
        <n v="131.30000000000001"/>
        <n v="128.30000000000001"/>
        <n v="132"/>
        <n v="130.9"/>
        <n v="134.4"/>
        <n v="133.1"/>
        <n v="130.5"/>
        <n v="133.19999999999999"/>
        <n v="130.80000000000001"/>
        <n v="132.19999999999999"/>
        <n v="133.5"/>
        <n v="131.69999999999999"/>
        <n v="132.80000000000001"/>
        <n v="134.9"/>
        <n v="133"/>
        <n v="134.1"/>
        <n v="134"/>
        <n v="132.5"/>
        <n v="133.4"/>
        <n v="133.9"/>
        <n v="132.6"/>
        <n v="134.80000000000001"/>
        <n v="133.69999999999999"/>
        <n v="134.30000000000001"/>
        <n v="136.1"/>
        <n v="135.1"/>
        <n v="135.69999999999999"/>
        <n v="138.80000000000001"/>
        <n v="137.80000000000001"/>
        <n v="138.4"/>
        <n v="140.19999999999999"/>
        <n v="139"/>
        <n v="139.69999999999999"/>
        <n v="140.30000000000001"/>
        <n v="139.5"/>
        <n v="140"/>
        <n v="140.6"/>
        <n v="139.80000000000001"/>
        <n v="140.4"/>
        <n v="142.5"/>
        <n v="142.1"/>
        <n v="142.30000000000001"/>
        <n v="143.4"/>
        <n v="143.5"/>
        <n v="145.1"/>
        <n v="145.30000000000001"/>
        <n v="145.19999999999999"/>
        <s v="NA"/>
        <n v="151.19999999999999"/>
        <n v="152.19999999999999"/>
        <n v="151.6"/>
        <n v="153.6"/>
        <n v="155.19999999999999"/>
        <n v="154.30000000000001"/>
        <n v="157.4"/>
        <n v="159.80000000000001"/>
        <n v="158.4"/>
        <n v="156.19999999999999"/>
        <n v="158.1"/>
        <n v="157"/>
        <n v="157.9"/>
        <n v="156.9"/>
        <n v="156.6"/>
        <n v="157.1"/>
        <n v="157.69999999999999"/>
        <n v="156.80000000000001"/>
        <n v="156.69999999999999"/>
        <n v="155.80000000000001"/>
        <n v="153.1"/>
        <n v="154.9"/>
        <n v="153.80000000000001"/>
        <n v="154.6"/>
        <n v="155.4"/>
        <n v="159.30000000000001"/>
        <n v="157.5"/>
        <n v="158.6"/>
        <n v="159.4"/>
        <n v="158"/>
        <n v="158.80000000000001"/>
        <n v="160.4"/>
        <n v="159.6"/>
        <n v="160.1"/>
        <n v="160.30000000000001"/>
        <n v="160"/>
        <n v="160.19999999999999"/>
        <n v="161.1"/>
        <n v="160.80000000000001"/>
        <n v="162.4"/>
        <n v="161.80000000000001"/>
        <n v="162.19999999999999"/>
        <n v="162.80000000000001"/>
        <n v="162.6"/>
        <n v="163.19999999999999"/>
        <n v="163"/>
        <n v="164.5"/>
        <n v="164.2"/>
        <n v="164.4"/>
        <n v="167.4"/>
        <n v="166.8"/>
        <n v="167.2"/>
        <n v="169"/>
        <n v="168.4"/>
        <n v="168.8"/>
        <n v="168.5"/>
        <n v="168.2"/>
        <n v="169.5"/>
        <n v="169.2"/>
        <n v="169.4"/>
        <n v="169.7"/>
        <n v="169.8"/>
        <n v="171.1"/>
        <n v="171.4"/>
        <n v="171.2"/>
        <n v="170.8"/>
        <n v="170.9"/>
        <n v="172"/>
        <n v="172.3"/>
        <n v="172.1"/>
        <n v="173.4"/>
        <n v="173.8"/>
        <n v="173.6"/>
        <n v="175.7"/>
        <n v="176"/>
        <n v="175.8"/>
        <n v="178.4"/>
        <n v="178.8"/>
        <n v="178.6"/>
        <n v="180.7"/>
        <n v="181.4"/>
        <n v="181"/>
        <n v="181.5"/>
        <n v="183.8"/>
        <n v="184.4"/>
        <n v="184"/>
        <n v="184.9"/>
        <n v="185.6"/>
        <n v="185.2"/>
      </sharedItems>
    </cacheField>
    <cacheField name="Miscellaneous" numFmtId="0">
      <sharedItems containsMixedTypes="1" containsNumber="1" minValue="103.7" maxValue="179.5"/>
    </cacheField>
    <cacheField name="General index" numFmtId="0">
      <sharedItems containsMixedTypes="1" containsNumber="1" minValue="104" maxValue="179.8"/>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ACER" refreshedDate="46314.509155324071" createdVersion="6" refreshedVersion="6" minRefreshableVersion="3" recordCount="12">
  <cacheSource type="worksheet">
    <worksheetSource ref="A1:AD13" sheet="Food data"/>
  </cacheSource>
  <cacheFields count="30">
    <cacheField name="Sector" numFmtId="0">
      <sharedItems/>
    </cacheField>
    <cacheField name="Year" numFmtId="0">
      <sharedItems containsSemiMixedTypes="0" containsString="0" containsNumber="1" containsInteger="1" minValue="2022" maxValue="2023" count="2">
        <n v="2022"/>
        <n v="2023"/>
      </sharedItems>
    </cacheField>
    <cacheField name="Month" numFmtId="0">
      <sharedItems count="12">
        <s v="June"/>
        <s v="July"/>
        <s v="August"/>
        <s v="September"/>
        <s v="October"/>
        <s v="November"/>
        <s v="December"/>
        <s v="January"/>
        <s v="February"/>
        <s v="March"/>
        <s v="April"/>
        <s v="May"/>
      </sharedItems>
    </cacheField>
    <cacheField name="Cereals and products" numFmtId="0">
      <sharedItems containsSemiMixedTypes="0" containsString="0" containsNumber="1" minValue="155" maxValue="174.4" count="10">
        <n v="155"/>
        <n v="156.5"/>
        <n v="160.30000000000001"/>
        <n v="163.5"/>
        <n v="165.2"/>
        <n v="167.4"/>
        <n v="169.2"/>
        <n v="173.8"/>
        <n v="174.4"/>
        <n v="173.7"/>
      </sharedItems>
    </cacheField>
    <cacheField name="Meat and fish" numFmtId="0">
      <sharedItems containsSemiMixedTypes="0" containsString="0" containsNumber="1" minValue="206.5" maxValue="219.4" count="11">
        <n v="219.4"/>
        <n v="213"/>
        <n v="206.5"/>
        <n v="209.2"/>
        <n v="210.9"/>
        <n v="209.4"/>
        <n v="209"/>
        <n v="210.7"/>
        <n v="207.7"/>
        <n v="209.3"/>
        <n v="214.3"/>
      </sharedItems>
    </cacheField>
    <cacheField name="Egg" numFmtId="0">
      <sharedItems containsSemiMixedTypes="0" containsString="0" containsNumber="1" minValue="169.2" maxValue="194.5" count="10">
        <n v="170.8"/>
        <n v="175.2"/>
        <n v="169.2"/>
        <n v="169.7"/>
        <n v="170.9"/>
        <n v="181.4"/>
        <n v="190.2"/>
        <n v="194.5"/>
        <n v="169.6"/>
        <n v="173.2"/>
      </sharedItems>
    </cacheField>
    <cacheField name="Milk and products" numFmtId="0">
      <sharedItems containsSemiMixedTypes="0" containsString="0" containsNumber="1" minValue="165.8" maxValue="179.5" count="11">
        <n v="165.8"/>
        <n v="166.6"/>
        <n v="168.1"/>
        <n v="169.7"/>
        <n v="170.9"/>
        <n v="172.3"/>
        <n v="173.6"/>
        <n v="174.6"/>
        <n v="177.3"/>
        <n v="178.4"/>
        <n v="179.5"/>
      </sharedItems>
    </cacheField>
    <cacheField name="Oils and fats" numFmtId="0">
      <sharedItems containsSemiMixedTypes="0" containsString="0" containsNumber="1" minValue="170" maxValue="200.9" count="12">
        <n v="200.9"/>
        <n v="195.8"/>
        <n v="192.4"/>
        <n v="188.7"/>
        <n v="186.5"/>
        <n v="188.9"/>
        <n v="188.5"/>
        <n v="187.2"/>
        <n v="179.3"/>
        <n v="179.2"/>
        <n v="174.9"/>
        <n v="170"/>
      </sharedItems>
    </cacheField>
    <cacheField name="Fruits" numFmtId="0">
      <sharedItems containsSemiMixedTypes="0" containsString="0" containsNumber="1" minValue="158" maxValue="176.3" count="11">
        <n v="169.7"/>
        <n v="174.2"/>
        <n v="172.9"/>
        <n v="165.7"/>
        <n v="163.80000000000001"/>
        <n v="160.69999999999999"/>
        <n v="158"/>
        <n v="158.30000000000001"/>
        <n v="169.5"/>
        <n v="176.3"/>
        <n v="172.2"/>
      </sharedItems>
    </cacheField>
    <cacheField name="Vegetables" numFmtId="0">
      <sharedItems containsSemiMixedTypes="0" containsString="0" containsNumber="1" minValue="152.69999999999999" maxValue="199.7" count="12">
        <n v="182.3"/>
        <n v="182.1"/>
        <n v="186.7"/>
        <n v="191.8"/>
        <n v="199.7"/>
        <n v="183.1"/>
        <n v="159.9"/>
        <n v="153.9"/>
        <n v="152.69999999999999"/>
        <n v="152.80000000000001"/>
        <n v="155.4"/>
        <n v="161"/>
      </sharedItems>
    </cacheField>
    <cacheField name="Pulses and products" numFmtId="0">
      <sharedItems containsSemiMixedTypes="0" containsString="0" containsNumber="1" minValue="164.3" maxValue="175.6" count="11">
        <n v="164.3"/>
        <n v="167.2"/>
        <n v="169.1"/>
        <n v="169.8"/>
        <n v="170.5"/>
        <n v="170.8"/>
        <n v="170.9"/>
        <n v="171"/>
        <n v="171.1"/>
        <n v="173.4"/>
        <n v="175.6"/>
      </sharedItems>
    </cacheField>
    <cacheField name="Sugar and Confectionery" numFmtId="0">
      <sharedItems containsSemiMixedTypes="0" containsString="0" containsNumber="1" minValue="119.9" maxValue="122.7" count="10">
        <n v="119.9"/>
        <n v="120"/>
        <n v="120.9"/>
        <n v="121.6"/>
        <n v="121.9"/>
        <n v="122.1"/>
        <n v="121.8"/>
        <n v="121.1"/>
        <n v="121.3"/>
        <n v="122.7"/>
      </sharedItems>
    </cacheField>
    <cacheField name="Spices" numFmtId="0">
      <sharedItems containsSemiMixedTypes="0" containsString="0" containsNumber="1" minValue="187.1" maxValue="218" count="11">
        <n v="187.1"/>
        <n v="190"/>
        <n v="193.6"/>
        <n v="197.3"/>
        <n v="199.9"/>
        <n v="202.8"/>
        <n v="205.2"/>
        <n v="208.4"/>
        <n v="209.7"/>
        <n v="212.9"/>
        <n v="218"/>
      </sharedItems>
    </cacheField>
    <cacheField name="Non-alcoholic beverages" numFmtId="0">
      <sharedItems containsSemiMixedTypes="0" containsString="0" containsNumber="1" minValue="167.9" maxValue="173.4" count="11">
        <n v="167.9"/>
        <n v="168.4"/>
        <n v="168.8"/>
        <n v="169.4"/>
        <n v="169.9"/>
        <n v="170.4"/>
        <n v="171"/>
        <n v="171.4"/>
        <n v="172.3"/>
        <n v="172.9"/>
        <n v="173.4"/>
      </sharedItems>
    </cacheField>
    <cacheField name="Prepared meals, snacks, sweets etc." numFmtId="0">
      <sharedItems containsSemiMixedTypes="0" containsString="0" containsNumber="1" minValue="183.9" maxValue="194.2" count="11">
        <n v="183.9"/>
        <n v="185.2"/>
        <n v="186.3"/>
        <n v="187.4"/>
        <n v="188.3"/>
        <n v="189.5"/>
        <n v="190.3"/>
        <n v="191.2"/>
        <n v="193"/>
        <n v="193.5"/>
        <n v="194.2"/>
      </sharedItems>
    </cacheField>
    <cacheField name="Food and beverages" numFmtId="0">
      <sharedItems containsSemiMixedTypes="0" containsString="0" containsNumber="1" minValue="174.9" maxValue="179.6" count="11">
        <n v="174.9"/>
        <n v="175"/>
        <n v="176.3"/>
        <n v="177.8"/>
        <n v="179.6"/>
        <n v="178.3"/>
        <n v="175.9"/>
        <n v="176.7"/>
        <n v="177"/>
        <n v="177.9"/>
        <n v="179.1"/>
      </sharedItems>
    </cacheField>
    <cacheField name="Pan, tobacco and intoxicants" numFmtId="0">
      <sharedItems containsSemiMixedTypes="0" containsString="0" containsNumber="1" minValue="194.3" maxValue="201"/>
    </cacheField>
    <cacheField name="Clothing" numFmtId="0">
      <sharedItems containsSemiMixedTypes="0" containsString="0" containsNumber="1" minValue="177.1" maxValue="187.3"/>
    </cacheField>
    <cacheField name="Footwear" numFmtId="0">
      <sharedItems containsSemiMixedTypes="0" containsString="0" containsNumber="1" minValue="169.9" maxValue="179.7"/>
    </cacheField>
    <cacheField name="Clothing and footwear" numFmtId="0">
      <sharedItems containsSemiMixedTypes="0" containsString="0" containsNumber="1" minValue="176" maxValue="186.2"/>
    </cacheField>
    <cacheField name="Housing" numFmtId="0">
      <sharedItems containsSemiMixedTypes="0" containsString="0" containsNumber="1" minValue="166.8" maxValue="175.6"/>
    </cacheField>
    <cacheField name="Fuel and light" numFmtId="0">
      <sharedItems containsSemiMixedTypes="0" containsString="0" containsNumber="1" minValue="176" maxValue="182.8"/>
    </cacheField>
    <cacheField name="Household goods and services" numFmtId="0">
      <sharedItems containsSemiMixedTypes="0" containsString="0" containsNumber="1" minValue="166.4" maxValue="175.2"/>
    </cacheField>
    <cacheField name="Health" numFmtId="0">
      <sharedItems containsSemiMixedTypes="0" containsString="0" containsNumber="1" minValue="175.4" maxValue="185.7"/>
    </cacheField>
    <cacheField name="Transport and communication" numFmtId="0">
      <sharedItems containsSemiMixedTypes="0" containsString="0" containsNumber="1" minValue="161.1" maxValue="164.8"/>
    </cacheField>
    <cacheField name="Recreation and amusement" numFmtId="0">
      <sharedItems containsSemiMixedTypes="0" containsString="0" containsNumber="1" minValue="165.8" maxValue="171.2"/>
    </cacheField>
    <cacheField name="Education" numFmtId="0">
      <sharedItems containsSemiMixedTypes="0" containsString="0" containsNumber="1" minValue="169" maxValue="177.1"/>
    </cacheField>
    <cacheField name="Personal care and effects" numFmtId="0">
      <sharedItems containsSemiMixedTypes="0" containsString="0" containsNumber="1" minValue="169.4" maxValue="185.2"/>
    </cacheField>
    <cacheField name="Miscellaneous" numFmtId="0">
      <sharedItems containsSemiMixedTypes="0" containsString="0" containsNumber="1" minValue="167.5" maxValue="175.7"/>
    </cacheField>
    <cacheField name="General index" numFmtId="0">
      <sharedItems containsSemiMixedTypes="0" containsString="0" containsNumber="1" minValue="172.6" maxValue="179.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ACER" refreshedDate="46314.556466782407" createdVersion="6" refreshedVersion="6" minRefreshableVersion="3" recordCount="23">
  <cacheSource type="worksheet">
    <worksheetSource ref="A1:N24" sheet="Q4 - COVID-19 Impact"/>
  </cacheSource>
  <cacheFields count="14">
    <cacheField name="Pre/Post Covid" numFmtId="0">
      <sharedItems count="2">
        <s v="Pre"/>
        <s v="Post"/>
      </sharedItems>
    </cacheField>
    <cacheField name="Sector" numFmtId="0">
      <sharedItems/>
    </cacheField>
    <cacheField name="Year" numFmtId="0">
      <sharedItems containsSemiMixedTypes="0" containsString="0" containsNumber="1" containsInteger="1" minValue="2019" maxValue="2021"/>
    </cacheField>
    <cacheField name="Month" numFmtId="0">
      <sharedItems/>
    </cacheField>
    <cacheField name="Food and beverages" numFmtId="0">
      <sharedItems containsSemiMixedTypes="0" containsString="0" containsNumber="1" minValue="138.1" maxValue="165.4"/>
    </cacheField>
    <cacheField name="Housing" numFmtId="0">
      <sharedItems containsSemiMixedTypes="0" containsString="0" containsNumber="1" minValue="149" maxValue="159.80000000000001"/>
    </cacheField>
    <cacheField name="Fuel and light" numFmtId="0">
      <sharedItems containsSemiMixedTypes="0" containsString="0" containsNumber="1" minValue="138.5" maxValue="152.4"/>
    </cacheField>
    <cacheField name="Health" numFmtId="0">
      <sharedItems containsSemiMixedTypes="0" containsString="0" containsNumber="1" minValue="146.19999999999999" maxValue="161.30000000000001"/>
    </cacheField>
    <cacheField name="Transport and communication" numFmtId="0">
      <sharedItems containsSemiMixedTypes="0" containsString="0" containsNumber="1" minValue="124.6" maxValue="145.1"/>
    </cacheField>
    <cacheField name="% Change in Food and beverages" numFmtId="0">
      <sharedItems containsString="0" containsBlank="1" containsNumber="1" minValue="-2.6602176541717037E-2" maxValue="2.1518987341772267E-2" count="23">
        <m/>
        <n v="2.0275162925416534E-2"/>
        <n v="1.2775017743080097E-2"/>
        <n v="1.4015416958654603E-2"/>
        <n v="8.29302004146526E-3"/>
        <n v="7.5394105551747082E-3"/>
        <n v="1.7687074829932037E-2"/>
        <n v="1.5374331550802145E-2"/>
        <n v="2.0408163265306145E-2"/>
        <n v="-9.6774193548386789E-3"/>
        <n v="-1.9543973941368087E-2"/>
        <n v="-1.0631229235880335E-2"/>
        <n v="1.6789791806581578E-2"/>
        <n v="6.5149513630360367E-3"/>
        <n v="1.0589112602535256E-2"/>
        <n v="0"/>
        <n v="1.9480519480519431E-2"/>
        <n v="6.3694267515923553E-3"/>
        <n v="2.1518987341772267E-2"/>
        <n v="2.0446096654274992E-2"/>
        <n v="4.2501517911355258E-3"/>
        <n v="-2.6602176541717037E-2"/>
        <n v="-2.5465838509316718E-2"/>
      </sharedItems>
    </cacheField>
    <cacheField name="% Change in Housing" numFmtId="0">
      <sharedItems containsString="0" containsBlank="1" containsNumber="1" minValue="-8.9390044402897217E-3" maxValue="1.3316423589093462E-2" count="23">
        <m/>
        <n v="7.382550335570448E-3"/>
        <n v="-4.663557628247772E-3"/>
        <n v="8.0321285140561027E-3"/>
        <n v="6.6401062416998613E-3"/>
        <n v="3.9577836411608391E-3"/>
        <n v="5.2562417871222511E-3"/>
        <n v="3.2679738562091387E-3"/>
        <n v="-4.5602605863191981E-3"/>
        <n v="7.1989528795810553E-3"/>
        <n v="5.8479532163742132E-3"/>
        <n v="-1.9379844961241455E-3"/>
        <n v="7.119741100323651E-3"/>
        <n v="-8.9390044402897217E-3"/>
        <n v="3.1833991628837932E-3"/>
        <n v="0"/>
        <n v="5.1712992889463294E-3"/>
        <n v="5.1446945337620953E-3"/>
        <n v="1.2795905310301059E-3"/>
        <n v="9.5846645367412275E-3"/>
        <n v="2.5316455696202667E-3"/>
        <n v="-4.4191919191920448E-3"/>
        <n v="1.3316423589093462E-2"/>
      </sharedItems>
    </cacheField>
    <cacheField name="% Change in Fuel and light" numFmtId="0">
      <sharedItems containsString="0" containsBlank="1" containsNumber="1" minValue="-3.2236400268636722E-2" maxValue="3.0425963488843744E-2" count="23">
        <m/>
        <n v="4.2949176807445255E-3"/>
        <n v="6.4148253741980188E-3"/>
        <n v="-1.345609065155795E-2"/>
        <n v="-5.7430007178751463E-3"/>
        <n v="5.0541516245485862E-3"/>
        <n v="1.0057471264367956E-2"/>
        <n v="1.2091038406828014E-2"/>
        <n v="9.8383696416020072E-3"/>
        <n v="6.2630480167014113E-3"/>
        <n v="1.7980636237897585E-2"/>
        <n v="1.1548913043478271E-2"/>
        <n v="-3.2236400268636722E-2"/>
        <n v="-6.0879439782979272E-3"/>
        <n v="-9.2354565362277041E-3"/>
        <n v="0"/>
        <n v="7.7519379844961378E-3"/>
        <n v="-6.9930069930068672E-4"/>
        <n v="1.3995801259620855E-3"/>
        <n v="3.4940600978337066E-3"/>
        <n v="6.9637883008355494E-3"/>
        <n v="2.2821576763485618E-2"/>
        <n v="3.0425963488843744E-2"/>
      </sharedItems>
    </cacheField>
    <cacheField name="% Change in Health" numFmtId="0">
      <sharedItems containsString="0" containsBlank="1" containsNumber="1" minValue="-1.0505581089954141E-2" maxValue="1.2972295947275558E-2"/>
    </cacheField>
    <cacheField name="% Change in Transport and communication" numFmtId="0">
      <sharedItems containsString="0" containsBlank="1" containsNumber="1" minValue="-4.583651642475095E-3" maxValue="2.5925925925925908E-2"/>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372">
  <r>
    <x v="0"/>
    <x v="0"/>
    <x v="0"/>
    <x v="0"/>
    <x v="0"/>
    <x v="0"/>
    <x v="0"/>
    <x v="0"/>
    <x v="0"/>
    <x v="0"/>
    <x v="0"/>
    <x v="0"/>
    <x v="0"/>
    <x v="0"/>
    <x v="0"/>
    <n v="105.5"/>
    <x v="0"/>
    <n v="106.5"/>
    <n v="105.8"/>
    <x v="0"/>
    <x v="0"/>
    <x v="0"/>
    <x v="0"/>
    <x v="0"/>
    <x v="0"/>
    <x v="0"/>
    <x v="0"/>
    <x v="0"/>
    <n v="104"/>
    <n v="105.1"/>
  </r>
  <r>
    <x v="1"/>
    <x v="0"/>
    <x v="0"/>
    <x v="1"/>
    <x v="1"/>
    <x v="1"/>
    <x v="1"/>
    <x v="1"/>
    <x v="1"/>
    <x v="1"/>
    <x v="1"/>
    <x v="1"/>
    <x v="1"/>
    <x v="1"/>
    <x v="1"/>
    <n v="105.9"/>
    <x v="1"/>
    <n v="105.9"/>
    <n v="105"/>
    <x v="1"/>
    <x v="1"/>
    <x v="1"/>
    <x v="0"/>
    <x v="1"/>
    <x v="1"/>
    <x v="1"/>
    <x v="1"/>
    <x v="1"/>
    <n v="103.7"/>
    <n v="104"/>
  </r>
  <r>
    <x v="2"/>
    <x v="0"/>
    <x v="0"/>
    <x v="2"/>
    <x v="2"/>
    <x v="2"/>
    <x v="2"/>
    <x v="2"/>
    <x v="2"/>
    <x v="2"/>
    <x v="2"/>
    <x v="2"/>
    <x v="2"/>
    <x v="2"/>
    <x v="2"/>
    <n v="105.6"/>
    <x v="0"/>
    <n v="106.3"/>
    <n v="105.5"/>
    <x v="2"/>
    <x v="1"/>
    <x v="0"/>
    <x v="0"/>
    <x v="0"/>
    <x v="1"/>
    <x v="2"/>
    <x v="2"/>
    <x v="2"/>
    <n v="103.9"/>
    <n v="104.6"/>
  </r>
  <r>
    <x v="0"/>
    <x v="0"/>
    <x v="1"/>
    <x v="3"/>
    <x v="3"/>
    <x v="3"/>
    <x v="3"/>
    <x v="3"/>
    <x v="3"/>
    <x v="3"/>
    <x v="3"/>
    <x v="3"/>
    <x v="0"/>
    <x v="1"/>
    <x v="3"/>
    <n v="106.3"/>
    <x v="2"/>
    <n v="107.1"/>
    <n v="106.3"/>
    <x v="3"/>
    <x v="0"/>
    <x v="2"/>
    <x v="1"/>
    <x v="2"/>
    <x v="2"/>
    <x v="3"/>
    <x v="3"/>
    <x v="3"/>
    <n v="104.4"/>
    <n v="105.8"/>
  </r>
  <r>
    <x v="1"/>
    <x v="0"/>
    <x v="1"/>
    <x v="4"/>
    <x v="4"/>
    <x v="4"/>
    <x v="4"/>
    <x v="4"/>
    <x v="4"/>
    <x v="4"/>
    <x v="4"/>
    <x v="4"/>
    <x v="3"/>
    <x v="3"/>
    <x v="4"/>
    <n v="107.2"/>
    <x v="3"/>
    <n v="106.6"/>
    <n v="105.5"/>
    <x v="0"/>
    <x v="2"/>
    <x v="3"/>
    <x v="1"/>
    <x v="3"/>
    <x v="3"/>
    <x v="4"/>
    <x v="4"/>
    <x v="1"/>
    <n v="104.3"/>
    <n v="104.7"/>
  </r>
  <r>
    <x v="2"/>
    <x v="0"/>
    <x v="1"/>
    <x v="5"/>
    <x v="5"/>
    <x v="5"/>
    <x v="0"/>
    <x v="5"/>
    <x v="5"/>
    <x v="5"/>
    <x v="5"/>
    <x v="1"/>
    <x v="4"/>
    <x v="4"/>
    <x v="5"/>
    <n v="106.6"/>
    <x v="4"/>
    <n v="106.9"/>
    <n v="106"/>
    <x v="4"/>
    <x v="2"/>
    <x v="4"/>
    <x v="1"/>
    <x v="4"/>
    <x v="4"/>
    <x v="5"/>
    <x v="5"/>
    <x v="2"/>
    <n v="104.4"/>
    <n v="105.3"/>
  </r>
  <r>
    <x v="0"/>
    <x v="0"/>
    <x v="2"/>
    <x v="6"/>
    <x v="6"/>
    <x v="6"/>
    <x v="5"/>
    <x v="6"/>
    <x v="6"/>
    <x v="6"/>
    <x v="6"/>
    <x v="5"/>
    <x v="5"/>
    <x v="5"/>
    <x v="6"/>
    <n v="106.6"/>
    <x v="5"/>
    <n v="107.6"/>
    <n v="106.8"/>
    <x v="5"/>
    <x v="0"/>
    <x v="5"/>
    <x v="2"/>
    <x v="3"/>
    <x v="5"/>
    <x v="3"/>
    <x v="6"/>
    <x v="1"/>
    <n v="104.6"/>
    <n v="106"/>
  </r>
  <r>
    <x v="1"/>
    <x v="0"/>
    <x v="2"/>
    <x v="7"/>
    <x v="7"/>
    <x v="7"/>
    <x v="6"/>
    <x v="7"/>
    <x v="7"/>
    <x v="7"/>
    <x v="7"/>
    <x v="6"/>
    <x v="6"/>
    <x v="6"/>
    <x v="7"/>
    <n v="107.3"/>
    <x v="6"/>
    <n v="107.2"/>
    <n v="106"/>
    <x v="3"/>
    <x v="2"/>
    <x v="4"/>
    <x v="3"/>
    <x v="5"/>
    <x v="6"/>
    <x v="6"/>
    <x v="0"/>
    <x v="4"/>
    <n v="104.9"/>
    <n v="105"/>
  </r>
  <r>
    <x v="2"/>
    <x v="0"/>
    <x v="2"/>
    <x v="8"/>
    <x v="8"/>
    <x v="8"/>
    <x v="7"/>
    <x v="8"/>
    <x v="8"/>
    <x v="2"/>
    <x v="8"/>
    <x v="7"/>
    <x v="7"/>
    <x v="7"/>
    <x v="8"/>
    <n v="106.9"/>
    <x v="7"/>
    <n v="107.4"/>
    <n v="106.5"/>
    <x v="6"/>
    <x v="2"/>
    <x v="5"/>
    <x v="2"/>
    <x v="6"/>
    <x v="7"/>
    <x v="7"/>
    <x v="7"/>
    <x v="1"/>
    <n v="104.7"/>
    <n v="105.5"/>
  </r>
  <r>
    <x v="0"/>
    <x v="0"/>
    <x v="3"/>
    <x v="6"/>
    <x v="9"/>
    <x v="9"/>
    <x v="8"/>
    <x v="9"/>
    <x v="9"/>
    <x v="8"/>
    <x v="6"/>
    <x v="7"/>
    <x v="8"/>
    <x v="8"/>
    <x v="9"/>
    <n v="107.1"/>
    <x v="8"/>
    <n v="108.1"/>
    <n v="107.4"/>
    <x v="7"/>
    <x v="0"/>
    <x v="6"/>
    <x v="4"/>
    <x v="7"/>
    <x v="3"/>
    <x v="8"/>
    <x v="8"/>
    <x v="5"/>
    <n v="104.6"/>
    <n v="106.4"/>
  </r>
  <r>
    <x v="1"/>
    <x v="0"/>
    <x v="3"/>
    <x v="9"/>
    <x v="10"/>
    <x v="10"/>
    <x v="9"/>
    <x v="10"/>
    <x v="10"/>
    <x v="9"/>
    <x v="9"/>
    <x v="8"/>
    <x v="9"/>
    <x v="9"/>
    <x v="10"/>
    <n v="108.8"/>
    <x v="9"/>
    <n v="107.9"/>
    <n v="106.4"/>
    <x v="8"/>
    <x v="3"/>
    <x v="7"/>
    <x v="5"/>
    <x v="8"/>
    <x v="8"/>
    <x v="3"/>
    <x v="9"/>
    <x v="6"/>
    <n v="105.1"/>
    <n v="105.7"/>
  </r>
  <r>
    <x v="2"/>
    <x v="0"/>
    <x v="3"/>
    <x v="10"/>
    <x v="11"/>
    <x v="11"/>
    <x v="10"/>
    <x v="11"/>
    <x v="11"/>
    <x v="10"/>
    <x v="5"/>
    <x v="9"/>
    <x v="5"/>
    <x v="10"/>
    <x v="11"/>
    <n v="107.7"/>
    <x v="10"/>
    <n v="108"/>
    <n v="107"/>
    <x v="9"/>
    <x v="3"/>
    <x v="6"/>
    <x v="6"/>
    <x v="9"/>
    <x v="9"/>
    <x v="9"/>
    <x v="10"/>
    <x v="7"/>
    <n v="104.8"/>
    <n v="106.1"/>
  </r>
  <r>
    <x v="0"/>
    <x v="0"/>
    <x v="4"/>
    <x v="11"/>
    <x v="12"/>
    <x v="12"/>
    <x v="11"/>
    <x v="12"/>
    <x v="12"/>
    <x v="11"/>
    <x v="0"/>
    <x v="10"/>
    <x v="10"/>
    <x v="11"/>
    <x v="12"/>
    <n v="108.1"/>
    <x v="11"/>
    <n v="108.8"/>
    <n v="107.9"/>
    <x v="10"/>
    <x v="0"/>
    <x v="8"/>
    <x v="7"/>
    <x v="8"/>
    <x v="10"/>
    <x v="10"/>
    <x v="11"/>
    <x v="8"/>
    <n v="104.8"/>
    <n v="107.2"/>
  </r>
  <r>
    <x v="1"/>
    <x v="0"/>
    <x v="4"/>
    <x v="12"/>
    <x v="13"/>
    <x v="13"/>
    <x v="12"/>
    <x v="13"/>
    <x v="13"/>
    <x v="12"/>
    <x v="10"/>
    <x v="11"/>
    <x v="11"/>
    <x v="12"/>
    <x v="13"/>
    <n v="111.1"/>
    <x v="12"/>
    <n v="108.5"/>
    <n v="106.7"/>
    <x v="11"/>
    <x v="3"/>
    <x v="9"/>
    <x v="8"/>
    <x v="10"/>
    <x v="2"/>
    <x v="11"/>
    <x v="12"/>
    <x v="9"/>
    <n v="104.9"/>
    <n v="106.6"/>
  </r>
  <r>
    <x v="2"/>
    <x v="0"/>
    <x v="4"/>
    <x v="13"/>
    <x v="14"/>
    <x v="14"/>
    <x v="13"/>
    <x v="14"/>
    <x v="14"/>
    <x v="13"/>
    <x v="1"/>
    <x v="12"/>
    <x v="12"/>
    <x v="13"/>
    <x v="14"/>
    <n v="109.2"/>
    <x v="13"/>
    <n v="108.7"/>
    <n v="107.4"/>
    <x v="12"/>
    <x v="3"/>
    <x v="10"/>
    <x v="9"/>
    <x v="11"/>
    <x v="11"/>
    <x v="12"/>
    <x v="13"/>
    <x v="10"/>
    <n v="104.8"/>
    <n v="106.9"/>
  </r>
  <r>
    <x v="0"/>
    <x v="0"/>
    <x v="5"/>
    <x v="13"/>
    <x v="15"/>
    <x v="0"/>
    <x v="14"/>
    <x v="15"/>
    <x v="15"/>
    <x v="14"/>
    <x v="11"/>
    <x v="13"/>
    <x v="13"/>
    <x v="9"/>
    <x v="15"/>
    <n v="110.6"/>
    <x v="14"/>
    <n v="109.7"/>
    <n v="108.8"/>
    <x v="13"/>
    <x v="0"/>
    <x v="11"/>
    <x v="10"/>
    <x v="12"/>
    <x v="8"/>
    <x v="13"/>
    <x v="14"/>
    <x v="11"/>
    <n v="105.5"/>
    <n v="108.9"/>
  </r>
  <r>
    <x v="1"/>
    <x v="0"/>
    <x v="5"/>
    <x v="14"/>
    <x v="16"/>
    <x v="15"/>
    <x v="15"/>
    <x v="16"/>
    <x v="16"/>
    <x v="15"/>
    <x v="12"/>
    <x v="14"/>
    <x v="14"/>
    <x v="14"/>
    <x v="16"/>
    <n v="115"/>
    <x v="15"/>
    <n v="109.2"/>
    <n v="107.2"/>
    <x v="14"/>
    <x v="4"/>
    <x v="12"/>
    <x v="11"/>
    <x v="13"/>
    <x v="12"/>
    <x v="14"/>
    <x v="15"/>
    <x v="12"/>
    <n v="106.1"/>
    <n v="109.7"/>
  </r>
  <r>
    <x v="2"/>
    <x v="0"/>
    <x v="5"/>
    <x v="15"/>
    <x v="17"/>
    <x v="16"/>
    <x v="16"/>
    <x v="17"/>
    <x v="17"/>
    <x v="16"/>
    <x v="13"/>
    <x v="15"/>
    <x v="15"/>
    <x v="15"/>
    <x v="17"/>
    <n v="112.2"/>
    <x v="16"/>
    <n v="109.5"/>
    <n v="108.1"/>
    <x v="15"/>
    <x v="4"/>
    <x v="13"/>
    <x v="12"/>
    <x v="14"/>
    <x v="7"/>
    <x v="15"/>
    <x v="16"/>
    <x v="13"/>
    <n v="105.8"/>
    <n v="109.3"/>
  </r>
  <r>
    <x v="0"/>
    <x v="0"/>
    <x v="6"/>
    <x v="16"/>
    <x v="17"/>
    <x v="17"/>
    <x v="17"/>
    <x v="6"/>
    <x v="18"/>
    <x v="17"/>
    <x v="14"/>
    <x v="16"/>
    <x v="14"/>
    <x v="12"/>
    <x v="18"/>
    <n v="113.1"/>
    <x v="12"/>
    <n v="110.5"/>
    <n v="109.5"/>
    <x v="16"/>
    <x v="0"/>
    <x v="14"/>
    <x v="13"/>
    <x v="15"/>
    <x v="13"/>
    <x v="16"/>
    <x v="17"/>
    <x v="11"/>
    <n v="106.5"/>
    <n v="110.7"/>
  </r>
  <r>
    <x v="1"/>
    <x v="0"/>
    <x v="6"/>
    <x v="17"/>
    <x v="18"/>
    <x v="18"/>
    <x v="14"/>
    <x v="18"/>
    <x v="19"/>
    <x v="18"/>
    <x v="15"/>
    <x v="17"/>
    <x v="16"/>
    <x v="16"/>
    <x v="19"/>
    <n v="117.5"/>
    <x v="17"/>
    <n v="109.8"/>
    <n v="107.8"/>
    <x v="13"/>
    <x v="5"/>
    <x v="15"/>
    <x v="14"/>
    <x v="16"/>
    <x v="14"/>
    <x v="17"/>
    <x v="18"/>
    <x v="6"/>
    <n v="107.3"/>
    <n v="111.4"/>
  </r>
  <r>
    <x v="2"/>
    <x v="0"/>
    <x v="6"/>
    <x v="18"/>
    <x v="19"/>
    <x v="19"/>
    <x v="18"/>
    <x v="19"/>
    <x v="20"/>
    <x v="19"/>
    <x v="16"/>
    <x v="18"/>
    <x v="17"/>
    <x v="17"/>
    <x v="20"/>
    <n v="114.7"/>
    <x v="18"/>
    <n v="110.2"/>
    <n v="108.8"/>
    <x v="17"/>
    <x v="5"/>
    <x v="16"/>
    <x v="15"/>
    <x v="17"/>
    <x v="15"/>
    <x v="18"/>
    <x v="19"/>
    <x v="13"/>
    <n v="106.9"/>
    <n v="111"/>
  </r>
  <r>
    <x v="0"/>
    <x v="0"/>
    <x v="7"/>
    <x v="19"/>
    <x v="20"/>
    <x v="20"/>
    <x v="19"/>
    <x v="20"/>
    <x v="21"/>
    <x v="20"/>
    <x v="17"/>
    <x v="13"/>
    <x v="18"/>
    <x v="18"/>
    <x v="20"/>
    <n v="114.9"/>
    <x v="19"/>
    <n v="111.3"/>
    <n v="110.2"/>
    <x v="18"/>
    <x v="0"/>
    <x v="17"/>
    <x v="16"/>
    <x v="18"/>
    <x v="16"/>
    <x v="19"/>
    <x v="20"/>
    <x v="14"/>
    <n v="107.5"/>
    <n v="112.1"/>
  </r>
  <r>
    <x v="1"/>
    <x v="0"/>
    <x v="7"/>
    <x v="20"/>
    <x v="21"/>
    <x v="21"/>
    <x v="18"/>
    <x v="18"/>
    <x v="22"/>
    <x v="21"/>
    <x v="18"/>
    <x v="19"/>
    <x v="19"/>
    <x v="19"/>
    <x v="21"/>
    <n v="119.6"/>
    <x v="20"/>
    <n v="110.6"/>
    <n v="108.3"/>
    <x v="19"/>
    <x v="6"/>
    <x v="18"/>
    <x v="16"/>
    <x v="19"/>
    <x v="17"/>
    <x v="20"/>
    <x v="21"/>
    <x v="15"/>
    <n v="108.3"/>
    <n v="112.7"/>
  </r>
  <r>
    <x v="2"/>
    <x v="0"/>
    <x v="7"/>
    <x v="21"/>
    <x v="22"/>
    <x v="22"/>
    <x v="20"/>
    <x v="21"/>
    <x v="23"/>
    <x v="22"/>
    <x v="19"/>
    <x v="12"/>
    <x v="20"/>
    <x v="20"/>
    <x v="22"/>
    <n v="116.6"/>
    <x v="21"/>
    <n v="111"/>
    <n v="109.4"/>
    <x v="20"/>
    <x v="6"/>
    <x v="19"/>
    <x v="16"/>
    <x v="18"/>
    <x v="18"/>
    <x v="21"/>
    <x v="22"/>
    <x v="16"/>
    <n v="107.9"/>
    <n v="112.4"/>
  </r>
  <r>
    <x v="0"/>
    <x v="0"/>
    <x v="8"/>
    <x v="12"/>
    <x v="23"/>
    <x v="22"/>
    <x v="21"/>
    <x v="22"/>
    <x v="24"/>
    <x v="23"/>
    <x v="20"/>
    <x v="7"/>
    <x v="21"/>
    <x v="16"/>
    <x v="23"/>
    <n v="117.8"/>
    <x v="17"/>
    <n v="112.7"/>
    <n v="111.4"/>
    <x v="21"/>
    <x v="0"/>
    <x v="20"/>
    <x v="17"/>
    <x v="20"/>
    <x v="19"/>
    <x v="22"/>
    <x v="23"/>
    <x v="17"/>
    <n v="108.7"/>
    <n v="114.2"/>
  </r>
  <r>
    <x v="1"/>
    <x v="0"/>
    <x v="8"/>
    <x v="22"/>
    <x v="24"/>
    <x v="7"/>
    <x v="20"/>
    <x v="23"/>
    <x v="2"/>
    <x v="24"/>
    <x v="15"/>
    <x v="20"/>
    <x v="22"/>
    <x v="21"/>
    <x v="24"/>
    <n v="119.2"/>
    <x v="22"/>
    <n v="111.4"/>
    <n v="109"/>
    <x v="18"/>
    <x v="7"/>
    <x v="14"/>
    <x v="17"/>
    <x v="21"/>
    <x v="20"/>
    <x v="23"/>
    <x v="24"/>
    <x v="18"/>
    <n v="109.4"/>
    <n v="113.2"/>
  </r>
  <r>
    <x v="2"/>
    <x v="0"/>
    <x v="8"/>
    <x v="23"/>
    <x v="25"/>
    <x v="23"/>
    <x v="22"/>
    <x v="12"/>
    <x v="25"/>
    <x v="18"/>
    <x v="14"/>
    <x v="12"/>
    <x v="23"/>
    <x v="22"/>
    <x v="25"/>
    <n v="118.3"/>
    <x v="23"/>
    <n v="112.2"/>
    <n v="110.4"/>
    <x v="22"/>
    <x v="7"/>
    <x v="21"/>
    <x v="17"/>
    <x v="22"/>
    <x v="21"/>
    <x v="24"/>
    <x v="25"/>
    <x v="19"/>
    <n v="109"/>
    <n v="113.7"/>
  </r>
  <r>
    <x v="0"/>
    <x v="0"/>
    <x v="9"/>
    <x v="24"/>
    <x v="20"/>
    <x v="24"/>
    <x v="23"/>
    <x v="24"/>
    <x v="19"/>
    <x v="25"/>
    <x v="21"/>
    <x v="21"/>
    <x v="24"/>
    <x v="21"/>
    <x v="26"/>
    <n v="119.8"/>
    <x v="24"/>
    <n v="113.6"/>
    <n v="112.3"/>
    <x v="23"/>
    <x v="0"/>
    <x v="22"/>
    <x v="18"/>
    <x v="23"/>
    <x v="19"/>
    <x v="25"/>
    <x v="26"/>
    <x v="20"/>
    <n v="109.1"/>
    <n v="115.5"/>
  </r>
  <r>
    <x v="1"/>
    <x v="0"/>
    <x v="9"/>
    <x v="25"/>
    <x v="26"/>
    <x v="25"/>
    <x v="24"/>
    <x v="25"/>
    <x v="26"/>
    <x v="26"/>
    <x v="5"/>
    <x v="22"/>
    <x v="25"/>
    <x v="23"/>
    <x v="27"/>
    <n v="120.8"/>
    <x v="25"/>
    <n v="112.5"/>
    <n v="109.7"/>
    <x v="24"/>
    <x v="8"/>
    <x v="19"/>
    <x v="19"/>
    <x v="24"/>
    <x v="22"/>
    <x v="26"/>
    <x v="27"/>
    <x v="21"/>
    <n v="109.4"/>
    <n v="114"/>
  </r>
  <r>
    <x v="2"/>
    <x v="0"/>
    <x v="9"/>
    <x v="26"/>
    <x v="27"/>
    <x v="26"/>
    <x v="25"/>
    <x v="9"/>
    <x v="27"/>
    <x v="27"/>
    <x v="22"/>
    <x v="23"/>
    <x v="26"/>
    <x v="24"/>
    <x v="24"/>
    <n v="120.2"/>
    <x v="26"/>
    <n v="113.2"/>
    <n v="111.2"/>
    <x v="25"/>
    <x v="8"/>
    <x v="23"/>
    <x v="20"/>
    <x v="25"/>
    <x v="23"/>
    <x v="27"/>
    <x v="21"/>
    <x v="22"/>
    <n v="109.2"/>
    <n v="114.8"/>
  </r>
  <r>
    <x v="0"/>
    <x v="0"/>
    <x v="10"/>
    <x v="27"/>
    <x v="17"/>
    <x v="27"/>
    <x v="26"/>
    <x v="26"/>
    <x v="28"/>
    <x v="28"/>
    <x v="23"/>
    <x v="24"/>
    <x v="27"/>
    <x v="25"/>
    <x v="27"/>
    <n v="122.5"/>
    <x v="27"/>
    <n v="114.6"/>
    <n v="113.1"/>
    <x v="26"/>
    <x v="0"/>
    <x v="24"/>
    <x v="21"/>
    <x v="26"/>
    <x v="24"/>
    <x v="28"/>
    <x v="28"/>
    <x v="23"/>
    <n v="109.8"/>
    <n v="117.4"/>
  </r>
  <r>
    <x v="1"/>
    <x v="0"/>
    <x v="11"/>
    <x v="28"/>
    <x v="27"/>
    <x v="28"/>
    <x v="27"/>
    <x v="27"/>
    <x v="29"/>
    <x v="29"/>
    <x v="13"/>
    <x v="25"/>
    <x v="28"/>
    <x v="25"/>
    <x v="28"/>
    <n v="122.9"/>
    <x v="28"/>
    <n v="113.5"/>
    <n v="110.3"/>
    <x v="27"/>
    <x v="9"/>
    <x v="25"/>
    <x v="22"/>
    <x v="25"/>
    <x v="23"/>
    <x v="29"/>
    <x v="27"/>
    <x v="24"/>
    <n v="109.6"/>
    <n v="115"/>
  </r>
  <r>
    <x v="2"/>
    <x v="0"/>
    <x v="11"/>
    <x v="29"/>
    <x v="20"/>
    <x v="29"/>
    <x v="28"/>
    <x v="28"/>
    <x v="30"/>
    <x v="30"/>
    <x v="24"/>
    <x v="26"/>
    <x v="29"/>
    <x v="25"/>
    <x v="29"/>
    <n v="122.6"/>
    <x v="29"/>
    <n v="114.2"/>
    <n v="111.9"/>
    <x v="28"/>
    <x v="9"/>
    <x v="22"/>
    <x v="23"/>
    <x v="27"/>
    <x v="23"/>
    <x v="30"/>
    <x v="24"/>
    <x v="25"/>
    <n v="109.7"/>
    <n v="116.3"/>
  </r>
  <r>
    <x v="0"/>
    <x v="0"/>
    <x v="12"/>
    <x v="30"/>
    <x v="28"/>
    <x v="30"/>
    <x v="29"/>
    <x v="29"/>
    <x v="31"/>
    <x v="31"/>
    <x v="25"/>
    <x v="27"/>
    <x v="30"/>
    <x v="26"/>
    <x v="30"/>
    <n v="118.7"/>
    <x v="30"/>
    <n v="115.8"/>
    <n v="114"/>
    <x v="29"/>
    <x v="0"/>
    <x v="26"/>
    <x v="24"/>
    <x v="28"/>
    <x v="21"/>
    <x v="31"/>
    <x v="29"/>
    <x v="25"/>
    <n v="110.1"/>
    <n v="115.5"/>
  </r>
  <r>
    <x v="1"/>
    <x v="0"/>
    <x v="12"/>
    <x v="31"/>
    <x v="26"/>
    <x v="31"/>
    <x v="26"/>
    <x v="1"/>
    <x v="17"/>
    <x v="32"/>
    <x v="14"/>
    <x v="28"/>
    <x v="31"/>
    <x v="26"/>
    <x v="31"/>
    <n v="117.8"/>
    <x v="31"/>
    <n v="114.2"/>
    <n v="110.9"/>
    <x v="30"/>
    <x v="10"/>
    <x v="27"/>
    <x v="21"/>
    <x v="29"/>
    <x v="22"/>
    <x v="32"/>
    <x v="30"/>
    <x v="26"/>
    <n v="109.8"/>
    <n v="113.3"/>
  </r>
  <r>
    <x v="2"/>
    <x v="0"/>
    <x v="12"/>
    <x v="32"/>
    <x v="29"/>
    <x v="32"/>
    <x v="30"/>
    <x v="30"/>
    <x v="32"/>
    <x v="33"/>
    <x v="26"/>
    <x v="29"/>
    <x v="32"/>
    <x v="26"/>
    <x v="32"/>
    <n v="118.4"/>
    <x v="32"/>
    <n v="115.2"/>
    <n v="112.7"/>
    <x v="31"/>
    <x v="10"/>
    <x v="28"/>
    <x v="25"/>
    <x v="26"/>
    <x v="25"/>
    <x v="33"/>
    <x v="31"/>
    <x v="24"/>
    <n v="110"/>
    <n v="114.5"/>
  </r>
  <r>
    <x v="0"/>
    <x v="1"/>
    <x v="0"/>
    <x v="25"/>
    <x v="30"/>
    <x v="33"/>
    <x v="31"/>
    <x v="31"/>
    <x v="31"/>
    <x v="34"/>
    <x v="27"/>
    <x v="30"/>
    <x v="33"/>
    <x v="27"/>
    <x v="33"/>
    <n v="116"/>
    <x v="32"/>
    <n v="116.5"/>
    <n v="114.5"/>
    <x v="32"/>
    <x v="0"/>
    <x v="29"/>
    <x v="26"/>
    <x v="30"/>
    <x v="26"/>
    <x v="34"/>
    <x v="32"/>
    <x v="27"/>
    <n v="110.6"/>
    <n v="114.2"/>
  </r>
  <r>
    <x v="1"/>
    <x v="1"/>
    <x v="0"/>
    <x v="33"/>
    <x v="31"/>
    <x v="34"/>
    <x v="32"/>
    <x v="32"/>
    <x v="33"/>
    <x v="35"/>
    <x v="28"/>
    <x v="31"/>
    <x v="34"/>
    <x v="26"/>
    <x v="34"/>
    <n v="115.5"/>
    <x v="33"/>
    <n v="114.8"/>
    <n v="111.3"/>
    <x v="33"/>
    <x v="11"/>
    <x v="30"/>
    <x v="27"/>
    <x v="26"/>
    <x v="27"/>
    <x v="35"/>
    <x v="31"/>
    <x v="28"/>
    <n v="110.5"/>
    <n v="112.9"/>
  </r>
  <r>
    <x v="2"/>
    <x v="1"/>
    <x v="0"/>
    <x v="34"/>
    <x v="32"/>
    <x v="35"/>
    <x v="33"/>
    <x v="28"/>
    <x v="34"/>
    <x v="36"/>
    <x v="29"/>
    <x v="22"/>
    <x v="35"/>
    <x v="28"/>
    <x v="31"/>
    <n v="115.8"/>
    <x v="34"/>
    <n v="115.8"/>
    <n v="113.2"/>
    <x v="34"/>
    <x v="11"/>
    <x v="31"/>
    <x v="28"/>
    <x v="31"/>
    <x v="28"/>
    <x v="36"/>
    <x v="29"/>
    <x v="23"/>
    <n v="110.6"/>
    <n v="113.6"/>
  </r>
  <r>
    <x v="0"/>
    <x v="1"/>
    <x v="1"/>
    <x v="35"/>
    <x v="33"/>
    <x v="36"/>
    <x v="34"/>
    <x v="31"/>
    <x v="28"/>
    <x v="37"/>
    <x v="30"/>
    <x v="32"/>
    <x v="36"/>
    <x v="29"/>
    <x v="35"/>
    <n v="115.3"/>
    <x v="35"/>
    <n v="117.1"/>
    <n v="114.5"/>
    <x v="35"/>
    <x v="0"/>
    <x v="32"/>
    <x v="29"/>
    <x v="32"/>
    <x v="27"/>
    <x v="37"/>
    <x v="33"/>
    <x v="29"/>
    <n v="110.9"/>
    <n v="114"/>
  </r>
  <r>
    <x v="1"/>
    <x v="1"/>
    <x v="1"/>
    <x v="36"/>
    <x v="31"/>
    <x v="37"/>
    <x v="35"/>
    <x v="33"/>
    <x v="35"/>
    <x v="38"/>
    <x v="24"/>
    <x v="33"/>
    <x v="37"/>
    <x v="26"/>
    <x v="36"/>
    <n v="115.2"/>
    <x v="36"/>
    <n v="115.3"/>
    <n v="111.7"/>
    <x v="36"/>
    <x v="12"/>
    <x v="20"/>
    <x v="26"/>
    <x v="33"/>
    <x v="29"/>
    <x v="38"/>
    <x v="29"/>
    <x v="29"/>
    <n v="111"/>
    <n v="113.1"/>
  </r>
  <r>
    <x v="2"/>
    <x v="1"/>
    <x v="1"/>
    <x v="37"/>
    <x v="18"/>
    <x v="38"/>
    <x v="36"/>
    <x v="34"/>
    <x v="36"/>
    <x v="39"/>
    <x v="31"/>
    <x v="34"/>
    <x v="38"/>
    <x v="30"/>
    <x v="37"/>
    <n v="115.3"/>
    <x v="37"/>
    <n v="116.4"/>
    <n v="113.3"/>
    <x v="37"/>
    <x v="12"/>
    <x v="33"/>
    <x v="30"/>
    <x v="34"/>
    <x v="30"/>
    <x v="39"/>
    <x v="32"/>
    <x v="29"/>
    <n v="110.9"/>
    <n v="113.6"/>
  </r>
  <r>
    <x v="0"/>
    <x v="1"/>
    <x v="2"/>
    <x v="38"/>
    <x v="26"/>
    <x v="39"/>
    <x v="37"/>
    <x v="35"/>
    <x v="37"/>
    <x v="40"/>
    <x v="32"/>
    <x v="35"/>
    <x v="39"/>
    <x v="31"/>
    <x v="38"/>
    <n v="116.2"/>
    <x v="38"/>
    <n v="117.5"/>
    <n v="114.9"/>
    <x v="38"/>
    <x v="0"/>
    <x v="34"/>
    <x v="31"/>
    <x v="35"/>
    <x v="31"/>
    <x v="40"/>
    <x v="34"/>
    <x v="30"/>
    <n v="111.3"/>
    <n v="114.6"/>
  </r>
  <r>
    <x v="1"/>
    <x v="1"/>
    <x v="2"/>
    <x v="39"/>
    <x v="34"/>
    <x v="40"/>
    <x v="38"/>
    <x v="36"/>
    <x v="38"/>
    <x v="41"/>
    <x v="29"/>
    <x v="36"/>
    <x v="40"/>
    <x v="32"/>
    <x v="39"/>
    <n v="116"/>
    <x v="39"/>
    <n v="115.8"/>
    <n v="112.1"/>
    <x v="39"/>
    <x v="13"/>
    <x v="23"/>
    <x v="32"/>
    <x v="36"/>
    <x v="32"/>
    <x v="41"/>
    <x v="32"/>
    <x v="31"/>
    <n v="111.4"/>
    <n v="113.7"/>
  </r>
  <r>
    <x v="2"/>
    <x v="1"/>
    <x v="13"/>
    <x v="40"/>
    <x v="35"/>
    <x v="41"/>
    <x v="37"/>
    <x v="37"/>
    <x v="39"/>
    <x v="42"/>
    <x v="30"/>
    <x v="37"/>
    <x v="41"/>
    <x v="33"/>
    <x v="40"/>
    <n v="116.1"/>
    <x v="40"/>
    <n v="116.8"/>
    <n v="113.7"/>
    <x v="40"/>
    <x v="13"/>
    <x v="35"/>
    <x v="33"/>
    <x v="37"/>
    <x v="33"/>
    <x v="42"/>
    <x v="33"/>
    <x v="32"/>
    <n v="111.3"/>
    <n v="114.2"/>
  </r>
  <r>
    <x v="0"/>
    <x v="1"/>
    <x v="3"/>
    <x v="37"/>
    <x v="36"/>
    <x v="42"/>
    <x v="39"/>
    <x v="38"/>
    <x v="40"/>
    <x v="43"/>
    <x v="33"/>
    <x v="6"/>
    <x v="42"/>
    <x v="34"/>
    <x v="41"/>
    <n v="117.2"/>
    <x v="41"/>
    <n v="118.1"/>
    <n v="116.1"/>
    <x v="41"/>
    <x v="0"/>
    <x v="34"/>
    <x v="34"/>
    <x v="38"/>
    <x v="31"/>
    <x v="43"/>
    <x v="35"/>
    <x v="30"/>
    <n v="111.5"/>
    <n v="115.4"/>
  </r>
  <r>
    <x v="1"/>
    <x v="1"/>
    <x v="3"/>
    <x v="41"/>
    <x v="37"/>
    <x v="26"/>
    <x v="39"/>
    <x v="39"/>
    <x v="41"/>
    <x v="44"/>
    <x v="33"/>
    <x v="38"/>
    <x v="43"/>
    <x v="33"/>
    <x v="42"/>
    <n v="118.2"/>
    <x v="42"/>
    <n v="116.3"/>
    <n v="112.5"/>
    <x v="42"/>
    <x v="14"/>
    <x v="23"/>
    <x v="31"/>
    <x v="39"/>
    <x v="31"/>
    <x v="44"/>
    <x v="36"/>
    <x v="33"/>
    <n v="111.4"/>
    <n v="114.7"/>
  </r>
  <r>
    <x v="2"/>
    <x v="1"/>
    <x v="3"/>
    <x v="42"/>
    <x v="38"/>
    <x v="27"/>
    <x v="39"/>
    <x v="30"/>
    <x v="42"/>
    <x v="45"/>
    <x v="33"/>
    <x v="30"/>
    <x v="44"/>
    <x v="35"/>
    <x v="43"/>
    <n v="117.6"/>
    <x v="43"/>
    <n v="117.4"/>
    <n v="114.6"/>
    <x v="43"/>
    <x v="14"/>
    <x v="35"/>
    <x v="35"/>
    <x v="40"/>
    <x v="31"/>
    <x v="41"/>
    <x v="37"/>
    <x v="32"/>
    <n v="111.5"/>
    <n v="115.1"/>
  </r>
  <r>
    <x v="0"/>
    <x v="1"/>
    <x v="4"/>
    <x v="43"/>
    <x v="39"/>
    <x v="4"/>
    <x v="40"/>
    <x v="40"/>
    <x v="43"/>
    <x v="34"/>
    <x v="34"/>
    <x v="9"/>
    <x v="45"/>
    <x v="36"/>
    <x v="44"/>
    <n v="118.2"/>
    <x v="44"/>
    <n v="118.7"/>
    <n v="116.8"/>
    <x v="44"/>
    <x v="0"/>
    <x v="34"/>
    <x v="36"/>
    <x v="41"/>
    <x v="33"/>
    <x v="41"/>
    <x v="38"/>
    <x v="30"/>
    <n v="111.8"/>
    <n v="116"/>
  </r>
  <r>
    <x v="1"/>
    <x v="1"/>
    <x v="4"/>
    <x v="44"/>
    <x v="40"/>
    <x v="43"/>
    <x v="41"/>
    <x v="4"/>
    <x v="44"/>
    <x v="46"/>
    <x v="35"/>
    <x v="17"/>
    <x v="46"/>
    <x v="29"/>
    <x v="45"/>
    <n v="120"/>
    <x v="45"/>
    <n v="116.8"/>
    <n v="112.9"/>
    <x v="32"/>
    <x v="15"/>
    <x v="20"/>
    <x v="36"/>
    <x v="37"/>
    <x v="29"/>
    <x v="45"/>
    <x v="39"/>
    <x v="34"/>
    <n v="111.7"/>
    <n v="115.6"/>
  </r>
  <r>
    <x v="2"/>
    <x v="1"/>
    <x v="4"/>
    <x v="45"/>
    <x v="41"/>
    <x v="44"/>
    <x v="42"/>
    <x v="24"/>
    <x v="45"/>
    <x v="47"/>
    <x v="36"/>
    <x v="39"/>
    <x v="47"/>
    <x v="37"/>
    <x v="46"/>
    <n v="118.9"/>
    <x v="46"/>
    <n v="118"/>
    <n v="115.2"/>
    <x v="45"/>
    <x v="15"/>
    <x v="35"/>
    <x v="36"/>
    <x v="38"/>
    <x v="29"/>
    <x v="44"/>
    <x v="35"/>
    <x v="33"/>
    <n v="111.8"/>
    <n v="115.8"/>
  </r>
  <r>
    <x v="0"/>
    <x v="1"/>
    <x v="5"/>
    <x v="40"/>
    <x v="41"/>
    <x v="45"/>
    <x v="43"/>
    <x v="41"/>
    <x v="46"/>
    <x v="48"/>
    <x v="37"/>
    <x v="24"/>
    <x v="48"/>
    <x v="38"/>
    <x v="47"/>
    <n v="119.5"/>
    <x v="47"/>
    <n v="119.7"/>
    <n v="117.3"/>
    <x v="46"/>
    <x v="0"/>
    <x v="36"/>
    <x v="37"/>
    <x v="42"/>
    <x v="34"/>
    <x v="46"/>
    <x v="40"/>
    <x v="28"/>
    <n v="112.3"/>
    <n v="117"/>
  </r>
  <r>
    <x v="1"/>
    <x v="1"/>
    <x v="5"/>
    <x v="46"/>
    <x v="42"/>
    <x v="46"/>
    <x v="44"/>
    <x v="1"/>
    <x v="47"/>
    <x v="49"/>
    <x v="38"/>
    <x v="14"/>
    <x v="49"/>
    <x v="35"/>
    <x v="48"/>
    <n v="122"/>
    <x v="48"/>
    <n v="117.4"/>
    <n v="113.2"/>
    <x v="35"/>
    <x v="14"/>
    <x v="37"/>
    <x v="38"/>
    <x v="35"/>
    <x v="35"/>
    <x v="47"/>
    <x v="41"/>
    <x v="29"/>
    <n v="112.2"/>
    <n v="116.4"/>
  </r>
  <r>
    <x v="2"/>
    <x v="1"/>
    <x v="5"/>
    <x v="47"/>
    <x v="43"/>
    <x v="47"/>
    <x v="45"/>
    <x v="42"/>
    <x v="48"/>
    <x v="50"/>
    <x v="39"/>
    <x v="27"/>
    <x v="50"/>
    <x v="36"/>
    <x v="49"/>
    <n v="120.4"/>
    <x v="49"/>
    <n v="118.8"/>
    <n v="115.6"/>
    <x v="47"/>
    <x v="14"/>
    <x v="32"/>
    <x v="39"/>
    <x v="43"/>
    <x v="36"/>
    <x v="48"/>
    <x v="42"/>
    <x v="27"/>
    <n v="112.3"/>
    <n v="116.7"/>
  </r>
  <r>
    <x v="0"/>
    <x v="1"/>
    <x v="6"/>
    <x v="48"/>
    <x v="44"/>
    <x v="48"/>
    <x v="46"/>
    <x v="43"/>
    <x v="49"/>
    <x v="51"/>
    <x v="40"/>
    <x v="40"/>
    <x v="51"/>
    <x v="39"/>
    <x v="50"/>
    <n v="123.3"/>
    <x v="50"/>
    <n v="120.7"/>
    <n v="118.3"/>
    <x v="48"/>
    <x v="0"/>
    <x v="38"/>
    <x v="40"/>
    <x v="44"/>
    <x v="37"/>
    <x v="47"/>
    <x v="43"/>
    <x v="35"/>
    <n v="113.1"/>
    <n v="119.5"/>
  </r>
  <r>
    <x v="1"/>
    <x v="1"/>
    <x v="6"/>
    <x v="49"/>
    <x v="45"/>
    <x v="49"/>
    <x v="47"/>
    <x v="4"/>
    <x v="50"/>
    <x v="52"/>
    <x v="41"/>
    <x v="23"/>
    <x v="52"/>
    <x v="40"/>
    <x v="51"/>
    <n v="127.1"/>
    <x v="51"/>
    <n v="118"/>
    <n v="113.6"/>
    <x v="49"/>
    <x v="16"/>
    <x v="22"/>
    <x v="37"/>
    <x v="40"/>
    <x v="38"/>
    <x v="49"/>
    <x v="44"/>
    <x v="36"/>
    <n v="113.5"/>
    <n v="118.9"/>
  </r>
  <r>
    <x v="2"/>
    <x v="1"/>
    <x v="6"/>
    <x v="50"/>
    <x v="46"/>
    <x v="50"/>
    <x v="48"/>
    <x v="44"/>
    <x v="47"/>
    <x v="53"/>
    <x v="40"/>
    <x v="13"/>
    <x v="53"/>
    <x v="41"/>
    <x v="52"/>
    <n v="124.7"/>
    <x v="52"/>
    <n v="119.6"/>
    <n v="116.3"/>
    <x v="50"/>
    <x v="16"/>
    <x v="39"/>
    <x v="41"/>
    <x v="45"/>
    <x v="39"/>
    <x v="50"/>
    <x v="45"/>
    <x v="31"/>
    <n v="113.3"/>
    <n v="119.2"/>
  </r>
  <r>
    <x v="0"/>
    <x v="1"/>
    <x v="7"/>
    <x v="51"/>
    <x v="47"/>
    <x v="50"/>
    <x v="49"/>
    <x v="45"/>
    <x v="51"/>
    <x v="54"/>
    <x v="42"/>
    <x v="1"/>
    <x v="54"/>
    <x v="42"/>
    <x v="45"/>
    <n v="125.3"/>
    <x v="52"/>
    <n v="120.9"/>
    <n v="118.8"/>
    <x v="51"/>
    <x v="0"/>
    <x v="40"/>
    <x v="42"/>
    <x v="46"/>
    <x v="37"/>
    <x v="51"/>
    <x v="46"/>
    <x v="37"/>
    <n v="113.5"/>
    <n v="120.7"/>
  </r>
  <r>
    <x v="1"/>
    <x v="1"/>
    <x v="7"/>
    <x v="52"/>
    <x v="48"/>
    <x v="51"/>
    <x v="50"/>
    <x v="46"/>
    <x v="52"/>
    <x v="55"/>
    <x v="43"/>
    <x v="23"/>
    <x v="55"/>
    <x v="43"/>
    <x v="53"/>
    <n v="128.9"/>
    <x v="53"/>
    <n v="118.6"/>
    <n v="114.1"/>
    <x v="52"/>
    <x v="17"/>
    <x v="41"/>
    <x v="43"/>
    <x v="47"/>
    <x v="40"/>
    <x v="52"/>
    <x v="47"/>
    <x v="38"/>
    <n v="113.9"/>
    <n v="119.9"/>
  </r>
  <r>
    <x v="2"/>
    <x v="1"/>
    <x v="7"/>
    <x v="44"/>
    <x v="49"/>
    <x v="52"/>
    <x v="51"/>
    <x v="47"/>
    <x v="53"/>
    <x v="56"/>
    <x v="44"/>
    <x v="16"/>
    <x v="56"/>
    <x v="44"/>
    <x v="54"/>
    <n v="126.6"/>
    <x v="54"/>
    <n v="120"/>
    <n v="116.8"/>
    <x v="53"/>
    <x v="17"/>
    <x v="42"/>
    <x v="44"/>
    <x v="48"/>
    <x v="41"/>
    <x v="53"/>
    <x v="48"/>
    <x v="39"/>
    <n v="113.7"/>
    <n v="120.3"/>
  </r>
  <r>
    <x v="0"/>
    <x v="1"/>
    <x v="8"/>
    <x v="53"/>
    <x v="50"/>
    <x v="50"/>
    <x v="52"/>
    <x v="43"/>
    <x v="54"/>
    <x v="57"/>
    <x v="45"/>
    <x v="41"/>
    <x v="57"/>
    <x v="45"/>
    <x v="55"/>
    <n v="125.3"/>
    <x v="55"/>
    <n v="121.7"/>
    <n v="119.2"/>
    <x v="54"/>
    <x v="0"/>
    <x v="43"/>
    <x v="45"/>
    <x v="49"/>
    <x v="41"/>
    <x v="53"/>
    <x v="49"/>
    <x v="33"/>
    <n v="113.7"/>
    <n v="120.9"/>
  </r>
  <r>
    <x v="1"/>
    <x v="1"/>
    <x v="8"/>
    <x v="54"/>
    <x v="51"/>
    <x v="53"/>
    <x v="52"/>
    <x v="4"/>
    <x v="55"/>
    <x v="58"/>
    <x v="46"/>
    <x v="11"/>
    <x v="58"/>
    <x v="41"/>
    <x v="56"/>
    <n v="126.7"/>
    <x v="56"/>
    <n v="119.2"/>
    <n v="114.5"/>
    <x v="55"/>
    <x v="18"/>
    <x v="41"/>
    <x v="46"/>
    <x v="43"/>
    <x v="31"/>
    <x v="54"/>
    <x v="50"/>
    <x v="40"/>
    <n v="113.6"/>
    <n v="119.2"/>
  </r>
  <r>
    <x v="2"/>
    <x v="1"/>
    <x v="8"/>
    <x v="55"/>
    <x v="52"/>
    <x v="52"/>
    <x v="52"/>
    <x v="44"/>
    <x v="56"/>
    <x v="59"/>
    <x v="47"/>
    <x v="4"/>
    <x v="59"/>
    <x v="42"/>
    <x v="57"/>
    <n v="125.8"/>
    <x v="57"/>
    <n v="120.7"/>
    <n v="117.2"/>
    <x v="56"/>
    <x v="18"/>
    <x v="44"/>
    <x v="47"/>
    <x v="50"/>
    <x v="42"/>
    <x v="55"/>
    <x v="51"/>
    <x v="41"/>
    <n v="113.7"/>
    <n v="120.1"/>
  </r>
  <r>
    <x v="0"/>
    <x v="1"/>
    <x v="9"/>
    <x v="56"/>
    <x v="44"/>
    <x v="54"/>
    <x v="53"/>
    <x v="48"/>
    <x v="57"/>
    <x v="60"/>
    <x v="48"/>
    <x v="42"/>
    <x v="43"/>
    <x v="46"/>
    <x v="58"/>
    <n v="125.1"/>
    <x v="58"/>
    <n v="122.7"/>
    <n v="120.3"/>
    <x v="57"/>
    <x v="0"/>
    <x v="45"/>
    <x v="48"/>
    <x v="51"/>
    <x v="43"/>
    <x v="56"/>
    <x v="52"/>
    <x v="34"/>
    <n v="114"/>
    <n v="121"/>
  </r>
  <r>
    <x v="1"/>
    <x v="1"/>
    <x v="9"/>
    <x v="57"/>
    <x v="53"/>
    <x v="50"/>
    <x v="54"/>
    <x v="4"/>
    <x v="58"/>
    <x v="61"/>
    <x v="49"/>
    <x v="35"/>
    <x v="60"/>
    <x v="44"/>
    <x v="59"/>
    <n v="125.8"/>
    <x v="56"/>
    <n v="119.6"/>
    <n v="114.9"/>
    <x v="58"/>
    <x v="19"/>
    <x v="46"/>
    <x v="49"/>
    <x v="52"/>
    <x v="44"/>
    <x v="57"/>
    <x v="53"/>
    <x v="42"/>
    <n v="113.7"/>
    <n v="119.1"/>
  </r>
  <r>
    <x v="2"/>
    <x v="1"/>
    <x v="9"/>
    <x v="58"/>
    <x v="54"/>
    <x v="42"/>
    <x v="53"/>
    <x v="44"/>
    <x v="59"/>
    <x v="62"/>
    <x v="50"/>
    <x v="12"/>
    <x v="61"/>
    <x v="47"/>
    <x v="60"/>
    <n v="125.4"/>
    <x v="59"/>
    <n v="121.5"/>
    <n v="118.1"/>
    <x v="59"/>
    <x v="19"/>
    <x v="47"/>
    <x v="45"/>
    <x v="53"/>
    <x v="36"/>
    <x v="58"/>
    <x v="54"/>
    <x v="43"/>
    <n v="113.9"/>
    <n v="120.1"/>
  </r>
  <r>
    <x v="0"/>
    <x v="1"/>
    <x v="11"/>
    <x v="44"/>
    <x v="55"/>
    <x v="55"/>
    <x v="55"/>
    <x v="48"/>
    <x v="60"/>
    <x v="63"/>
    <x v="51"/>
    <x v="18"/>
    <x v="62"/>
    <x v="46"/>
    <x v="60"/>
    <n v="124.9"/>
    <x v="57"/>
    <n v="123.3"/>
    <n v="120.5"/>
    <x v="60"/>
    <x v="0"/>
    <x v="48"/>
    <x v="50"/>
    <x v="54"/>
    <x v="42"/>
    <x v="58"/>
    <x v="55"/>
    <x v="35"/>
    <n v="114.1"/>
    <n v="121.1"/>
  </r>
  <r>
    <x v="1"/>
    <x v="1"/>
    <x v="11"/>
    <x v="59"/>
    <x v="56"/>
    <x v="56"/>
    <x v="56"/>
    <x v="27"/>
    <x v="61"/>
    <x v="64"/>
    <x v="52"/>
    <x v="43"/>
    <x v="63"/>
    <x v="42"/>
    <x v="61"/>
    <n v="125.4"/>
    <x v="60"/>
    <n v="120.3"/>
    <n v="115.4"/>
    <x v="61"/>
    <x v="20"/>
    <x v="24"/>
    <x v="51"/>
    <x v="55"/>
    <x v="22"/>
    <x v="59"/>
    <x v="56"/>
    <x v="43"/>
    <n v="113.4"/>
    <n v="119"/>
  </r>
  <r>
    <x v="2"/>
    <x v="1"/>
    <x v="11"/>
    <x v="60"/>
    <x v="57"/>
    <x v="41"/>
    <x v="57"/>
    <x v="42"/>
    <x v="62"/>
    <x v="65"/>
    <x v="53"/>
    <x v="44"/>
    <x v="64"/>
    <x v="48"/>
    <x v="62"/>
    <n v="125.1"/>
    <x v="61"/>
    <n v="122.1"/>
    <n v="118.4"/>
    <x v="62"/>
    <x v="20"/>
    <x v="49"/>
    <x v="52"/>
    <x v="56"/>
    <x v="27"/>
    <x v="60"/>
    <x v="57"/>
    <x v="33"/>
    <n v="113.8"/>
    <n v="120.1"/>
  </r>
  <r>
    <x v="0"/>
    <x v="1"/>
    <x v="12"/>
    <x v="50"/>
    <x v="50"/>
    <x v="57"/>
    <x v="57"/>
    <x v="49"/>
    <x v="63"/>
    <x v="66"/>
    <x v="54"/>
    <x v="8"/>
    <x v="65"/>
    <x v="49"/>
    <x v="63"/>
    <n v="123.3"/>
    <x v="62"/>
    <n v="123.8"/>
    <n v="120.6"/>
    <x v="63"/>
    <x v="0"/>
    <x v="50"/>
    <x v="53"/>
    <x v="57"/>
    <x v="35"/>
    <x v="58"/>
    <x v="58"/>
    <x v="37"/>
    <n v="114.2"/>
    <n v="120.3"/>
  </r>
  <r>
    <x v="1"/>
    <x v="1"/>
    <x v="12"/>
    <x v="61"/>
    <x v="58"/>
    <x v="58"/>
    <x v="58"/>
    <x v="50"/>
    <x v="64"/>
    <x v="67"/>
    <x v="55"/>
    <x v="45"/>
    <x v="66"/>
    <x v="47"/>
    <x v="64"/>
    <n v="124"/>
    <x v="63"/>
    <n v="120.7"/>
    <n v="115.8"/>
    <x v="64"/>
    <x v="21"/>
    <x v="29"/>
    <x v="54"/>
    <x v="58"/>
    <x v="45"/>
    <x v="61"/>
    <x v="59"/>
    <x v="44"/>
    <n v="113.4"/>
    <n v="118.4"/>
  </r>
  <r>
    <x v="2"/>
    <x v="1"/>
    <x v="12"/>
    <x v="55"/>
    <x v="59"/>
    <x v="32"/>
    <x v="59"/>
    <x v="51"/>
    <x v="62"/>
    <x v="68"/>
    <x v="56"/>
    <x v="46"/>
    <x v="67"/>
    <x v="46"/>
    <x v="65"/>
    <n v="123.6"/>
    <x v="53"/>
    <n v="122.6"/>
    <n v="118.6"/>
    <x v="65"/>
    <x v="21"/>
    <x v="51"/>
    <x v="48"/>
    <x v="59"/>
    <x v="46"/>
    <x v="62"/>
    <x v="60"/>
    <x v="45"/>
    <n v="113.8"/>
    <n v="119.4"/>
  </r>
  <r>
    <x v="0"/>
    <x v="2"/>
    <x v="0"/>
    <x v="46"/>
    <x v="43"/>
    <x v="59"/>
    <x v="58"/>
    <x v="52"/>
    <x v="65"/>
    <x v="69"/>
    <x v="53"/>
    <x v="47"/>
    <x v="68"/>
    <x v="50"/>
    <x v="62"/>
    <n v="122.8"/>
    <x v="64"/>
    <n v="124.4"/>
    <n v="121.6"/>
    <x v="66"/>
    <x v="0"/>
    <x v="52"/>
    <x v="55"/>
    <x v="60"/>
    <x v="44"/>
    <x v="59"/>
    <x v="61"/>
    <x v="46"/>
    <n v="114.5"/>
    <n v="120.3"/>
  </r>
  <r>
    <x v="1"/>
    <x v="2"/>
    <x v="0"/>
    <x v="61"/>
    <x v="60"/>
    <x v="60"/>
    <x v="60"/>
    <x v="19"/>
    <x v="66"/>
    <x v="70"/>
    <x v="57"/>
    <x v="48"/>
    <x v="69"/>
    <x v="45"/>
    <x v="66"/>
    <n v="123.5"/>
    <x v="65"/>
    <n v="121"/>
    <n v="116.1"/>
    <x v="67"/>
    <x v="22"/>
    <x v="34"/>
    <x v="56"/>
    <x v="50"/>
    <x v="47"/>
    <x v="63"/>
    <x v="62"/>
    <x v="47"/>
    <n v="113.4"/>
    <n v="118.5"/>
  </r>
  <r>
    <x v="2"/>
    <x v="2"/>
    <x v="0"/>
    <x v="62"/>
    <x v="46"/>
    <x v="61"/>
    <x v="61"/>
    <x v="53"/>
    <x v="67"/>
    <x v="71"/>
    <x v="58"/>
    <x v="49"/>
    <x v="70"/>
    <x v="49"/>
    <x v="67"/>
    <n v="123.1"/>
    <x v="66"/>
    <n v="123.1"/>
    <n v="119.3"/>
    <x v="68"/>
    <x v="22"/>
    <x v="53"/>
    <x v="50"/>
    <x v="61"/>
    <x v="48"/>
    <x v="61"/>
    <x v="63"/>
    <x v="48"/>
    <n v="114"/>
    <n v="119.5"/>
  </r>
  <r>
    <x v="0"/>
    <x v="2"/>
    <x v="1"/>
    <x v="62"/>
    <x v="49"/>
    <x v="59"/>
    <x v="62"/>
    <x v="54"/>
    <x v="68"/>
    <x v="72"/>
    <x v="59"/>
    <x v="50"/>
    <x v="71"/>
    <x v="51"/>
    <x v="68"/>
    <n v="122.8"/>
    <x v="67"/>
    <n v="125.4"/>
    <n v="122.7"/>
    <x v="69"/>
    <x v="0"/>
    <x v="54"/>
    <x v="57"/>
    <x v="62"/>
    <x v="49"/>
    <x v="64"/>
    <x v="64"/>
    <x v="49"/>
    <n v="115"/>
    <n v="120.6"/>
  </r>
  <r>
    <x v="1"/>
    <x v="2"/>
    <x v="1"/>
    <x v="63"/>
    <x v="61"/>
    <x v="62"/>
    <x v="63"/>
    <x v="8"/>
    <x v="69"/>
    <x v="73"/>
    <x v="60"/>
    <x v="51"/>
    <x v="72"/>
    <x v="46"/>
    <x v="69"/>
    <n v="123.7"/>
    <x v="68"/>
    <n v="121.3"/>
    <n v="116.5"/>
    <x v="70"/>
    <x v="23"/>
    <x v="42"/>
    <x v="58"/>
    <x v="63"/>
    <x v="13"/>
    <x v="65"/>
    <x v="65"/>
    <x v="50"/>
    <n v="113.2"/>
    <n v="118.7"/>
  </r>
  <r>
    <x v="2"/>
    <x v="2"/>
    <x v="1"/>
    <x v="64"/>
    <x v="62"/>
    <x v="63"/>
    <x v="64"/>
    <x v="55"/>
    <x v="46"/>
    <x v="74"/>
    <x v="61"/>
    <x v="52"/>
    <x v="73"/>
    <x v="52"/>
    <x v="64"/>
    <n v="123.1"/>
    <x v="69"/>
    <n v="123.8"/>
    <n v="120.1"/>
    <x v="63"/>
    <x v="23"/>
    <x v="55"/>
    <x v="59"/>
    <x v="64"/>
    <x v="50"/>
    <x v="65"/>
    <x v="63"/>
    <x v="51"/>
    <n v="114.1"/>
    <n v="119.7"/>
  </r>
  <r>
    <x v="0"/>
    <x v="2"/>
    <x v="2"/>
    <x v="60"/>
    <x v="58"/>
    <x v="64"/>
    <x v="65"/>
    <x v="56"/>
    <x v="70"/>
    <x v="75"/>
    <x v="62"/>
    <x v="53"/>
    <x v="74"/>
    <x v="53"/>
    <x v="70"/>
    <n v="123.1"/>
    <x v="70"/>
    <n v="126"/>
    <n v="122.9"/>
    <x v="71"/>
    <x v="0"/>
    <x v="56"/>
    <x v="60"/>
    <x v="65"/>
    <x v="32"/>
    <x v="66"/>
    <x v="66"/>
    <x v="49"/>
    <n v="115.5"/>
    <n v="121.1"/>
  </r>
  <r>
    <x v="1"/>
    <x v="2"/>
    <x v="2"/>
    <x v="61"/>
    <x v="63"/>
    <x v="65"/>
    <x v="66"/>
    <x v="57"/>
    <x v="71"/>
    <x v="76"/>
    <x v="63"/>
    <x v="54"/>
    <x v="75"/>
    <x v="54"/>
    <x v="71"/>
    <n v="123.9"/>
    <x v="71"/>
    <n v="121.7"/>
    <n v="116.9"/>
    <x v="72"/>
    <x v="24"/>
    <x v="36"/>
    <x v="61"/>
    <x v="53"/>
    <x v="51"/>
    <x v="67"/>
    <x v="67"/>
    <x v="52"/>
    <n v="113.8"/>
    <n v="119.1"/>
  </r>
  <r>
    <x v="2"/>
    <x v="2"/>
    <x v="2"/>
    <x v="65"/>
    <x v="51"/>
    <x v="66"/>
    <x v="65"/>
    <x v="58"/>
    <x v="72"/>
    <x v="17"/>
    <x v="64"/>
    <x v="55"/>
    <x v="55"/>
    <x v="55"/>
    <x v="72"/>
    <n v="123.4"/>
    <x v="60"/>
    <n v="124.3"/>
    <n v="120.4"/>
    <x v="73"/>
    <x v="24"/>
    <x v="57"/>
    <x v="62"/>
    <x v="66"/>
    <x v="21"/>
    <x v="67"/>
    <x v="68"/>
    <x v="53"/>
    <n v="114.7"/>
    <n v="120.2"/>
  </r>
  <r>
    <x v="0"/>
    <x v="2"/>
    <x v="3"/>
    <x v="60"/>
    <x v="60"/>
    <x v="67"/>
    <x v="67"/>
    <x v="59"/>
    <x v="73"/>
    <x v="77"/>
    <x v="65"/>
    <x v="45"/>
    <x v="76"/>
    <x v="56"/>
    <x v="73"/>
    <n v="123.6"/>
    <x v="72"/>
    <n v="126.4"/>
    <n v="123.3"/>
    <x v="74"/>
    <x v="0"/>
    <x v="58"/>
    <x v="63"/>
    <x v="67"/>
    <x v="52"/>
    <x v="68"/>
    <x v="69"/>
    <x v="54"/>
    <n v="116"/>
    <n v="121.5"/>
  </r>
  <r>
    <x v="1"/>
    <x v="2"/>
    <x v="3"/>
    <x v="49"/>
    <x v="64"/>
    <x v="2"/>
    <x v="68"/>
    <x v="21"/>
    <x v="74"/>
    <x v="78"/>
    <x v="66"/>
    <x v="56"/>
    <x v="72"/>
    <x v="57"/>
    <x v="74"/>
    <n v="124.6"/>
    <x v="73"/>
    <n v="122.1"/>
    <n v="117.2"/>
    <x v="54"/>
    <x v="25"/>
    <x v="47"/>
    <x v="64"/>
    <x v="68"/>
    <x v="51"/>
    <x v="69"/>
    <x v="70"/>
    <x v="55"/>
    <n v="114.2"/>
    <n v="119.7"/>
  </r>
  <r>
    <x v="2"/>
    <x v="2"/>
    <x v="3"/>
    <x v="65"/>
    <x v="45"/>
    <x v="68"/>
    <x v="69"/>
    <x v="58"/>
    <x v="75"/>
    <x v="79"/>
    <x v="67"/>
    <x v="57"/>
    <x v="77"/>
    <x v="58"/>
    <x v="75"/>
    <n v="124"/>
    <x v="74"/>
    <n v="124.7"/>
    <n v="120.8"/>
    <x v="75"/>
    <x v="25"/>
    <x v="59"/>
    <x v="65"/>
    <x v="69"/>
    <x v="46"/>
    <x v="70"/>
    <x v="71"/>
    <x v="50"/>
    <n v="115.1"/>
    <n v="120.7"/>
  </r>
  <r>
    <x v="0"/>
    <x v="2"/>
    <x v="4"/>
    <x v="65"/>
    <x v="65"/>
    <x v="52"/>
    <x v="70"/>
    <x v="60"/>
    <x v="76"/>
    <x v="80"/>
    <x v="68"/>
    <x v="58"/>
    <x v="78"/>
    <x v="59"/>
    <x v="76"/>
    <n v="124.4"/>
    <x v="75"/>
    <n v="127.3"/>
    <n v="124.1"/>
    <x v="76"/>
    <x v="0"/>
    <x v="60"/>
    <x v="66"/>
    <x v="70"/>
    <x v="53"/>
    <x v="71"/>
    <x v="72"/>
    <x v="56"/>
    <n v="116.9"/>
    <n v="122.4"/>
  </r>
  <r>
    <x v="1"/>
    <x v="2"/>
    <x v="4"/>
    <x v="49"/>
    <x v="66"/>
    <x v="69"/>
    <x v="69"/>
    <x v="61"/>
    <x v="77"/>
    <x v="81"/>
    <x v="69"/>
    <x v="59"/>
    <x v="79"/>
    <x v="60"/>
    <x v="77"/>
    <n v="126.1"/>
    <x v="76"/>
    <n v="122.4"/>
    <n v="117.4"/>
    <x v="62"/>
    <x v="26"/>
    <x v="61"/>
    <x v="59"/>
    <x v="71"/>
    <x v="27"/>
    <x v="72"/>
    <x v="73"/>
    <x v="57"/>
    <n v="115.2"/>
    <n v="120.7"/>
  </r>
  <r>
    <x v="2"/>
    <x v="2"/>
    <x v="4"/>
    <x v="66"/>
    <x v="67"/>
    <x v="70"/>
    <x v="71"/>
    <x v="62"/>
    <x v="78"/>
    <x v="82"/>
    <x v="70"/>
    <x v="60"/>
    <x v="80"/>
    <x v="61"/>
    <x v="76"/>
    <n v="125"/>
    <x v="77"/>
    <n v="125.4"/>
    <n v="121.3"/>
    <x v="77"/>
    <x v="26"/>
    <x v="62"/>
    <x v="60"/>
    <x v="62"/>
    <x v="42"/>
    <x v="73"/>
    <x v="74"/>
    <x v="56"/>
    <n v="116.1"/>
    <n v="121.6"/>
  </r>
  <r>
    <x v="0"/>
    <x v="2"/>
    <x v="5"/>
    <x v="67"/>
    <x v="68"/>
    <x v="59"/>
    <x v="72"/>
    <x v="63"/>
    <x v="79"/>
    <x v="83"/>
    <x v="71"/>
    <x v="36"/>
    <x v="81"/>
    <x v="62"/>
    <x v="78"/>
    <n v="126.6"/>
    <x v="78"/>
    <n v="128.4"/>
    <n v="125.1"/>
    <x v="78"/>
    <x v="0"/>
    <x v="63"/>
    <x v="67"/>
    <x v="72"/>
    <x v="54"/>
    <x v="74"/>
    <x v="73"/>
    <x v="58"/>
    <n v="117.9"/>
    <n v="124.1"/>
  </r>
  <r>
    <x v="1"/>
    <x v="2"/>
    <x v="5"/>
    <x v="66"/>
    <x v="69"/>
    <x v="71"/>
    <x v="71"/>
    <x v="64"/>
    <x v="80"/>
    <x v="84"/>
    <x v="72"/>
    <x v="61"/>
    <x v="82"/>
    <x v="52"/>
    <x v="79"/>
    <n v="128.5"/>
    <x v="79"/>
    <n v="123.2"/>
    <n v="117.6"/>
    <x v="57"/>
    <x v="27"/>
    <x v="64"/>
    <x v="62"/>
    <x v="73"/>
    <x v="55"/>
    <x v="68"/>
    <x v="75"/>
    <x v="59"/>
    <n v="116"/>
    <n v="121.7"/>
  </r>
  <r>
    <x v="2"/>
    <x v="2"/>
    <x v="5"/>
    <x v="68"/>
    <x v="70"/>
    <x v="72"/>
    <x v="73"/>
    <x v="65"/>
    <x v="81"/>
    <x v="85"/>
    <x v="73"/>
    <x v="62"/>
    <x v="83"/>
    <x v="63"/>
    <x v="80"/>
    <n v="127.3"/>
    <x v="80"/>
    <n v="126.4"/>
    <n v="122"/>
    <x v="79"/>
    <x v="27"/>
    <x v="65"/>
    <x v="68"/>
    <x v="74"/>
    <x v="56"/>
    <x v="75"/>
    <x v="76"/>
    <x v="60"/>
    <n v="117"/>
    <n v="123"/>
  </r>
  <r>
    <x v="0"/>
    <x v="2"/>
    <x v="6"/>
    <x v="61"/>
    <x v="71"/>
    <x v="73"/>
    <x v="72"/>
    <x v="66"/>
    <x v="82"/>
    <x v="86"/>
    <x v="74"/>
    <x v="62"/>
    <x v="80"/>
    <x v="64"/>
    <x v="81"/>
    <n v="127.5"/>
    <x v="81"/>
    <n v="128.80000000000001"/>
    <n v="125.5"/>
    <x v="80"/>
    <x v="0"/>
    <x v="66"/>
    <x v="69"/>
    <x v="75"/>
    <x v="57"/>
    <x v="76"/>
    <x v="77"/>
    <x v="61"/>
    <n v="118.1"/>
    <n v="124.7"/>
  </r>
  <r>
    <x v="1"/>
    <x v="2"/>
    <x v="6"/>
    <x v="58"/>
    <x v="72"/>
    <x v="62"/>
    <x v="70"/>
    <x v="67"/>
    <x v="81"/>
    <x v="87"/>
    <x v="75"/>
    <x v="63"/>
    <x v="84"/>
    <x v="65"/>
    <x v="82"/>
    <n v="129.5"/>
    <x v="82"/>
    <n v="123.5"/>
    <n v="117.9"/>
    <x v="81"/>
    <x v="28"/>
    <x v="38"/>
    <x v="70"/>
    <x v="76"/>
    <x v="35"/>
    <x v="77"/>
    <x v="78"/>
    <x v="50"/>
    <n v="116.3"/>
    <n v="122.4"/>
  </r>
  <r>
    <x v="2"/>
    <x v="2"/>
    <x v="6"/>
    <x v="64"/>
    <x v="73"/>
    <x v="41"/>
    <x v="74"/>
    <x v="68"/>
    <x v="83"/>
    <x v="88"/>
    <x v="76"/>
    <x v="64"/>
    <x v="85"/>
    <x v="66"/>
    <x v="83"/>
    <n v="128.19999999999999"/>
    <x v="83"/>
    <n v="126.7"/>
    <n v="122.3"/>
    <x v="82"/>
    <x v="28"/>
    <x v="67"/>
    <x v="71"/>
    <x v="77"/>
    <x v="58"/>
    <x v="78"/>
    <x v="79"/>
    <x v="56"/>
    <n v="117.2"/>
    <n v="123.6"/>
  </r>
  <r>
    <x v="0"/>
    <x v="2"/>
    <x v="7"/>
    <x v="69"/>
    <x v="74"/>
    <x v="74"/>
    <x v="75"/>
    <x v="69"/>
    <x v="73"/>
    <x v="89"/>
    <x v="77"/>
    <x v="65"/>
    <x v="86"/>
    <x v="67"/>
    <x v="84"/>
    <n v="129.80000000000001"/>
    <x v="73"/>
    <n v="129.5"/>
    <n v="126.3"/>
    <x v="83"/>
    <x v="0"/>
    <x v="68"/>
    <x v="72"/>
    <x v="78"/>
    <x v="59"/>
    <x v="79"/>
    <x v="80"/>
    <x v="59"/>
    <n v="118.2"/>
    <n v="126.1"/>
  </r>
  <r>
    <x v="1"/>
    <x v="2"/>
    <x v="7"/>
    <x v="46"/>
    <x v="75"/>
    <x v="42"/>
    <x v="76"/>
    <x v="28"/>
    <x v="84"/>
    <x v="90"/>
    <x v="78"/>
    <x v="66"/>
    <x v="87"/>
    <x v="51"/>
    <x v="81"/>
    <n v="131.1"/>
    <x v="84"/>
    <n v="123.7"/>
    <n v="118.2"/>
    <x v="60"/>
    <x v="29"/>
    <x v="38"/>
    <x v="73"/>
    <x v="60"/>
    <x v="21"/>
    <x v="78"/>
    <x v="81"/>
    <x v="62"/>
    <n v="116.2"/>
    <n v="123.2"/>
  </r>
  <r>
    <x v="2"/>
    <x v="2"/>
    <x v="7"/>
    <x v="54"/>
    <x v="76"/>
    <x v="75"/>
    <x v="77"/>
    <x v="70"/>
    <x v="80"/>
    <x v="91"/>
    <x v="79"/>
    <x v="67"/>
    <x v="88"/>
    <x v="68"/>
    <x v="85"/>
    <n v="130.30000000000001"/>
    <x v="85"/>
    <n v="127.2"/>
    <n v="122.9"/>
    <x v="84"/>
    <x v="29"/>
    <x v="56"/>
    <x v="74"/>
    <x v="70"/>
    <x v="55"/>
    <x v="80"/>
    <x v="82"/>
    <x v="56"/>
    <n v="117.2"/>
    <n v="124.8"/>
  </r>
  <r>
    <x v="0"/>
    <x v="2"/>
    <x v="8"/>
    <x v="70"/>
    <x v="77"/>
    <x v="39"/>
    <x v="78"/>
    <x v="71"/>
    <x v="80"/>
    <x v="92"/>
    <x v="80"/>
    <x v="68"/>
    <x v="66"/>
    <x v="69"/>
    <x v="86"/>
    <n v="131"/>
    <x v="86"/>
    <n v="130.4"/>
    <n v="126.8"/>
    <x v="85"/>
    <x v="0"/>
    <x v="69"/>
    <x v="75"/>
    <x v="79"/>
    <x v="60"/>
    <x v="81"/>
    <x v="83"/>
    <x v="63"/>
    <n v="118.8"/>
    <n v="127"/>
  </r>
  <r>
    <x v="1"/>
    <x v="2"/>
    <x v="8"/>
    <x v="62"/>
    <x v="78"/>
    <x v="76"/>
    <x v="74"/>
    <x v="72"/>
    <x v="85"/>
    <x v="93"/>
    <x v="81"/>
    <x v="69"/>
    <x v="89"/>
    <x v="70"/>
    <x v="87"/>
    <n v="131.5"/>
    <x v="87"/>
    <n v="124"/>
    <n v="118.6"/>
    <x v="86"/>
    <x v="30"/>
    <x v="64"/>
    <x v="76"/>
    <x v="69"/>
    <x v="61"/>
    <x v="82"/>
    <x v="84"/>
    <x v="64"/>
    <n v="116.2"/>
    <n v="123.5"/>
  </r>
  <r>
    <x v="2"/>
    <x v="2"/>
    <x v="8"/>
    <x v="57"/>
    <x v="68"/>
    <x v="29"/>
    <x v="79"/>
    <x v="59"/>
    <x v="86"/>
    <x v="94"/>
    <x v="82"/>
    <x v="70"/>
    <x v="90"/>
    <x v="71"/>
    <x v="84"/>
    <n v="131.19999999999999"/>
    <x v="88"/>
    <n v="127.9"/>
    <n v="123.4"/>
    <x v="87"/>
    <x v="30"/>
    <x v="70"/>
    <x v="77"/>
    <x v="80"/>
    <x v="29"/>
    <x v="83"/>
    <x v="85"/>
    <x v="65"/>
    <n v="117.5"/>
    <n v="125.4"/>
  </r>
  <r>
    <x v="0"/>
    <x v="2"/>
    <x v="9"/>
    <x v="71"/>
    <x v="68"/>
    <x v="77"/>
    <x v="80"/>
    <x v="73"/>
    <x v="79"/>
    <x v="53"/>
    <x v="83"/>
    <x v="71"/>
    <x v="69"/>
    <x v="72"/>
    <x v="88"/>
    <n v="131.80000000000001"/>
    <x v="89"/>
    <n v="131.1"/>
    <n v="127.3"/>
    <x v="88"/>
    <x v="0"/>
    <x v="71"/>
    <x v="78"/>
    <x v="81"/>
    <x v="60"/>
    <x v="84"/>
    <x v="82"/>
    <x v="66"/>
    <n v="119.2"/>
    <n v="127.7"/>
  </r>
  <r>
    <x v="1"/>
    <x v="2"/>
    <x v="9"/>
    <x v="66"/>
    <x v="79"/>
    <x v="44"/>
    <x v="77"/>
    <x v="31"/>
    <x v="87"/>
    <x v="95"/>
    <x v="84"/>
    <x v="72"/>
    <x v="91"/>
    <x v="56"/>
    <x v="89"/>
    <n v="132.6"/>
    <x v="90"/>
    <n v="124.4"/>
    <n v="118.8"/>
    <x v="89"/>
    <x v="31"/>
    <x v="61"/>
    <x v="79"/>
    <x v="62"/>
    <x v="19"/>
    <x v="85"/>
    <x v="84"/>
    <x v="67"/>
    <n v="116.5"/>
    <n v="124.2"/>
  </r>
  <r>
    <x v="2"/>
    <x v="2"/>
    <x v="9"/>
    <x v="72"/>
    <x v="80"/>
    <x v="64"/>
    <x v="81"/>
    <x v="74"/>
    <x v="88"/>
    <x v="96"/>
    <x v="85"/>
    <x v="73"/>
    <x v="92"/>
    <x v="62"/>
    <x v="90"/>
    <n v="132.1"/>
    <x v="91"/>
    <n v="128.5"/>
    <n v="123.8"/>
    <x v="90"/>
    <x v="31"/>
    <x v="72"/>
    <x v="69"/>
    <x v="72"/>
    <x v="33"/>
    <x v="86"/>
    <x v="86"/>
    <x v="68"/>
    <n v="117.9"/>
    <n v="126.1"/>
  </r>
  <r>
    <x v="0"/>
    <x v="2"/>
    <x v="11"/>
    <x v="73"/>
    <x v="81"/>
    <x v="78"/>
    <x v="82"/>
    <x v="75"/>
    <x v="89"/>
    <x v="97"/>
    <x v="86"/>
    <x v="74"/>
    <x v="93"/>
    <x v="73"/>
    <x v="91"/>
    <n v="132.4"/>
    <x v="92"/>
    <n v="132.1"/>
    <n v="128.19999999999999"/>
    <x v="91"/>
    <x v="0"/>
    <x v="73"/>
    <x v="80"/>
    <x v="82"/>
    <x v="62"/>
    <x v="87"/>
    <x v="87"/>
    <x v="66"/>
    <n v="119.6"/>
    <n v="128.30000000000001"/>
  </r>
  <r>
    <x v="1"/>
    <x v="2"/>
    <x v="11"/>
    <x v="61"/>
    <x v="80"/>
    <x v="40"/>
    <x v="83"/>
    <x v="76"/>
    <x v="90"/>
    <x v="98"/>
    <x v="87"/>
    <x v="59"/>
    <x v="94"/>
    <x v="63"/>
    <x v="92"/>
    <n v="133.30000000000001"/>
    <x v="93"/>
    <n v="125"/>
    <n v="119.3"/>
    <x v="92"/>
    <x v="32"/>
    <x v="64"/>
    <x v="81"/>
    <x v="83"/>
    <x v="19"/>
    <x v="74"/>
    <x v="88"/>
    <x v="69"/>
    <n v="116.6"/>
    <n v="124.6"/>
  </r>
  <r>
    <x v="2"/>
    <x v="2"/>
    <x v="11"/>
    <x v="74"/>
    <x v="82"/>
    <x v="72"/>
    <x v="78"/>
    <x v="77"/>
    <x v="91"/>
    <x v="99"/>
    <x v="88"/>
    <x v="75"/>
    <x v="95"/>
    <x v="74"/>
    <x v="93"/>
    <n v="132.69999999999999"/>
    <x v="94"/>
    <n v="129.30000000000001"/>
    <n v="124.5"/>
    <x v="93"/>
    <x v="32"/>
    <x v="74"/>
    <x v="82"/>
    <x v="84"/>
    <x v="35"/>
    <x v="88"/>
    <x v="89"/>
    <x v="70"/>
    <n v="118.1"/>
    <n v="126.6"/>
  </r>
  <r>
    <x v="0"/>
    <x v="2"/>
    <x v="12"/>
    <x v="75"/>
    <x v="74"/>
    <x v="79"/>
    <x v="84"/>
    <x v="78"/>
    <x v="92"/>
    <x v="100"/>
    <x v="89"/>
    <x v="33"/>
    <x v="96"/>
    <x v="75"/>
    <x v="94"/>
    <n v="131.4"/>
    <x v="82"/>
    <n v="132.5"/>
    <n v="128.5"/>
    <x v="94"/>
    <x v="0"/>
    <x v="75"/>
    <x v="83"/>
    <x v="85"/>
    <x v="62"/>
    <x v="89"/>
    <x v="90"/>
    <x v="71"/>
    <n v="119.8"/>
    <n v="127.9"/>
  </r>
  <r>
    <x v="1"/>
    <x v="2"/>
    <x v="12"/>
    <x v="63"/>
    <x v="75"/>
    <x v="80"/>
    <x v="83"/>
    <x v="76"/>
    <x v="93"/>
    <x v="101"/>
    <x v="90"/>
    <x v="76"/>
    <x v="97"/>
    <x v="59"/>
    <x v="91"/>
    <n v="131.5"/>
    <x v="95"/>
    <n v="125.4"/>
    <n v="119.5"/>
    <x v="95"/>
    <x v="31"/>
    <x v="76"/>
    <x v="81"/>
    <x v="67"/>
    <x v="19"/>
    <x v="90"/>
    <x v="88"/>
    <x v="72"/>
    <n v="116.7"/>
    <n v="124"/>
  </r>
  <r>
    <x v="2"/>
    <x v="2"/>
    <x v="12"/>
    <x v="76"/>
    <x v="76"/>
    <x v="81"/>
    <x v="80"/>
    <x v="79"/>
    <x v="94"/>
    <x v="84"/>
    <x v="91"/>
    <x v="74"/>
    <x v="98"/>
    <x v="76"/>
    <x v="95"/>
    <n v="131.4"/>
    <x v="96"/>
    <n v="129.69999999999999"/>
    <n v="124.8"/>
    <x v="83"/>
    <x v="31"/>
    <x v="77"/>
    <x v="84"/>
    <x v="79"/>
    <x v="35"/>
    <x v="81"/>
    <x v="81"/>
    <x v="63"/>
    <n v="118.3"/>
    <n v="126.1"/>
  </r>
  <r>
    <x v="0"/>
    <x v="3"/>
    <x v="0"/>
    <x v="77"/>
    <x v="83"/>
    <x v="82"/>
    <x v="85"/>
    <x v="80"/>
    <x v="92"/>
    <x v="102"/>
    <x v="92"/>
    <x v="77"/>
    <x v="99"/>
    <x v="77"/>
    <x v="96"/>
    <n v="131.4"/>
    <x v="94"/>
    <n v="133.19999999999999"/>
    <n v="128.9"/>
    <x v="96"/>
    <x v="0"/>
    <x v="78"/>
    <x v="85"/>
    <x v="86"/>
    <x v="59"/>
    <x v="91"/>
    <x v="81"/>
    <x v="73"/>
    <n v="120.1"/>
    <n v="128.1"/>
  </r>
  <r>
    <x v="1"/>
    <x v="3"/>
    <x v="0"/>
    <x v="69"/>
    <x v="84"/>
    <x v="83"/>
    <x v="78"/>
    <x v="38"/>
    <x v="95"/>
    <x v="103"/>
    <x v="93"/>
    <x v="78"/>
    <x v="100"/>
    <x v="78"/>
    <x v="95"/>
    <n v="131.19999999999999"/>
    <x v="97"/>
    <n v="125.8"/>
    <n v="119.8"/>
    <x v="97"/>
    <x v="33"/>
    <x v="79"/>
    <x v="86"/>
    <x v="87"/>
    <x v="63"/>
    <x v="79"/>
    <x v="91"/>
    <x v="74"/>
    <n v="116.8"/>
    <n v="124.2"/>
  </r>
  <r>
    <x v="2"/>
    <x v="3"/>
    <x v="0"/>
    <x v="73"/>
    <x v="85"/>
    <x v="84"/>
    <x v="86"/>
    <x v="81"/>
    <x v="62"/>
    <x v="104"/>
    <x v="94"/>
    <x v="79"/>
    <x v="101"/>
    <x v="79"/>
    <x v="97"/>
    <n v="131.30000000000001"/>
    <x v="98"/>
    <n v="130.30000000000001"/>
    <n v="125.1"/>
    <x v="98"/>
    <x v="33"/>
    <x v="80"/>
    <x v="87"/>
    <x v="81"/>
    <x v="30"/>
    <x v="92"/>
    <x v="89"/>
    <x v="75"/>
    <n v="118.5"/>
    <n v="126.3"/>
  </r>
  <r>
    <x v="0"/>
    <x v="3"/>
    <x v="1"/>
    <x v="78"/>
    <x v="86"/>
    <x v="85"/>
    <x v="87"/>
    <x v="82"/>
    <x v="65"/>
    <x v="82"/>
    <x v="95"/>
    <x v="80"/>
    <x v="102"/>
    <x v="80"/>
    <x v="98"/>
    <n v="130.30000000000001"/>
    <x v="99"/>
    <n v="133.9"/>
    <n v="129.80000000000001"/>
    <x v="99"/>
    <x v="0"/>
    <x v="81"/>
    <x v="88"/>
    <x v="88"/>
    <x v="64"/>
    <x v="93"/>
    <x v="92"/>
    <x v="76"/>
    <n v="120.9"/>
    <n v="127.9"/>
  </r>
  <r>
    <x v="1"/>
    <x v="3"/>
    <x v="1"/>
    <x v="52"/>
    <x v="87"/>
    <x v="86"/>
    <x v="88"/>
    <x v="83"/>
    <x v="96"/>
    <x v="17"/>
    <x v="96"/>
    <x v="81"/>
    <x v="103"/>
    <x v="81"/>
    <x v="99"/>
    <n v="129.1"/>
    <x v="100"/>
    <n v="126.2"/>
    <n v="120.1"/>
    <x v="100"/>
    <x v="34"/>
    <x v="76"/>
    <x v="89"/>
    <x v="89"/>
    <x v="61"/>
    <x v="94"/>
    <x v="89"/>
    <x v="77"/>
    <n v="117.2"/>
    <n v="123.8"/>
  </r>
  <r>
    <x v="2"/>
    <x v="3"/>
    <x v="1"/>
    <x v="79"/>
    <x v="88"/>
    <x v="87"/>
    <x v="85"/>
    <x v="84"/>
    <x v="97"/>
    <x v="105"/>
    <x v="97"/>
    <x v="82"/>
    <x v="104"/>
    <x v="82"/>
    <x v="100"/>
    <n v="129.9"/>
    <x v="101"/>
    <n v="130.9"/>
    <n v="125.8"/>
    <x v="101"/>
    <x v="34"/>
    <x v="82"/>
    <x v="90"/>
    <x v="90"/>
    <x v="33"/>
    <x v="95"/>
    <x v="88"/>
    <x v="78"/>
    <n v="119.1"/>
    <n v="126"/>
  </r>
  <r>
    <x v="0"/>
    <x v="3"/>
    <x v="2"/>
    <x v="80"/>
    <x v="69"/>
    <x v="88"/>
    <x v="89"/>
    <x v="78"/>
    <x v="98"/>
    <x v="106"/>
    <x v="98"/>
    <x v="83"/>
    <x v="105"/>
    <x v="83"/>
    <x v="101"/>
    <n v="130.4"/>
    <x v="102"/>
    <n v="134.4"/>
    <n v="130.19999999999999"/>
    <x v="102"/>
    <x v="0"/>
    <x v="83"/>
    <x v="91"/>
    <x v="91"/>
    <x v="59"/>
    <x v="96"/>
    <x v="93"/>
    <x v="79"/>
    <n v="121.1"/>
    <n v="128"/>
  </r>
  <r>
    <x v="1"/>
    <x v="3"/>
    <x v="2"/>
    <x v="52"/>
    <x v="89"/>
    <x v="89"/>
    <x v="90"/>
    <x v="44"/>
    <x v="99"/>
    <x v="107"/>
    <x v="99"/>
    <x v="30"/>
    <x v="106"/>
    <x v="71"/>
    <x v="102"/>
    <n v="128.9"/>
    <x v="103"/>
    <n v="126.4"/>
    <n v="120.3"/>
    <x v="71"/>
    <x v="35"/>
    <x v="84"/>
    <x v="92"/>
    <x v="92"/>
    <x v="65"/>
    <x v="97"/>
    <x v="91"/>
    <x v="80"/>
    <n v="117.3"/>
    <n v="123.8"/>
  </r>
  <r>
    <x v="2"/>
    <x v="3"/>
    <x v="2"/>
    <x v="81"/>
    <x v="87"/>
    <x v="90"/>
    <x v="91"/>
    <x v="85"/>
    <x v="67"/>
    <x v="108"/>
    <x v="100"/>
    <x v="84"/>
    <x v="107"/>
    <x v="73"/>
    <x v="103"/>
    <n v="129.80000000000001"/>
    <x v="104"/>
    <n v="131.30000000000001"/>
    <n v="126.1"/>
    <x v="103"/>
    <x v="35"/>
    <x v="85"/>
    <x v="78"/>
    <x v="93"/>
    <x v="49"/>
    <x v="98"/>
    <x v="94"/>
    <x v="81"/>
    <n v="119.3"/>
    <n v="126"/>
  </r>
  <r>
    <x v="0"/>
    <x v="3"/>
    <x v="3"/>
    <x v="82"/>
    <x v="90"/>
    <x v="91"/>
    <x v="92"/>
    <x v="86"/>
    <x v="100"/>
    <x v="109"/>
    <x v="101"/>
    <x v="5"/>
    <x v="108"/>
    <x v="84"/>
    <x v="104"/>
    <n v="131.80000000000001"/>
    <x v="105"/>
    <n v="135"/>
    <n v="130.6"/>
    <x v="104"/>
    <x v="0"/>
    <x v="83"/>
    <x v="93"/>
    <x v="94"/>
    <x v="66"/>
    <x v="99"/>
    <x v="95"/>
    <x v="82"/>
    <n v="121.7"/>
    <n v="129"/>
  </r>
  <r>
    <x v="1"/>
    <x v="3"/>
    <x v="3"/>
    <x v="83"/>
    <x v="91"/>
    <x v="55"/>
    <x v="91"/>
    <x v="26"/>
    <x v="53"/>
    <x v="110"/>
    <x v="102"/>
    <x v="85"/>
    <x v="109"/>
    <x v="62"/>
    <x v="96"/>
    <n v="131.80000000000001"/>
    <x v="106"/>
    <n v="126.8"/>
    <n v="120.5"/>
    <x v="105"/>
    <x v="36"/>
    <x v="86"/>
    <x v="67"/>
    <x v="95"/>
    <x v="67"/>
    <x v="100"/>
    <x v="96"/>
    <x v="83"/>
    <n v="118.2"/>
    <n v="125.3"/>
  </r>
  <r>
    <x v="2"/>
    <x v="3"/>
    <x v="3"/>
    <x v="84"/>
    <x v="92"/>
    <x v="73"/>
    <x v="93"/>
    <x v="84"/>
    <x v="101"/>
    <x v="111"/>
    <x v="103"/>
    <x v="86"/>
    <x v="89"/>
    <x v="85"/>
    <x v="105"/>
    <n v="131.80000000000001"/>
    <x v="107"/>
    <n v="131.80000000000001"/>
    <n v="126.4"/>
    <x v="106"/>
    <x v="36"/>
    <x v="87"/>
    <x v="94"/>
    <x v="96"/>
    <x v="68"/>
    <x v="101"/>
    <x v="97"/>
    <x v="84"/>
    <n v="120"/>
    <n v="127.3"/>
  </r>
  <r>
    <x v="0"/>
    <x v="3"/>
    <x v="4"/>
    <x v="85"/>
    <x v="93"/>
    <x v="92"/>
    <x v="94"/>
    <x v="86"/>
    <x v="100"/>
    <x v="112"/>
    <x v="104"/>
    <x v="87"/>
    <x v="110"/>
    <x v="86"/>
    <x v="106"/>
    <n v="133.6"/>
    <x v="108"/>
    <n v="135.4"/>
    <n v="131.1"/>
    <x v="107"/>
    <x v="0"/>
    <x v="88"/>
    <x v="95"/>
    <x v="97"/>
    <x v="69"/>
    <x v="102"/>
    <x v="98"/>
    <x v="85"/>
    <n v="122.5"/>
    <n v="130.30000000000001"/>
  </r>
  <r>
    <x v="1"/>
    <x v="3"/>
    <x v="4"/>
    <x v="72"/>
    <x v="94"/>
    <x v="93"/>
    <x v="95"/>
    <x v="87"/>
    <x v="102"/>
    <x v="113"/>
    <x v="105"/>
    <x v="88"/>
    <x v="111"/>
    <x v="67"/>
    <x v="103"/>
    <n v="134.6"/>
    <x v="109"/>
    <n v="127.2"/>
    <n v="120.7"/>
    <x v="108"/>
    <x v="37"/>
    <x v="89"/>
    <x v="96"/>
    <x v="98"/>
    <x v="28"/>
    <x v="92"/>
    <x v="99"/>
    <x v="86"/>
    <n v="118.7"/>
    <n v="126.6"/>
  </r>
  <r>
    <x v="2"/>
    <x v="3"/>
    <x v="4"/>
    <x v="77"/>
    <x v="95"/>
    <x v="94"/>
    <x v="96"/>
    <x v="88"/>
    <x v="103"/>
    <x v="88"/>
    <x v="106"/>
    <x v="89"/>
    <x v="112"/>
    <x v="87"/>
    <x v="104"/>
    <n v="134"/>
    <x v="110"/>
    <n v="132.19999999999999"/>
    <n v="126.8"/>
    <x v="109"/>
    <x v="37"/>
    <x v="80"/>
    <x v="83"/>
    <x v="86"/>
    <x v="41"/>
    <x v="103"/>
    <x v="100"/>
    <x v="87"/>
    <n v="120.7"/>
    <n v="128.6"/>
  </r>
  <r>
    <x v="0"/>
    <x v="3"/>
    <x v="5"/>
    <x v="86"/>
    <x v="96"/>
    <x v="60"/>
    <x v="97"/>
    <x v="89"/>
    <x v="104"/>
    <x v="114"/>
    <x v="107"/>
    <x v="90"/>
    <x v="113"/>
    <x v="88"/>
    <x v="107"/>
    <n v="136"/>
    <x v="111"/>
    <n v="136.30000000000001"/>
    <n v="131.6"/>
    <x v="110"/>
    <x v="0"/>
    <x v="90"/>
    <x v="97"/>
    <x v="99"/>
    <x v="70"/>
    <x v="104"/>
    <x v="101"/>
    <x v="88"/>
    <n v="123.3"/>
    <n v="131.9"/>
  </r>
  <r>
    <x v="1"/>
    <x v="3"/>
    <x v="5"/>
    <x v="87"/>
    <x v="97"/>
    <x v="95"/>
    <x v="98"/>
    <x v="49"/>
    <x v="105"/>
    <x v="115"/>
    <x v="108"/>
    <x v="91"/>
    <x v="114"/>
    <x v="89"/>
    <x v="108"/>
    <n v="138.19999999999999"/>
    <x v="112"/>
    <n v="127.6"/>
    <n v="121.1"/>
    <x v="84"/>
    <x v="38"/>
    <x v="49"/>
    <x v="96"/>
    <x v="100"/>
    <x v="71"/>
    <x v="105"/>
    <x v="102"/>
    <x v="89"/>
    <n v="119.6"/>
    <n v="128.1"/>
  </r>
  <r>
    <x v="2"/>
    <x v="3"/>
    <x v="5"/>
    <x v="88"/>
    <x v="98"/>
    <x v="96"/>
    <x v="99"/>
    <x v="81"/>
    <x v="106"/>
    <x v="116"/>
    <x v="109"/>
    <x v="92"/>
    <x v="115"/>
    <x v="90"/>
    <x v="109"/>
    <n v="136.80000000000001"/>
    <x v="113"/>
    <n v="132.9"/>
    <n v="127.2"/>
    <x v="111"/>
    <x v="38"/>
    <x v="91"/>
    <x v="98"/>
    <x v="101"/>
    <x v="54"/>
    <x v="106"/>
    <x v="103"/>
    <x v="90"/>
    <n v="121.5"/>
    <n v="130.1"/>
  </r>
  <r>
    <x v="0"/>
    <x v="3"/>
    <x v="6"/>
    <x v="89"/>
    <x v="99"/>
    <x v="97"/>
    <x v="100"/>
    <x v="90"/>
    <x v="107"/>
    <x v="117"/>
    <x v="110"/>
    <x v="93"/>
    <x v="116"/>
    <x v="91"/>
    <x v="110"/>
    <n v="137.6"/>
    <x v="114"/>
    <n v="137.19999999999999"/>
    <n v="132.19999999999999"/>
    <x v="112"/>
    <x v="0"/>
    <x v="92"/>
    <x v="99"/>
    <x v="102"/>
    <x v="72"/>
    <x v="107"/>
    <x v="104"/>
    <x v="91"/>
    <n v="123.8"/>
    <n v="133"/>
  </r>
  <r>
    <x v="1"/>
    <x v="3"/>
    <x v="6"/>
    <x v="77"/>
    <x v="100"/>
    <x v="98"/>
    <x v="101"/>
    <x v="52"/>
    <x v="108"/>
    <x v="118"/>
    <x v="111"/>
    <x v="94"/>
    <x v="117"/>
    <x v="74"/>
    <x v="111"/>
    <n v="139.80000000000001"/>
    <x v="115"/>
    <n v="127.9"/>
    <n v="121.1"/>
    <x v="113"/>
    <x v="39"/>
    <x v="49"/>
    <x v="100"/>
    <x v="84"/>
    <x v="55"/>
    <x v="95"/>
    <x v="104"/>
    <x v="92"/>
    <n v="119.9"/>
    <n v="129"/>
  </r>
  <r>
    <x v="2"/>
    <x v="3"/>
    <x v="6"/>
    <x v="90"/>
    <x v="101"/>
    <x v="99"/>
    <x v="102"/>
    <x v="91"/>
    <x v="109"/>
    <x v="119"/>
    <x v="112"/>
    <x v="95"/>
    <x v="118"/>
    <x v="92"/>
    <x v="112"/>
    <n v="138.4"/>
    <x v="116"/>
    <n v="133.5"/>
    <n v="127.6"/>
    <x v="114"/>
    <x v="39"/>
    <x v="93"/>
    <x v="101"/>
    <x v="103"/>
    <x v="64"/>
    <x v="108"/>
    <x v="104"/>
    <x v="93"/>
    <n v="121.9"/>
    <n v="131.1"/>
  </r>
  <r>
    <x v="0"/>
    <x v="3"/>
    <x v="7"/>
    <x v="91"/>
    <x v="102"/>
    <x v="86"/>
    <x v="103"/>
    <x v="92"/>
    <x v="110"/>
    <x v="120"/>
    <x v="113"/>
    <x v="96"/>
    <x v="119"/>
    <x v="93"/>
    <x v="113"/>
    <n v="138"/>
    <x v="117"/>
    <n v="137.80000000000001"/>
    <n v="133"/>
    <x v="115"/>
    <x v="0"/>
    <x v="94"/>
    <x v="102"/>
    <x v="104"/>
    <x v="73"/>
    <x v="109"/>
    <x v="105"/>
    <x v="94"/>
    <n v="124.2"/>
    <n v="133.5"/>
  </r>
  <r>
    <x v="1"/>
    <x v="3"/>
    <x v="7"/>
    <x v="85"/>
    <x v="103"/>
    <x v="100"/>
    <x v="104"/>
    <x v="56"/>
    <x v="111"/>
    <x v="121"/>
    <x v="114"/>
    <x v="97"/>
    <x v="120"/>
    <x v="69"/>
    <x v="109"/>
    <n v="137.6"/>
    <x v="118"/>
    <n v="128.30000000000001"/>
    <n v="121.4"/>
    <x v="116"/>
    <x v="40"/>
    <x v="47"/>
    <x v="103"/>
    <x v="105"/>
    <x v="20"/>
    <x v="98"/>
    <x v="106"/>
    <x v="91"/>
    <n v="119.9"/>
    <n v="128.4"/>
  </r>
  <r>
    <x v="2"/>
    <x v="3"/>
    <x v="7"/>
    <x v="89"/>
    <x v="91"/>
    <x v="101"/>
    <x v="105"/>
    <x v="93"/>
    <x v="100"/>
    <x v="122"/>
    <x v="115"/>
    <x v="98"/>
    <x v="121"/>
    <x v="94"/>
    <x v="114"/>
    <n v="137.9"/>
    <x v="119"/>
    <n v="134.1"/>
    <n v="128.19999999999999"/>
    <x v="117"/>
    <x v="40"/>
    <x v="95"/>
    <x v="104"/>
    <x v="91"/>
    <x v="39"/>
    <x v="110"/>
    <x v="107"/>
    <x v="95"/>
    <n v="122.1"/>
    <n v="131.1"/>
  </r>
  <r>
    <x v="0"/>
    <x v="3"/>
    <x v="8"/>
    <x v="92"/>
    <x v="104"/>
    <x v="102"/>
    <x v="106"/>
    <x v="94"/>
    <x v="112"/>
    <x v="123"/>
    <x v="116"/>
    <x v="99"/>
    <x v="91"/>
    <x v="95"/>
    <x v="115"/>
    <n v="137.19999999999999"/>
    <x v="120"/>
    <n v="138.5"/>
    <n v="133.5"/>
    <x v="118"/>
    <x v="0"/>
    <x v="96"/>
    <x v="105"/>
    <x v="106"/>
    <x v="74"/>
    <x v="111"/>
    <x v="108"/>
    <x v="96"/>
    <n v="124.9"/>
    <n v="133.4"/>
  </r>
  <r>
    <x v="1"/>
    <x v="3"/>
    <x v="8"/>
    <x v="93"/>
    <x v="105"/>
    <x v="103"/>
    <x v="99"/>
    <x v="59"/>
    <x v="75"/>
    <x v="124"/>
    <x v="117"/>
    <x v="100"/>
    <x v="122"/>
    <x v="96"/>
    <x v="112"/>
    <n v="135.69999999999999"/>
    <x v="121"/>
    <n v="128.69999999999999"/>
    <n v="121.6"/>
    <x v="119"/>
    <x v="41"/>
    <x v="84"/>
    <x v="106"/>
    <x v="79"/>
    <x v="36"/>
    <x v="112"/>
    <x v="109"/>
    <x v="97"/>
    <n v="120.5"/>
    <n v="128"/>
  </r>
  <r>
    <x v="2"/>
    <x v="3"/>
    <x v="8"/>
    <x v="94"/>
    <x v="106"/>
    <x v="102"/>
    <x v="107"/>
    <x v="95"/>
    <x v="113"/>
    <x v="125"/>
    <x v="91"/>
    <x v="101"/>
    <x v="123"/>
    <x v="97"/>
    <x v="116"/>
    <n v="136.6"/>
    <x v="122"/>
    <n v="134.6"/>
    <n v="128.6"/>
    <x v="102"/>
    <x v="41"/>
    <x v="97"/>
    <x v="107"/>
    <x v="107"/>
    <x v="75"/>
    <x v="113"/>
    <x v="110"/>
    <x v="98"/>
    <n v="122.8"/>
    <n v="130.9"/>
  </r>
  <r>
    <x v="0"/>
    <x v="3"/>
    <x v="9"/>
    <x v="95"/>
    <x v="107"/>
    <x v="104"/>
    <x v="108"/>
    <x v="96"/>
    <x v="114"/>
    <x v="126"/>
    <x v="118"/>
    <x v="102"/>
    <x v="115"/>
    <x v="98"/>
    <x v="117"/>
    <n v="137.4"/>
    <x v="123"/>
    <n v="139.6"/>
    <n v="134.30000000000001"/>
    <x v="120"/>
    <x v="0"/>
    <x v="98"/>
    <x v="108"/>
    <x v="108"/>
    <x v="76"/>
    <x v="114"/>
    <x v="111"/>
    <x v="99"/>
    <n v="125.7"/>
    <n v="133.80000000000001"/>
  </r>
  <r>
    <x v="1"/>
    <x v="3"/>
    <x v="9"/>
    <x v="96"/>
    <x v="108"/>
    <x v="86"/>
    <x v="109"/>
    <x v="60"/>
    <x v="65"/>
    <x v="127"/>
    <x v="119"/>
    <x v="103"/>
    <x v="124"/>
    <x v="99"/>
    <x v="118"/>
    <n v="136.30000000000001"/>
    <x v="124"/>
    <n v="129.1"/>
    <n v="121.9"/>
    <x v="78"/>
    <x v="42"/>
    <x v="99"/>
    <x v="75"/>
    <x v="109"/>
    <x v="41"/>
    <x v="115"/>
    <x v="105"/>
    <x v="100"/>
    <n v="120.9"/>
    <n v="128.6"/>
  </r>
  <r>
    <x v="2"/>
    <x v="3"/>
    <x v="9"/>
    <x v="97"/>
    <x v="109"/>
    <x v="105"/>
    <x v="110"/>
    <x v="75"/>
    <x v="115"/>
    <x v="128"/>
    <x v="120"/>
    <x v="104"/>
    <x v="125"/>
    <x v="86"/>
    <x v="119"/>
    <n v="137"/>
    <x v="125"/>
    <n v="135.5"/>
    <n v="129.1"/>
    <x v="121"/>
    <x v="42"/>
    <x v="100"/>
    <x v="109"/>
    <x v="110"/>
    <x v="77"/>
    <x v="116"/>
    <x v="112"/>
    <x v="98"/>
    <n v="123.4"/>
    <n v="131.4"/>
  </r>
  <r>
    <x v="0"/>
    <x v="3"/>
    <x v="11"/>
    <x v="98"/>
    <x v="110"/>
    <x v="103"/>
    <x v="111"/>
    <x v="97"/>
    <x v="116"/>
    <x v="112"/>
    <x v="121"/>
    <x v="102"/>
    <x v="126"/>
    <x v="98"/>
    <x v="120"/>
    <n v="136.6"/>
    <x v="126"/>
    <n v="139.9"/>
    <n v="134.5"/>
    <x v="122"/>
    <x v="0"/>
    <x v="101"/>
    <x v="110"/>
    <x v="111"/>
    <x v="78"/>
    <x v="117"/>
    <x v="113"/>
    <x v="101"/>
    <n v="126.1"/>
    <n v="133.6"/>
  </r>
  <r>
    <x v="1"/>
    <x v="3"/>
    <x v="11"/>
    <x v="99"/>
    <x v="111"/>
    <x v="106"/>
    <x v="112"/>
    <x v="98"/>
    <x v="77"/>
    <x v="129"/>
    <x v="122"/>
    <x v="105"/>
    <x v="127"/>
    <x v="79"/>
    <x v="121"/>
    <n v="135.19999999999999"/>
    <x v="124"/>
    <n v="129.6"/>
    <n v="122.1"/>
    <x v="123"/>
    <x v="43"/>
    <x v="102"/>
    <x v="111"/>
    <x v="112"/>
    <x v="79"/>
    <x v="106"/>
    <x v="114"/>
    <x v="102"/>
    <n v="121.3"/>
    <n v="128.5"/>
  </r>
  <r>
    <x v="2"/>
    <x v="3"/>
    <x v="11"/>
    <x v="100"/>
    <x v="112"/>
    <x v="83"/>
    <x v="113"/>
    <x v="99"/>
    <x v="76"/>
    <x v="130"/>
    <x v="106"/>
    <x v="104"/>
    <x v="103"/>
    <x v="100"/>
    <x v="122"/>
    <n v="136.1"/>
    <x v="127"/>
    <n v="135.80000000000001"/>
    <n v="129.30000000000001"/>
    <x v="124"/>
    <x v="43"/>
    <x v="103"/>
    <x v="112"/>
    <x v="113"/>
    <x v="80"/>
    <x v="118"/>
    <x v="115"/>
    <x v="103"/>
    <n v="123.8"/>
    <n v="131.19999999999999"/>
  </r>
  <r>
    <x v="0"/>
    <x v="3"/>
    <x v="12"/>
    <x v="101"/>
    <x v="113"/>
    <x v="101"/>
    <x v="114"/>
    <x v="100"/>
    <x v="117"/>
    <x v="77"/>
    <x v="123"/>
    <x v="101"/>
    <x v="118"/>
    <x v="101"/>
    <x v="123"/>
    <n v="134.69999999999999"/>
    <x v="128"/>
    <n v="140.4"/>
    <n v="135.19999999999999"/>
    <x v="125"/>
    <x v="0"/>
    <x v="104"/>
    <x v="113"/>
    <x v="114"/>
    <x v="81"/>
    <x v="119"/>
    <x v="116"/>
    <x v="104"/>
    <n v="126.3"/>
    <n v="132.80000000000001"/>
  </r>
  <r>
    <x v="1"/>
    <x v="3"/>
    <x v="12"/>
    <x v="102"/>
    <x v="104"/>
    <x v="107"/>
    <x v="115"/>
    <x v="66"/>
    <x v="118"/>
    <x v="131"/>
    <x v="99"/>
    <x v="106"/>
    <x v="128"/>
    <x v="73"/>
    <x v="124"/>
    <n v="132.80000000000001"/>
    <x v="129"/>
    <n v="130"/>
    <n v="122.2"/>
    <x v="126"/>
    <x v="44"/>
    <x v="105"/>
    <x v="114"/>
    <x v="115"/>
    <x v="82"/>
    <x v="120"/>
    <x v="117"/>
    <x v="88"/>
    <n v="121.4"/>
    <n v="127.6"/>
  </r>
  <r>
    <x v="2"/>
    <x v="3"/>
    <x v="12"/>
    <x v="103"/>
    <x v="107"/>
    <x v="108"/>
    <x v="116"/>
    <x v="89"/>
    <x v="52"/>
    <x v="132"/>
    <x v="124"/>
    <x v="107"/>
    <x v="129"/>
    <x v="102"/>
    <x v="125"/>
    <n v="134"/>
    <x v="130"/>
    <n v="136.30000000000001"/>
    <n v="129.80000000000001"/>
    <x v="127"/>
    <x v="44"/>
    <x v="106"/>
    <x v="115"/>
    <x v="116"/>
    <x v="73"/>
    <x v="121"/>
    <x v="118"/>
    <x v="105"/>
    <n v="123.9"/>
    <n v="130.4"/>
  </r>
  <r>
    <x v="0"/>
    <x v="4"/>
    <x v="0"/>
    <x v="104"/>
    <x v="112"/>
    <x v="109"/>
    <x v="117"/>
    <x v="101"/>
    <x v="103"/>
    <x v="133"/>
    <x v="125"/>
    <x v="108"/>
    <x v="130"/>
    <x v="103"/>
    <x v="126"/>
    <n v="133.69999999999999"/>
    <x v="130"/>
    <n v="140.69999999999999"/>
    <n v="135.80000000000001"/>
    <x v="128"/>
    <x v="0"/>
    <x v="107"/>
    <x v="116"/>
    <x v="117"/>
    <x v="83"/>
    <x v="122"/>
    <x v="119"/>
    <x v="106"/>
    <n v="126.6"/>
    <n v="132.4"/>
  </r>
  <r>
    <x v="1"/>
    <x v="4"/>
    <x v="0"/>
    <x v="105"/>
    <x v="114"/>
    <x v="110"/>
    <x v="115"/>
    <x v="69"/>
    <x v="119"/>
    <x v="134"/>
    <x v="126"/>
    <x v="109"/>
    <x v="131"/>
    <x v="104"/>
    <x v="127"/>
    <n v="132"/>
    <x v="131"/>
    <n v="130.19999999999999"/>
    <n v="122.3"/>
    <x v="83"/>
    <x v="45"/>
    <x v="108"/>
    <x v="78"/>
    <x v="82"/>
    <x v="77"/>
    <x v="123"/>
    <x v="112"/>
    <x v="91"/>
    <n v="122.1"/>
    <n v="127.8"/>
  </r>
  <r>
    <x v="2"/>
    <x v="4"/>
    <x v="0"/>
    <x v="106"/>
    <x v="104"/>
    <x v="111"/>
    <x v="118"/>
    <x v="102"/>
    <x v="120"/>
    <x v="135"/>
    <x v="127"/>
    <x v="105"/>
    <x v="132"/>
    <x v="102"/>
    <x v="128"/>
    <n v="133.1"/>
    <x v="132"/>
    <n v="136.6"/>
    <n v="130.19999999999999"/>
    <x v="110"/>
    <x v="45"/>
    <x v="109"/>
    <x v="117"/>
    <x v="118"/>
    <x v="74"/>
    <x v="121"/>
    <x v="120"/>
    <x v="107"/>
    <n v="124.4"/>
    <n v="130.30000000000001"/>
  </r>
  <r>
    <x v="0"/>
    <x v="4"/>
    <x v="1"/>
    <x v="107"/>
    <x v="115"/>
    <x v="112"/>
    <x v="119"/>
    <x v="103"/>
    <x v="121"/>
    <x v="136"/>
    <x v="128"/>
    <x v="110"/>
    <x v="133"/>
    <x v="105"/>
    <x v="129"/>
    <n v="133.6"/>
    <x v="133"/>
    <n v="140.9"/>
    <n v="135.80000000000001"/>
    <x v="129"/>
    <x v="0"/>
    <x v="110"/>
    <x v="118"/>
    <x v="119"/>
    <x v="84"/>
    <x v="124"/>
    <x v="121"/>
    <x v="108"/>
    <n v="127"/>
    <n v="132.6"/>
  </r>
  <r>
    <x v="1"/>
    <x v="4"/>
    <x v="1"/>
    <x v="106"/>
    <x v="116"/>
    <x v="112"/>
    <x v="102"/>
    <x v="104"/>
    <x v="122"/>
    <x v="137"/>
    <x v="129"/>
    <x v="111"/>
    <x v="134"/>
    <x v="106"/>
    <x v="130"/>
    <n v="132.1"/>
    <x v="134"/>
    <n v="130.5"/>
    <n v="122.5"/>
    <x v="130"/>
    <x v="46"/>
    <x v="62"/>
    <x v="119"/>
    <x v="93"/>
    <x v="85"/>
    <x v="125"/>
    <x v="112"/>
    <x v="107"/>
    <n v="122.4"/>
    <n v="128.19999999999999"/>
  </r>
  <r>
    <x v="2"/>
    <x v="4"/>
    <x v="1"/>
    <x v="104"/>
    <x v="102"/>
    <x v="112"/>
    <x v="120"/>
    <x v="105"/>
    <x v="123"/>
    <x v="138"/>
    <x v="130"/>
    <x v="109"/>
    <x v="135"/>
    <x v="107"/>
    <x v="131"/>
    <n v="133"/>
    <x v="135"/>
    <n v="136.80000000000001"/>
    <n v="130.30000000000001"/>
    <x v="131"/>
    <x v="46"/>
    <x v="111"/>
    <x v="120"/>
    <x v="120"/>
    <x v="86"/>
    <x v="126"/>
    <x v="122"/>
    <x v="103"/>
    <n v="124.8"/>
    <n v="130.6"/>
  </r>
  <r>
    <x v="0"/>
    <x v="4"/>
    <x v="2"/>
    <x v="108"/>
    <x v="102"/>
    <x v="113"/>
    <x v="119"/>
    <x v="100"/>
    <x v="124"/>
    <x v="139"/>
    <x v="131"/>
    <x v="112"/>
    <x v="136"/>
    <x v="108"/>
    <x v="132"/>
    <n v="133.4"/>
    <x v="136"/>
    <n v="141.6"/>
    <n v="136.19999999999999"/>
    <x v="132"/>
    <x v="0"/>
    <x v="112"/>
    <x v="121"/>
    <x v="121"/>
    <x v="87"/>
    <x v="127"/>
    <x v="123"/>
    <x v="109"/>
    <n v="127.4"/>
    <n v="132.80000000000001"/>
  </r>
  <r>
    <x v="1"/>
    <x v="4"/>
    <x v="2"/>
    <x v="109"/>
    <x v="117"/>
    <x v="114"/>
    <x v="121"/>
    <x v="69"/>
    <x v="125"/>
    <x v="36"/>
    <x v="132"/>
    <x v="113"/>
    <x v="137"/>
    <x v="85"/>
    <x v="117"/>
    <n v="132.6"/>
    <x v="137"/>
    <n v="130.80000000000001"/>
    <n v="122.8"/>
    <x v="133"/>
    <x v="47"/>
    <x v="72"/>
    <x v="80"/>
    <x v="85"/>
    <x v="88"/>
    <x v="108"/>
    <x v="115"/>
    <x v="107"/>
    <n v="122.6"/>
    <n v="128.69999999999999"/>
  </r>
  <r>
    <x v="2"/>
    <x v="4"/>
    <x v="2"/>
    <x v="107"/>
    <x v="118"/>
    <x v="84"/>
    <x v="114"/>
    <x v="106"/>
    <x v="126"/>
    <x v="43"/>
    <x v="133"/>
    <x v="114"/>
    <x v="138"/>
    <x v="109"/>
    <x v="133"/>
    <n v="133.1"/>
    <x v="138"/>
    <n v="137.30000000000001"/>
    <n v="130.6"/>
    <x v="134"/>
    <x v="47"/>
    <x v="94"/>
    <x v="122"/>
    <x v="106"/>
    <x v="89"/>
    <x v="128"/>
    <x v="124"/>
    <x v="103"/>
    <n v="125.1"/>
    <n v="130.9"/>
  </r>
  <r>
    <x v="0"/>
    <x v="4"/>
    <x v="3"/>
    <x v="110"/>
    <x v="119"/>
    <x v="80"/>
    <x v="122"/>
    <x v="107"/>
    <x v="127"/>
    <x v="140"/>
    <x v="134"/>
    <x v="115"/>
    <x v="139"/>
    <x v="110"/>
    <x v="134"/>
    <n v="133.5"/>
    <x v="135"/>
    <n v="142.4"/>
    <n v="136.80000000000001"/>
    <x v="135"/>
    <x v="0"/>
    <x v="113"/>
    <x v="123"/>
    <x v="122"/>
    <x v="90"/>
    <x v="127"/>
    <x v="125"/>
    <x v="110"/>
    <n v="127.5"/>
    <n v="132.9"/>
  </r>
  <r>
    <x v="1"/>
    <x v="4"/>
    <x v="3"/>
    <x v="109"/>
    <x v="120"/>
    <x v="37"/>
    <x v="114"/>
    <x v="66"/>
    <x v="128"/>
    <x v="141"/>
    <x v="74"/>
    <x v="116"/>
    <x v="140"/>
    <x v="111"/>
    <x v="135"/>
    <n v="133.4"/>
    <x v="139"/>
    <n v="131.19999999999999"/>
    <n v="123"/>
    <x v="136"/>
    <x v="48"/>
    <x v="114"/>
    <x v="83"/>
    <x v="123"/>
    <x v="75"/>
    <x v="129"/>
    <x v="126"/>
    <x v="111"/>
    <n v="122.5"/>
    <n v="129.1"/>
  </r>
  <r>
    <x v="2"/>
    <x v="4"/>
    <x v="3"/>
    <x v="111"/>
    <x v="117"/>
    <x v="115"/>
    <x v="119"/>
    <x v="108"/>
    <x v="129"/>
    <x v="142"/>
    <x v="135"/>
    <x v="117"/>
    <x v="141"/>
    <x v="112"/>
    <x v="136"/>
    <n v="133.5"/>
    <x v="140"/>
    <n v="138"/>
    <n v="131.1"/>
    <x v="137"/>
    <x v="48"/>
    <x v="98"/>
    <x v="124"/>
    <x v="124"/>
    <x v="91"/>
    <x v="130"/>
    <x v="127"/>
    <x v="112"/>
    <n v="125.1"/>
    <n v="131.1"/>
  </r>
  <r>
    <x v="0"/>
    <x v="4"/>
    <x v="4"/>
    <x v="104"/>
    <x v="103"/>
    <x v="116"/>
    <x v="123"/>
    <x v="96"/>
    <x v="110"/>
    <x v="143"/>
    <x v="136"/>
    <x v="118"/>
    <x v="142"/>
    <x v="113"/>
    <x v="137"/>
    <n v="133.80000000000001"/>
    <x v="141"/>
    <n v="142.5"/>
    <n v="137.30000000000001"/>
    <x v="138"/>
    <x v="0"/>
    <x v="113"/>
    <x v="125"/>
    <x v="125"/>
    <x v="92"/>
    <x v="131"/>
    <x v="128"/>
    <x v="110"/>
    <n v="127.9"/>
    <n v="133.30000000000001"/>
  </r>
  <r>
    <x v="1"/>
    <x v="4"/>
    <x v="4"/>
    <x v="101"/>
    <x v="121"/>
    <x v="117"/>
    <x v="124"/>
    <x v="109"/>
    <x v="130"/>
    <x v="17"/>
    <x v="137"/>
    <x v="119"/>
    <x v="143"/>
    <x v="111"/>
    <x v="138"/>
    <n v="133.6"/>
    <x v="142"/>
    <n v="131.5"/>
    <n v="123.2"/>
    <x v="101"/>
    <x v="49"/>
    <x v="67"/>
    <x v="126"/>
    <x v="126"/>
    <x v="75"/>
    <x v="132"/>
    <x v="124"/>
    <x v="94"/>
    <n v="122.6"/>
    <n v="129.30000000000001"/>
  </r>
  <r>
    <x v="2"/>
    <x v="4"/>
    <x v="4"/>
    <x v="112"/>
    <x v="122"/>
    <x v="58"/>
    <x v="122"/>
    <x v="110"/>
    <x v="131"/>
    <x v="144"/>
    <x v="138"/>
    <x v="120"/>
    <x v="133"/>
    <x v="114"/>
    <x v="139"/>
    <n v="133.69999999999999"/>
    <x v="143"/>
    <n v="138.19999999999999"/>
    <n v="131.4"/>
    <x v="139"/>
    <x v="49"/>
    <x v="115"/>
    <x v="127"/>
    <x v="127"/>
    <x v="93"/>
    <x v="111"/>
    <x v="129"/>
    <x v="99"/>
    <n v="125.3"/>
    <n v="131.4"/>
  </r>
  <r>
    <x v="0"/>
    <x v="4"/>
    <x v="5"/>
    <x v="113"/>
    <x v="123"/>
    <x v="118"/>
    <x v="125"/>
    <x v="111"/>
    <x v="132"/>
    <x v="145"/>
    <x v="139"/>
    <x v="121"/>
    <x v="144"/>
    <x v="115"/>
    <x v="140"/>
    <n v="134.9"/>
    <x v="144"/>
    <n v="143.1"/>
    <n v="137.69999999999999"/>
    <x v="140"/>
    <x v="0"/>
    <x v="116"/>
    <x v="128"/>
    <x v="128"/>
    <x v="92"/>
    <x v="133"/>
    <x v="130"/>
    <x v="113"/>
    <n v="128.1"/>
    <n v="133.9"/>
  </r>
  <r>
    <x v="1"/>
    <x v="4"/>
    <x v="5"/>
    <x v="112"/>
    <x v="124"/>
    <x v="96"/>
    <x v="126"/>
    <x v="66"/>
    <x v="133"/>
    <x v="146"/>
    <x v="140"/>
    <x v="122"/>
    <x v="123"/>
    <x v="87"/>
    <x v="120"/>
    <n v="135.69999999999999"/>
    <x v="145"/>
    <n v="131.5"/>
    <n v="123.2"/>
    <x v="101"/>
    <x v="50"/>
    <x v="117"/>
    <x v="129"/>
    <x v="129"/>
    <x v="64"/>
    <x v="113"/>
    <x v="131"/>
    <x v="114"/>
    <n v="122.7"/>
    <n v="129.9"/>
  </r>
  <r>
    <x v="2"/>
    <x v="4"/>
    <x v="5"/>
    <x v="107"/>
    <x v="125"/>
    <x v="119"/>
    <x v="127"/>
    <x v="86"/>
    <x v="112"/>
    <x v="147"/>
    <x v="141"/>
    <x v="123"/>
    <x v="112"/>
    <x v="116"/>
    <x v="141"/>
    <n v="135.19999999999999"/>
    <x v="146"/>
    <n v="138.5"/>
    <n v="131.69999999999999"/>
    <x v="141"/>
    <x v="50"/>
    <x v="118"/>
    <x v="130"/>
    <x v="130"/>
    <x v="94"/>
    <x v="134"/>
    <x v="132"/>
    <x v="115"/>
    <n v="125.5"/>
    <n v="132"/>
  </r>
  <r>
    <x v="0"/>
    <x v="4"/>
    <x v="6"/>
    <x v="114"/>
    <x v="100"/>
    <x v="120"/>
    <x v="128"/>
    <x v="111"/>
    <x v="134"/>
    <x v="148"/>
    <x v="142"/>
    <x v="124"/>
    <x v="107"/>
    <x v="117"/>
    <x v="142"/>
    <n v="138.5"/>
    <x v="147"/>
    <n v="144.30000000000001"/>
    <n v="138.1"/>
    <x v="142"/>
    <x v="0"/>
    <x v="119"/>
    <x v="131"/>
    <x v="131"/>
    <x v="83"/>
    <x v="135"/>
    <x v="133"/>
    <x v="116"/>
    <n v="128.6"/>
    <n v="136.19999999999999"/>
  </r>
  <r>
    <x v="1"/>
    <x v="4"/>
    <x v="6"/>
    <x v="106"/>
    <x v="126"/>
    <x v="121"/>
    <x v="122"/>
    <x v="109"/>
    <x v="135"/>
    <x v="149"/>
    <x v="143"/>
    <x v="125"/>
    <x v="145"/>
    <x v="90"/>
    <x v="143"/>
    <n v="139.80000000000001"/>
    <x v="148"/>
    <n v="131.6"/>
    <n v="123.7"/>
    <x v="143"/>
    <x v="51"/>
    <x v="120"/>
    <x v="132"/>
    <x v="132"/>
    <x v="37"/>
    <x v="116"/>
    <x v="134"/>
    <x v="117"/>
    <n v="123"/>
    <n v="131.80000000000001"/>
  </r>
  <r>
    <x v="2"/>
    <x v="4"/>
    <x v="6"/>
    <x v="108"/>
    <x v="127"/>
    <x v="97"/>
    <x v="129"/>
    <x v="110"/>
    <x v="127"/>
    <x v="150"/>
    <x v="144"/>
    <x v="126"/>
    <x v="146"/>
    <x v="118"/>
    <x v="137"/>
    <n v="139"/>
    <x v="149"/>
    <n v="139.30000000000001"/>
    <n v="132.1"/>
    <x v="144"/>
    <x v="51"/>
    <x v="115"/>
    <x v="133"/>
    <x v="133"/>
    <x v="73"/>
    <x v="136"/>
    <x v="135"/>
    <x v="118"/>
    <n v="125.9"/>
    <n v="134.19999999999999"/>
  </r>
  <r>
    <x v="0"/>
    <x v="4"/>
    <x v="7"/>
    <x v="115"/>
    <x v="128"/>
    <x v="122"/>
    <x v="130"/>
    <x v="112"/>
    <x v="136"/>
    <x v="151"/>
    <x v="73"/>
    <x v="116"/>
    <x v="147"/>
    <x v="119"/>
    <x v="144"/>
    <n v="140.6"/>
    <x v="150"/>
    <n v="145.30000000000001"/>
    <n v="139.19999999999999"/>
    <x v="145"/>
    <x v="0"/>
    <x v="121"/>
    <x v="134"/>
    <x v="134"/>
    <x v="95"/>
    <x v="137"/>
    <x v="136"/>
    <x v="119"/>
    <n v="129.69999999999999"/>
    <n v="137.80000000000001"/>
  </r>
  <r>
    <x v="1"/>
    <x v="4"/>
    <x v="7"/>
    <x v="110"/>
    <x v="97"/>
    <x v="96"/>
    <x v="131"/>
    <x v="63"/>
    <x v="137"/>
    <x v="152"/>
    <x v="145"/>
    <x v="127"/>
    <x v="118"/>
    <x v="120"/>
    <x v="139"/>
    <n v="140.5"/>
    <x v="151"/>
    <n v="132.69999999999999"/>
    <n v="124.3"/>
    <x v="109"/>
    <x v="52"/>
    <x v="122"/>
    <x v="91"/>
    <x v="135"/>
    <x v="96"/>
    <x v="104"/>
    <x v="125"/>
    <x v="109"/>
    <n v="123.8"/>
    <n v="132.69999999999999"/>
  </r>
  <r>
    <x v="2"/>
    <x v="4"/>
    <x v="7"/>
    <x v="116"/>
    <x v="129"/>
    <x v="112"/>
    <x v="128"/>
    <x v="110"/>
    <x v="138"/>
    <x v="58"/>
    <x v="146"/>
    <x v="128"/>
    <x v="136"/>
    <x v="98"/>
    <x v="145"/>
    <n v="140.6"/>
    <x v="152"/>
    <n v="140.30000000000001"/>
    <n v="133"/>
    <x v="146"/>
    <x v="52"/>
    <x v="98"/>
    <x v="135"/>
    <x v="136"/>
    <x v="97"/>
    <x v="119"/>
    <x v="137"/>
    <x v="120"/>
    <n v="126.8"/>
    <n v="135.4"/>
  </r>
  <r>
    <x v="0"/>
    <x v="4"/>
    <x v="8"/>
    <x v="117"/>
    <x v="130"/>
    <x v="102"/>
    <x v="132"/>
    <x v="113"/>
    <x v="139"/>
    <x v="153"/>
    <x v="147"/>
    <x v="119"/>
    <x v="147"/>
    <x v="121"/>
    <x v="146"/>
    <n v="139.6"/>
    <x v="152"/>
    <n v="146.1"/>
    <n v="139.69999999999999"/>
    <x v="147"/>
    <x v="0"/>
    <x v="123"/>
    <x v="136"/>
    <x v="137"/>
    <x v="98"/>
    <x v="138"/>
    <x v="138"/>
    <x v="121"/>
    <n v="130.30000000000001"/>
    <n v="137.6"/>
  </r>
  <r>
    <x v="1"/>
    <x v="4"/>
    <x v="8"/>
    <x v="108"/>
    <x v="131"/>
    <x v="123"/>
    <x v="133"/>
    <x v="85"/>
    <x v="140"/>
    <x v="154"/>
    <x v="148"/>
    <x v="129"/>
    <x v="148"/>
    <x v="80"/>
    <x v="147"/>
    <n v="138"/>
    <x v="153"/>
    <n v="133.30000000000001"/>
    <n v="124.6"/>
    <x v="111"/>
    <x v="53"/>
    <x v="56"/>
    <x v="137"/>
    <x v="110"/>
    <x v="80"/>
    <x v="139"/>
    <x v="139"/>
    <x v="116"/>
    <n v="124.5"/>
    <n v="132.4"/>
  </r>
  <r>
    <x v="2"/>
    <x v="4"/>
    <x v="8"/>
    <x v="118"/>
    <x v="132"/>
    <x v="105"/>
    <x v="134"/>
    <x v="108"/>
    <x v="141"/>
    <x v="155"/>
    <x v="149"/>
    <x v="125"/>
    <x v="136"/>
    <x v="95"/>
    <x v="148"/>
    <n v="139"/>
    <x v="154"/>
    <n v="141.1"/>
    <n v="133.4"/>
    <x v="128"/>
    <x v="53"/>
    <x v="124"/>
    <x v="138"/>
    <x v="121"/>
    <x v="99"/>
    <x v="140"/>
    <x v="140"/>
    <x v="122"/>
    <n v="127.5"/>
    <n v="135.19999999999999"/>
  </r>
  <r>
    <x v="0"/>
    <x v="4"/>
    <x v="9"/>
    <x v="119"/>
    <x v="133"/>
    <x v="124"/>
    <x v="135"/>
    <x v="114"/>
    <x v="142"/>
    <x v="156"/>
    <x v="150"/>
    <x v="130"/>
    <x v="136"/>
    <x v="122"/>
    <x v="149"/>
    <n v="140.4"/>
    <x v="148"/>
    <n v="147.19999999999999"/>
    <n v="140.6"/>
    <x v="148"/>
    <x v="0"/>
    <x v="125"/>
    <x v="139"/>
    <x v="138"/>
    <x v="100"/>
    <x v="141"/>
    <x v="141"/>
    <x v="123"/>
    <n v="130.69999999999999"/>
    <n v="138.30000000000001"/>
  </r>
  <r>
    <x v="1"/>
    <x v="4"/>
    <x v="9"/>
    <x v="120"/>
    <x v="134"/>
    <x v="125"/>
    <x v="136"/>
    <x v="77"/>
    <x v="117"/>
    <x v="157"/>
    <x v="151"/>
    <x v="131"/>
    <x v="145"/>
    <x v="123"/>
    <x v="134"/>
    <n v="139.69999999999999"/>
    <x v="155"/>
    <n v="134"/>
    <n v="124.9"/>
    <x v="96"/>
    <x v="54"/>
    <x v="63"/>
    <x v="140"/>
    <x v="139"/>
    <x v="101"/>
    <x v="142"/>
    <x v="128"/>
    <x v="124"/>
    <n v="124.5"/>
    <n v="133.5"/>
  </r>
  <r>
    <x v="2"/>
    <x v="4"/>
    <x v="9"/>
    <x v="121"/>
    <x v="135"/>
    <x v="126"/>
    <x v="137"/>
    <x v="115"/>
    <x v="143"/>
    <x v="158"/>
    <x v="152"/>
    <x v="132"/>
    <x v="115"/>
    <x v="98"/>
    <x v="150"/>
    <n v="140.1"/>
    <x v="156"/>
    <n v="142"/>
    <n v="134.1"/>
    <x v="132"/>
    <x v="54"/>
    <x v="126"/>
    <x v="118"/>
    <x v="128"/>
    <x v="76"/>
    <x v="143"/>
    <x v="142"/>
    <x v="125"/>
    <n v="127.7"/>
    <n v="136.1"/>
  </r>
  <r>
    <x v="0"/>
    <x v="4"/>
    <x v="11"/>
    <x v="122"/>
    <x v="136"/>
    <x v="127"/>
    <x v="135"/>
    <x v="100"/>
    <x v="144"/>
    <x v="159"/>
    <x v="132"/>
    <x v="133"/>
    <x v="133"/>
    <x v="124"/>
    <x v="151"/>
    <n v="142.4"/>
    <x v="151"/>
    <n v="148.19999999999999"/>
    <n v="141.5"/>
    <x v="149"/>
    <x v="0"/>
    <x v="127"/>
    <x v="141"/>
    <x v="140"/>
    <x v="102"/>
    <x v="144"/>
    <x v="143"/>
    <x v="126"/>
    <n v="131.69999999999999"/>
    <n v="140"/>
  </r>
  <r>
    <x v="1"/>
    <x v="4"/>
    <x v="11"/>
    <x v="116"/>
    <x v="94"/>
    <x v="128"/>
    <x v="138"/>
    <x v="116"/>
    <x v="145"/>
    <x v="160"/>
    <x v="153"/>
    <x v="134"/>
    <x v="149"/>
    <x v="84"/>
    <x v="152"/>
    <n v="141.5"/>
    <x v="157"/>
    <n v="135"/>
    <n v="125.4"/>
    <x v="150"/>
    <x v="55"/>
    <x v="75"/>
    <x v="142"/>
    <x v="120"/>
    <x v="103"/>
    <x v="130"/>
    <x v="144"/>
    <x v="127"/>
    <n v="124.9"/>
    <n v="134.80000000000001"/>
  </r>
  <r>
    <x v="2"/>
    <x v="4"/>
    <x v="11"/>
    <x v="123"/>
    <x v="132"/>
    <x v="129"/>
    <x v="139"/>
    <x v="105"/>
    <x v="146"/>
    <x v="161"/>
    <x v="154"/>
    <x v="135"/>
    <x v="126"/>
    <x v="125"/>
    <x v="153"/>
    <n v="142.1"/>
    <x v="158"/>
    <n v="143"/>
    <n v="134.80000000000001"/>
    <x v="138"/>
    <x v="55"/>
    <x v="119"/>
    <x v="143"/>
    <x v="141"/>
    <x v="99"/>
    <x v="145"/>
    <x v="133"/>
    <x v="128"/>
    <n v="128.4"/>
    <n v="137.6"/>
  </r>
  <r>
    <x v="0"/>
    <x v="4"/>
    <x v="12"/>
    <x v="124"/>
    <x v="123"/>
    <x v="130"/>
    <x v="140"/>
    <x v="117"/>
    <x v="147"/>
    <x v="162"/>
    <x v="74"/>
    <x v="136"/>
    <x v="91"/>
    <x v="126"/>
    <x v="151"/>
    <n v="141.5"/>
    <x v="158"/>
    <n v="148"/>
    <n v="141.9"/>
    <x v="151"/>
    <x v="0"/>
    <x v="128"/>
    <x v="144"/>
    <x v="142"/>
    <x v="104"/>
    <x v="146"/>
    <x v="145"/>
    <x v="129"/>
    <n v="131.9"/>
    <n v="139.80000000000001"/>
  </r>
  <r>
    <x v="1"/>
    <x v="4"/>
    <x v="12"/>
    <x v="125"/>
    <x v="137"/>
    <x v="131"/>
    <x v="138"/>
    <x v="118"/>
    <x v="148"/>
    <x v="163"/>
    <x v="155"/>
    <x v="137"/>
    <x v="103"/>
    <x v="127"/>
    <x v="154"/>
    <n v="138.80000000000001"/>
    <x v="159"/>
    <n v="135.6"/>
    <n v="125.6"/>
    <x v="152"/>
    <x v="56"/>
    <x v="109"/>
    <x v="97"/>
    <x v="143"/>
    <x v="103"/>
    <x v="147"/>
    <x v="146"/>
    <x v="124"/>
    <n v="125.1"/>
    <n v="134.1"/>
  </r>
  <r>
    <x v="2"/>
    <x v="4"/>
    <x v="12"/>
    <x v="126"/>
    <x v="138"/>
    <x v="132"/>
    <x v="141"/>
    <x v="112"/>
    <x v="143"/>
    <x v="164"/>
    <x v="156"/>
    <x v="125"/>
    <x v="94"/>
    <x v="95"/>
    <x v="155"/>
    <n v="140.5"/>
    <x v="160"/>
    <n v="143.1"/>
    <n v="135.1"/>
    <x v="153"/>
    <x v="56"/>
    <x v="129"/>
    <x v="145"/>
    <x v="144"/>
    <x v="105"/>
    <x v="148"/>
    <x v="147"/>
    <x v="130"/>
    <n v="128.6"/>
    <n v="137.19999999999999"/>
  </r>
  <r>
    <x v="0"/>
    <x v="5"/>
    <x v="0"/>
    <x v="127"/>
    <x v="139"/>
    <x v="133"/>
    <x v="142"/>
    <x v="119"/>
    <x v="149"/>
    <x v="165"/>
    <x v="157"/>
    <x v="111"/>
    <x v="133"/>
    <x v="128"/>
    <x v="156"/>
    <n v="140.4"/>
    <x v="153"/>
    <n v="148.30000000000001"/>
    <n v="142.30000000000001"/>
    <x v="154"/>
    <x v="0"/>
    <x v="130"/>
    <x v="146"/>
    <x v="145"/>
    <x v="106"/>
    <x v="149"/>
    <x v="148"/>
    <x v="131"/>
    <n v="132.30000000000001"/>
    <n v="139.30000000000001"/>
  </r>
  <r>
    <x v="1"/>
    <x v="5"/>
    <x v="0"/>
    <x v="128"/>
    <x v="123"/>
    <x v="134"/>
    <x v="134"/>
    <x v="91"/>
    <x v="150"/>
    <x v="166"/>
    <x v="158"/>
    <x v="109"/>
    <x v="150"/>
    <x v="129"/>
    <x v="145"/>
    <n v="137.19999999999999"/>
    <x v="161"/>
    <n v="136"/>
    <n v="125.9"/>
    <x v="104"/>
    <x v="57"/>
    <x v="131"/>
    <x v="147"/>
    <x v="146"/>
    <x v="70"/>
    <x v="150"/>
    <x v="149"/>
    <x v="132"/>
    <n v="125.8"/>
    <n v="134.1"/>
  </r>
  <r>
    <x v="2"/>
    <x v="5"/>
    <x v="0"/>
    <x v="129"/>
    <x v="100"/>
    <x v="135"/>
    <x v="143"/>
    <x v="113"/>
    <x v="151"/>
    <x v="167"/>
    <x v="159"/>
    <x v="138"/>
    <x v="118"/>
    <x v="103"/>
    <x v="157"/>
    <n v="139.19999999999999"/>
    <x v="162"/>
    <n v="143.5"/>
    <n v="135.5"/>
    <x v="140"/>
    <x v="57"/>
    <x v="129"/>
    <x v="125"/>
    <x v="147"/>
    <x v="107"/>
    <x v="151"/>
    <x v="150"/>
    <x v="133"/>
    <n v="129.1"/>
    <n v="136.9"/>
  </r>
  <r>
    <x v="0"/>
    <x v="5"/>
    <x v="1"/>
    <x v="124"/>
    <x v="123"/>
    <x v="136"/>
    <x v="135"/>
    <x v="120"/>
    <x v="152"/>
    <x v="168"/>
    <x v="160"/>
    <x v="139"/>
    <x v="136"/>
    <x v="130"/>
    <x v="158"/>
    <n v="138.69999999999999"/>
    <x v="163"/>
    <n v="148.69999999999999"/>
    <n v="142.4"/>
    <x v="155"/>
    <x v="0"/>
    <x v="132"/>
    <x v="148"/>
    <x v="148"/>
    <x v="108"/>
    <x v="149"/>
    <x v="143"/>
    <x v="134"/>
    <n v="132.5"/>
    <n v="138.5"/>
  </r>
  <r>
    <x v="1"/>
    <x v="5"/>
    <x v="1"/>
    <x v="115"/>
    <x v="131"/>
    <x v="137"/>
    <x v="144"/>
    <x v="121"/>
    <x v="105"/>
    <x v="169"/>
    <x v="161"/>
    <x v="103"/>
    <x v="151"/>
    <x v="129"/>
    <x v="159"/>
    <n v="135.6"/>
    <x v="164"/>
    <n v="136.30000000000001"/>
    <n v="126.1"/>
    <x v="156"/>
    <x v="58"/>
    <x v="131"/>
    <x v="149"/>
    <x v="149"/>
    <x v="86"/>
    <x v="114"/>
    <x v="151"/>
    <x v="125"/>
    <n v="126.5"/>
    <n v="134"/>
  </r>
  <r>
    <x v="2"/>
    <x v="5"/>
    <x v="1"/>
    <x v="119"/>
    <x v="140"/>
    <x v="138"/>
    <x v="145"/>
    <x v="122"/>
    <x v="153"/>
    <x v="68"/>
    <x v="162"/>
    <x v="140"/>
    <x v="148"/>
    <x v="131"/>
    <x v="160"/>
    <n v="137.6"/>
    <x v="165"/>
    <n v="143.80000000000001"/>
    <n v="135.6"/>
    <x v="157"/>
    <x v="58"/>
    <x v="133"/>
    <x v="128"/>
    <x v="150"/>
    <x v="109"/>
    <x v="152"/>
    <x v="150"/>
    <x v="135"/>
    <n v="129.6"/>
    <n v="136.4"/>
  </r>
  <r>
    <x v="0"/>
    <x v="5"/>
    <x v="2"/>
    <x v="130"/>
    <x v="141"/>
    <x v="139"/>
    <x v="142"/>
    <x v="119"/>
    <x v="154"/>
    <x v="170"/>
    <x v="163"/>
    <x v="140"/>
    <x v="115"/>
    <x v="128"/>
    <x v="161"/>
    <n v="138.6"/>
    <x v="166"/>
    <n v="149.19999999999999"/>
    <n v="143"/>
    <x v="158"/>
    <x v="0"/>
    <x v="128"/>
    <x v="148"/>
    <x v="151"/>
    <x v="110"/>
    <x v="153"/>
    <x v="152"/>
    <x v="136"/>
    <n v="133.30000000000001"/>
    <n v="138.69999999999999"/>
  </r>
  <r>
    <x v="1"/>
    <x v="5"/>
    <x v="2"/>
    <x v="131"/>
    <x v="128"/>
    <x v="140"/>
    <x v="144"/>
    <x v="123"/>
    <x v="107"/>
    <x v="75"/>
    <x v="48"/>
    <x v="141"/>
    <x v="151"/>
    <x v="100"/>
    <x v="162"/>
    <n v="134.80000000000001"/>
    <x v="167"/>
    <n v="136.69999999999999"/>
    <n v="126.7"/>
    <x v="159"/>
    <x v="59"/>
    <x v="134"/>
    <x v="150"/>
    <x v="152"/>
    <x v="76"/>
    <x v="154"/>
    <x v="153"/>
    <x v="121"/>
    <n v="127.1"/>
    <n v="134"/>
  </r>
  <r>
    <x v="2"/>
    <x v="5"/>
    <x v="2"/>
    <x v="132"/>
    <x v="142"/>
    <x v="141"/>
    <x v="146"/>
    <x v="113"/>
    <x v="155"/>
    <x v="171"/>
    <x v="164"/>
    <x v="142"/>
    <x v="145"/>
    <x v="101"/>
    <x v="163"/>
    <n v="137.19999999999999"/>
    <x v="168"/>
    <n v="144.30000000000001"/>
    <n v="136.19999999999999"/>
    <x v="160"/>
    <x v="59"/>
    <x v="135"/>
    <x v="151"/>
    <x v="153"/>
    <x v="100"/>
    <x v="155"/>
    <x v="154"/>
    <x v="137"/>
    <n v="130.30000000000001"/>
    <n v="136.5"/>
  </r>
  <r>
    <x v="0"/>
    <x v="5"/>
    <x v="3"/>
    <x v="133"/>
    <x v="143"/>
    <x v="142"/>
    <x v="147"/>
    <x v="124"/>
    <x v="156"/>
    <x v="172"/>
    <x v="165"/>
    <x v="143"/>
    <x v="152"/>
    <x v="124"/>
    <x v="164"/>
    <n v="138.6"/>
    <x v="169"/>
    <n v="150.1"/>
    <n v="143.30000000000001"/>
    <x v="161"/>
    <x v="0"/>
    <x v="136"/>
    <x v="152"/>
    <x v="154"/>
    <x v="111"/>
    <x v="156"/>
    <x v="155"/>
    <x v="138"/>
    <n v="134.19999999999999"/>
    <n v="139.1"/>
  </r>
  <r>
    <x v="1"/>
    <x v="5"/>
    <x v="3"/>
    <x v="131"/>
    <x v="144"/>
    <x v="143"/>
    <x v="148"/>
    <x v="125"/>
    <x v="157"/>
    <x v="173"/>
    <x v="166"/>
    <x v="144"/>
    <x v="129"/>
    <x v="132"/>
    <x v="165"/>
    <n v="135.69999999999999"/>
    <x v="170"/>
    <n v="137.80000000000001"/>
    <n v="127.4"/>
    <x v="162"/>
    <x v="60"/>
    <x v="137"/>
    <x v="108"/>
    <x v="128"/>
    <x v="112"/>
    <x v="157"/>
    <x v="156"/>
    <x v="139"/>
    <n v="128.19999999999999"/>
    <n v="134.80000000000001"/>
  </r>
  <r>
    <x v="2"/>
    <x v="5"/>
    <x v="3"/>
    <x v="124"/>
    <x v="139"/>
    <x v="144"/>
    <x v="149"/>
    <x v="126"/>
    <x v="158"/>
    <x v="174"/>
    <x v="145"/>
    <x v="145"/>
    <x v="153"/>
    <x v="133"/>
    <x v="166"/>
    <n v="137.5"/>
    <x v="171"/>
    <n v="145.30000000000001"/>
    <n v="136.69999999999999"/>
    <x v="163"/>
    <x v="60"/>
    <x v="135"/>
    <x v="153"/>
    <x v="155"/>
    <x v="113"/>
    <x v="158"/>
    <x v="157"/>
    <x v="140"/>
    <n v="131.30000000000001"/>
    <n v="137.1"/>
  </r>
  <r>
    <x v="0"/>
    <x v="5"/>
    <x v="4"/>
    <x v="134"/>
    <x v="127"/>
    <x v="140"/>
    <x v="150"/>
    <x v="127"/>
    <x v="159"/>
    <x v="175"/>
    <x v="63"/>
    <x v="146"/>
    <x v="154"/>
    <x v="134"/>
    <x v="167"/>
    <n v="139.1"/>
    <x v="159"/>
    <n v="150.80000000000001"/>
    <n v="144.1"/>
    <x v="164"/>
    <x v="0"/>
    <x v="138"/>
    <x v="154"/>
    <x v="156"/>
    <x v="114"/>
    <x v="159"/>
    <x v="158"/>
    <x v="141"/>
    <n v="135.1"/>
    <n v="139.80000000000001"/>
  </r>
  <r>
    <x v="1"/>
    <x v="5"/>
    <x v="4"/>
    <x v="131"/>
    <x v="145"/>
    <x v="102"/>
    <x v="151"/>
    <x v="91"/>
    <x v="160"/>
    <x v="76"/>
    <x v="38"/>
    <x v="147"/>
    <x v="132"/>
    <x v="102"/>
    <x v="144"/>
    <n v="136.4"/>
    <x v="172"/>
    <n v="138.6"/>
    <n v="127.9"/>
    <x v="137"/>
    <x v="61"/>
    <x v="139"/>
    <x v="155"/>
    <x v="157"/>
    <x v="87"/>
    <x v="160"/>
    <x v="159"/>
    <x v="126"/>
    <n v="128.9"/>
    <n v="135.4"/>
  </r>
  <r>
    <x v="2"/>
    <x v="5"/>
    <x v="4"/>
    <x v="127"/>
    <x v="146"/>
    <x v="145"/>
    <x v="152"/>
    <x v="126"/>
    <x v="161"/>
    <x v="81"/>
    <x v="167"/>
    <x v="148"/>
    <x v="121"/>
    <x v="135"/>
    <x v="158"/>
    <n v="138.1"/>
    <x v="173"/>
    <n v="146"/>
    <n v="137.4"/>
    <x v="165"/>
    <x v="61"/>
    <x v="140"/>
    <x v="156"/>
    <x v="145"/>
    <x v="115"/>
    <x v="161"/>
    <x v="160"/>
    <x v="142"/>
    <n v="132.1"/>
    <n v="137.80000000000001"/>
  </r>
  <r>
    <x v="0"/>
    <x v="5"/>
    <x v="5"/>
    <x v="135"/>
    <x v="147"/>
    <x v="146"/>
    <x v="153"/>
    <x v="128"/>
    <x v="162"/>
    <x v="176"/>
    <x v="168"/>
    <x v="149"/>
    <x v="155"/>
    <x v="136"/>
    <x v="167"/>
    <n v="140"/>
    <x v="174"/>
    <n v="151.30000000000001"/>
    <n v="144.69999999999999"/>
    <x v="166"/>
    <x v="0"/>
    <x v="141"/>
    <x v="157"/>
    <x v="156"/>
    <x v="116"/>
    <x v="162"/>
    <x v="161"/>
    <x v="143"/>
    <n v="135.6"/>
    <n v="140.5"/>
  </r>
  <r>
    <x v="1"/>
    <x v="5"/>
    <x v="5"/>
    <x v="121"/>
    <x v="148"/>
    <x v="144"/>
    <x v="139"/>
    <x v="125"/>
    <x v="163"/>
    <x v="177"/>
    <x v="169"/>
    <x v="150"/>
    <x v="156"/>
    <x v="137"/>
    <x v="155"/>
    <n v="138.4"/>
    <x v="175"/>
    <n v="138.9"/>
    <n v="128.69999999999999"/>
    <x v="167"/>
    <x v="62"/>
    <x v="142"/>
    <x v="158"/>
    <x v="141"/>
    <x v="117"/>
    <x v="163"/>
    <x v="162"/>
    <x v="137"/>
    <n v="129.5"/>
    <n v="136.19999999999999"/>
  </r>
  <r>
    <x v="2"/>
    <x v="5"/>
    <x v="5"/>
    <x v="136"/>
    <x v="124"/>
    <x v="147"/>
    <x v="154"/>
    <x v="107"/>
    <x v="164"/>
    <x v="178"/>
    <x v="170"/>
    <x v="88"/>
    <x v="157"/>
    <x v="113"/>
    <x v="156"/>
    <n v="139.4"/>
    <x v="176"/>
    <n v="146.4"/>
    <n v="138.1"/>
    <x v="147"/>
    <x v="62"/>
    <x v="125"/>
    <x v="136"/>
    <x v="148"/>
    <x v="118"/>
    <x v="164"/>
    <x v="163"/>
    <x v="144"/>
    <n v="132.6"/>
    <n v="138.5"/>
  </r>
  <r>
    <x v="0"/>
    <x v="5"/>
    <x v="6"/>
    <x v="137"/>
    <x v="149"/>
    <x v="148"/>
    <x v="155"/>
    <x v="129"/>
    <x v="165"/>
    <x v="179"/>
    <x v="171"/>
    <x v="151"/>
    <x v="153"/>
    <x v="136"/>
    <x v="168"/>
    <n v="142"/>
    <x v="169"/>
    <n v="151.5"/>
    <n v="145.1"/>
    <x v="168"/>
    <x v="0"/>
    <x v="143"/>
    <x v="159"/>
    <x v="158"/>
    <x v="119"/>
    <x v="165"/>
    <x v="164"/>
    <x v="143"/>
    <n v="136"/>
    <n v="141.80000000000001"/>
  </r>
  <r>
    <x v="1"/>
    <x v="5"/>
    <x v="6"/>
    <x v="138"/>
    <x v="150"/>
    <x v="149"/>
    <x v="141"/>
    <x v="130"/>
    <x v="166"/>
    <x v="180"/>
    <x v="35"/>
    <x v="146"/>
    <x v="158"/>
    <x v="138"/>
    <x v="169"/>
    <n v="140.30000000000001"/>
    <x v="177"/>
    <n v="139.6"/>
    <n v="128.9"/>
    <x v="169"/>
    <x v="63"/>
    <x v="144"/>
    <x v="118"/>
    <x v="159"/>
    <x v="120"/>
    <x v="148"/>
    <x v="165"/>
    <x v="137"/>
    <n v="130.19999999999999"/>
    <n v="137.5"/>
  </r>
  <r>
    <x v="2"/>
    <x v="5"/>
    <x v="6"/>
    <x v="139"/>
    <x v="151"/>
    <x v="150"/>
    <x v="156"/>
    <x v="114"/>
    <x v="167"/>
    <x v="181"/>
    <x v="172"/>
    <x v="152"/>
    <x v="159"/>
    <x v="113"/>
    <x v="170"/>
    <n v="141.4"/>
    <x v="178"/>
    <n v="146.80000000000001"/>
    <n v="138.4"/>
    <x v="170"/>
    <x v="63"/>
    <x v="145"/>
    <x v="160"/>
    <x v="160"/>
    <x v="121"/>
    <x v="166"/>
    <x v="166"/>
    <x v="144"/>
    <n v="133.19999999999999"/>
    <n v="139.80000000000001"/>
  </r>
  <r>
    <x v="0"/>
    <x v="5"/>
    <x v="7"/>
    <x v="140"/>
    <x v="152"/>
    <x v="149"/>
    <x v="157"/>
    <x v="131"/>
    <x v="168"/>
    <x v="182"/>
    <x v="173"/>
    <x v="103"/>
    <x v="97"/>
    <x v="139"/>
    <x v="171"/>
    <n v="142.69999999999999"/>
    <x v="179"/>
    <n v="152.1"/>
    <n v="145.80000000000001"/>
    <x v="171"/>
    <x v="0"/>
    <x v="146"/>
    <x v="161"/>
    <x v="161"/>
    <x v="122"/>
    <x v="167"/>
    <x v="167"/>
    <x v="145"/>
    <n v="136.6"/>
    <n v="142.5"/>
  </r>
  <r>
    <x v="1"/>
    <x v="5"/>
    <x v="7"/>
    <x v="141"/>
    <x v="153"/>
    <x v="98"/>
    <x v="146"/>
    <x v="132"/>
    <x v="169"/>
    <x v="183"/>
    <x v="174"/>
    <x v="94"/>
    <x v="160"/>
    <x v="112"/>
    <x v="163"/>
    <n v="140.1"/>
    <x v="180"/>
    <n v="140"/>
    <n v="129"/>
    <x v="144"/>
    <x v="64"/>
    <x v="98"/>
    <x v="143"/>
    <x v="162"/>
    <x v="123"/>
    <x v="133"/>
    <x v="168"/>
    <x v="146"/>
    <n v="131"/>
    <n v="138"/>
  </r>
  <r>
    <x v="2"/>
    <x v="5"/>
    <x v="7"/>
    <x v="142"/>
    <x v="154"/>
    <x v="151"/>
    <x v="158"/>
    <x v="133"/>
    <x v="170"/>
    <x v="155"/>
    <x v="64"/>
    <x v="153"/>
    <x v="161"/>
    <x v="126"/>
    <x v="172"/>
    <n v="141.69999999999999"/>
    <x v="173"/>
    <n v="147.30000000000001"/>
    <n v="138.80000000000001"/>
    <x v="172"/>
    <x v="64"/>
    <x v="147"/>
    <x v="141"/>
    <x v="163"/>
    <x v="124"/>
    <x v="168"/>
    <x v="169"/>
    <x v="144"/>
    <n v="133.9"/>
    <n v="140.4"/>
  </r>
  <r>
    <x v="0"/>
    <x v="5"/>
    <x v="8"/>
    <x v="143"/>
    <x v="155"/>
    <x v="98"/>
    <x v="159"/>
    <x v="134"/>
    <x v="157"/>
    <x v="184"/>
    <x v="175"/>
    <x v="107"/>
    <x v="135"/>
    <x v="140"/>
    <x v="173"/>
    <n v="141.30000000000001"/>
    <x v="161"/>
    <n v="152.1"/>
    <n v="146.1"/>
    <x v="171"/>
    <x v="0"/>
    <x v="148"/>
    <x v="162"/>
    <x v="164"/>
    <x v="125"/>
    <x v="169"/>
    <x v="170"/>
    <x v="147"/>
    <n v="137.4"/>
    <n v="142.1"/>
  </r>
  <r>
    <x v="1"/>
    <x v="5"/>
    <x v="8"/>
    <x v="144"/>
    <x v="128"/>
    <x v="152"/>
    <x v="135"/>
    <x v="75"/>
    <x v="171"/>
    <x v="185"/>
    <x v="176"/>
    <x v="154"/>
    <x v="162"/>
    <x v="141"/>
    <x v="174"/>
    <n v="138.9"/>
    <x v="181"/>
    <n v="140.80000000000001"/>
    <n v="129.30000000000001"/>
    <x v="173"/>
    <x v="65"/>
    <x v="149"/>
    <x v="125"/>
    <x v="165"/>
    <x v="126"/>
    <x v="170"/>
    <x v="171"/>
    <x v="136"/>
    <n v="131.9"/>
    <n v="138.1"/>
  </r>
  <r>
    <x v="2"/>
    <x v="5"/>
    <x v="8"/>
    <x v="145"/>
    <x v="156"/>
    <x v="153"/>
    <x v="150"/>
    <x v="103"/>
    <x v="172"/>
    <x v="186"/>
    <x v="170"/>
    <x v="145"/>
    <x v="100"/>
    <x v="142"/>
    <x v="164"/>
    <n v="140.4"/>
    <x v="170"/>
    <n v="147.69999999999999"/>
    <n v="139.1"/>
    <x v="174"/>
    <x v="65"/>
    <x v="130"/>
    <x v="163"/>
    <x v="156"/>
    <x v="127"/>
    <x v="171"/>
    <x v="172"/>
    <x v="148"/>
    <n v="134.69999999999999"/>
    <n v="140.19999999999999"/>
  </r>
  <r>
    <x v="0"/>
    <x v="5"/>
    <x v="9"/>
    <x v="146"/>
    <x v="157"/>
    <x v="154"/>
    <x v="140"/>
    <x v="124"/>
    <x v="173"/>
    <x v="187"/>
    <x v="170"/>
    <x v="154"/>
    <x v="100"/>
    <x v="143"/>
    <x v="171"/>
    <n v="140.19999999999999"/>
    <x v="182"/>
    <n v="150.69999999999999"/>
    <n v="144.5"/>
    <x v="164"/>
    <x v="0"/>
    <x v="150"/>
    <x v="164"/>
    <x v="166"/>
    <x v="128"/>
    <x v="172"/>
    <x v="173"/>
    <x v="149"/>
    <n v="139.80000000000001"/>
    <n v="142.19999999999999"/>
  </r>
  <r>
    <x v="1"/>
    <x v="5"/>
    <x v="9"/>
    <x v="135"/>
    <x v="158"/>
    <x v="155"/>
    <x v="135"/>
    <x v="99"/>
    <x v="174"/>
    <x v="188"/>
    <x v="40"/>
    <x v="155"/>
    <x v="160"/>
    <x v="114"/>
    <x v="175"/>
    <n v="139.4"/>
    <x v="183"/>
    <n v="141.5"/>
    <n v="129.80000000000001"/>
    <x v="125"/>
    <x v="66"/>
    <x v="151"/>
    <x v="165"/>
    <x v="148"/>
    <x v="108"/>
    <x v="173"/>
    <x v="174"/>
    <x v="138"/>
    <n v="132.5"/>
    <n v="138.9"/>
  </r>
  <r>
    <x v="2"/>
    <x v="5"/>
    <x v="9"/>
    <x v="134"/>
    <x v="159"/>
    <x v="156"/>
    <x v="140"/>
    <x v="97"/>
    <x v="175"/>
    <x v="84"/>
    <x v="58"/>
    <x v="156"/>
    <x v="163"/>
    <x v="144"/>
    <x v="176"/>
    <n v="139.69999999999999"/>
    <x v="184"/>
    <n v="148"/>
    <n v="139.19999999999999"/>
    <x v="175"/>
    <x v="67"/>
    <x v="152"/>
    <x v="157"/>
    <x v="167"/>
    <x v="129"/>
    <x v="174"/>
    <x v="175"/>
    <x v="147"/>
    <n v="136.30000000000001"/>
    <n v="140.80000000000001"/>
  </r>
  <r>
    <x v="0"/>
    <x v="5"/>
    <x v="11"/>
    <x v="133"/>
    <x v="160"/>
    <x v="146"/>
    <x v="140"/>
    <x v="135"/>
    <x v="134"/>
    <x v="189"/>
    <x v="177"/>
    <x v="157"/>
    <x v="164"/>
    <x v="145"/>
    <x v="177"/>
    <n v="140"/>
    <x v="185"/>
    <n v="151.69999999999999"/>
    <n v="145.5"/>
    <x v="176"/>
    <x v="0"/>
    <x v="153"/>
    <x v="166"/>
    <x v="168"/>
    <x v="130"/>
    <x v="175"/>
    <x v="176"/>
    <x v="150"/>
    <n v="140.1"/>
    <n v="142.4"/>
  </r>
  <r>
    <x v="1"/>
    <x v="5"/>
    <x v="11"/>
    <x v="147"/>
    <x v="161"/>
    <x v="157"/>
    <x v="149"/>
    <x v="110"/>
    <x v="143"/>
    <x v="190"/>
    <x v="178"/>
    <x v="158"/>
    <x v="165"/>
    <x v="146"/>
    <x v="178"/>
    <n v="139.1"/>
    <x v="186"/>
    <n v="142.4"/>
    <n v="130.19999999999999"/>
    <x v="177"/>
    <x v="67"/>
    <x v="133"/>
    <x v="167"/>
    <x v="169"/>
    <x v="98"/>
    <x v="158"/>
    <x v="177"/>
    <x v="151"/>
    <n v="132.19999999999999"/>
    <n v="139"/>
  </r>
  <r>
    <x v="2"/>
    <x v="5"/>
    <x v="11"/>
    <x v="134"/>
    <x v="162"/>
    <x v="158"/>
    <x v="160"/>
    <x v="97"/>
    <x v="176"/>
    <x v="84"/>
    <x v="58"/>
    <x v="156"/>
    <x v="166"/>
    <x v="147"/>
    <x v="176"/>
    <n v="139.69999999999999"/>
    <x v="184"/>
    <n v="148"/>
    <n v="139.1"/>
    <x v="178"/>
    <x v="67"/>
    <x v="141"/>
    <x v="157"/>
    <x v="167"/>
    <x v="129"/>
    <x v="174"/>
    <x v="175"/>
    <x v="147"/>
    <n v="136.30000000000001"/>
    <n v="140.80000000000001"/>
  </r>
  <r>
    <x v="0"/>
    <x v="5"/>
    <x v="12"/>
    <x v="133"/>
    <x v="163"/>
    <x v="159"/>
    <x v="147"/>
    <x v="136"/>
    <x v="110"/>
    <x v="191"/>
    <x v="61"/>
    <x v="92"/>
    <x v="129"/>
    <x v="148"/>
    <x v="179"/>
    <n v="138.5"/>
    <x v="187"/>
    <n v="151.6"/>
    <n v="145.9"/>
    <x v="176"/>
    <x v="0"/>
    <x v="148"/>
    <x v="168"/>
    <x v="170"/>
    <x v="131"/>
    <x v="176"/>
    <x v="178"/>
    <x v="152"/>
    <n v="141.6"/>
    <n v="141.9"/>
  </r>
  <r>
    <x v="1"/>
    <x v="5"/>
    <x v="12"/>
    <x v="148"/>
    <x v="164"/>
    <x v="160"/>
    <x v="149"/>
    <x v="110"/>
    <x v="107"/>
    <x v="192"/>
    <x v="179"/>
    <x v="159"/>
    <x v="111"/>
    <x v="93"/>
    <x v="180"/>
    <n v="137.6"/>
    <x v="188"/>
    <n v="142.69999999999999"/>
    <n v="130.30000000000001"/>
    <x v="132"/>
    <x v="68"/>
    <x v="154"/>
    <x v="169"/>
    <x v="171"/>
    <x v="132"/>
    <x v="177"/>
    <x v="179"/>
    <x v="153"/>
    <n v="131.69999999999999"/>
    <n v="138"/>
  </r>
  <r>
    <x v="2"/>
    <x v="5"/>
    <x v="12"/>
    <x v="139"/>
    <x v="165"/>
    <x v="161"/>
    <x v="152"/>
    <x v="101"/>
    <x v="135"/>
    <x v="83"/>
    <x v="155"/>
    <x v="93"/>
    <x v="164"/>
    <x v="139"/>
    <x v="181"/>
    <n v="138.19999999999999"/>
    <x v="189"/>
    <n v="148.1"/>
    <n v="139.4"/>
    <x v="175"/>
    <x v="68"/>
    <x v="155"/>
    <x v="170"/>
    <x v="172"/>
    <x v="121"/>
    <x v="159"/>
    <x v="180"/>
    <x v="154"/>
    <n v="136.80000000000001"/>
    <n v="140.1"/>
  </r>
  <r>
    <x v="0"/>
    <x v="6"/>
    <x v="0"/>
    <x v="127"/>
    <x v="166"/>
    <x v="162"/>
    <x v="147"/>
    <x v="137"/>
    <x v="105"/>
    <x v="193"/>
    <x v="180"/>
    <x v="150"/>
    <x v="159"/>
    <x v="149"/>
    <x v="182"/>
    <n v="137.4"/>
    <x v="190"/>
    <n v="150.6"/>
    <n v="145.1"/>
    <x v="179"/>
    <x v="0"/>
    <x v="156"/>
    <x v="171"/>
    <x v="170"/>
    <x v="133"/>
    <x v="178"/>
    <x v="181"/>
    <x v="155"/>
    <n v="141.69999999999999"/>
    <n v="141"/>
  </r>
  <r>
    <x v="1"/>
    <x v="6"/>
    <x v="0"/>
    <x v="142"/>
    <x v="167"/>
    <x v="163"/>
    <x v="161"/>
    <x v="110"/>
    <x v="130"/>
    <x v="194"/>
    <x v="181"/>
    <x v="160"/>
    <x v="109"/>
    <x v="93"/>
    <x v="183"/>
    <n v="137.30000000000001"/>
    <x v="191"/>
    <n v="143"/>
    <n v="130.4"/>
    <x v="180"/>
    <x v="69"/>
    <x v="157"/>
    <x v="172"/>
    <x v="173"/>
    <x v="81"/>
    <x v="179"/>
    <x v="182"/>
    <x v="156"/>
    <n v="131.80000000000001"/>
    <n v="138"/>
  </r>
  <r>
    <x v="2"/>
    <x v="6"/>
    <x v="0"/>
    <x v="133"/>
    <x v="168"/>
    <x v="164"/>
    <x v="152"/>
    <x v="138"/>
    <x v="177"/>
    <x v="195"/>
    <x v="182"/>
    <x v="85"/>
    <x v="161"/>
    <x v="150"/>
    <x v="181"/>
    <n v="137.4"/>
    <x v="192"/>
    <n v="147.6"/>
    <n v="139"/>
    <x v="181"/>
    <x v="69"/>
    <x v="158"/>
    <x v="173"/>
    <x v="174"/>
    <x v="108"/>
    <x v="180"/>
    <x v="176"/>
    <x v="157"/>
    <n v="136.9"/>
    <n v="139.6"/>
  </r>
  <r>
    <x v="0"/>
    <x v="6"/>
    <x v="1"/>
    <x v="130"/>
    <x v="169"/>
    <x v="149"/>
    <x v="156"/>
    <x v="129"/>
    <x v="111"/>
    <x v="196"/>
    <x v="65"/>
    <x v="161"/>
    <x v="167"/>
    <x v="151"/>
    <x v="184"/>
    <n v="137.19999999999999"/>
    <x v="193"/>
    <n v="150.5"/>
    <n v="146.1"/>
    <x v="179"/>
    <x v="0"/>
    <x v="152"/>
    <x v="171"/>
    <x v="175"/>
    <x v="134"/>
    <x v="181"/>
    <x v="183"/>
    <x v="158"/>
    <n v="142.19999999999999"/>
    <n v="141"/>
  </r>
  <r>
    <x v="1"/>
    <x v="6"/>
    <x v="1"/>
    <x v="143"/>
    <x v="170"/>
    <x v="165"/>
    <x v="161"/>
    <x v="108"/>
    <x v="108"/>
    <x v="197"/>
    <x v="62"/>
    <x v="160"/>
    <x v="168"/>
    <x v="152"/>
    <x v="185"/>
    <n v="138"/>
    <x v="194"/>
    <n v="143.30000000000001"/>
    <n v="130.80000000000001"/>
    <x v="182"/>
    <x v="70"/>
    <x v="159"/>
    <x v="153"/>
    <x v="176"/>
    <x v="90"/>
    <x v="182"/>
    <x v="182"/>
    <x v="159"/>
    <n v="132.4"/>
    <n v="138.6"/>
  </r>
  <r>
    <x v="2"/>
    <x v="6"/>
    <x v="1"/>
    <x v="135"/>
    <x v="171"/>
    <x v="166"/>
    <x v="162"/>
    <x v="101"/>
    <x v="145"/>
    <x v="198"/>
    <x v="177"/>
    <x v="162"/>
    <x v="103"/>
    <x v="144"/>
    <x v="186"/>
    <n v="137.5"/>
    <x v="195"/>
    <n v="147.69999999999999"/>
    <n v="139.69999999999999"/>
    <x v="174"/>
    <x v="70"/>
    <x v="160"/>
    <x v="174"/>
    <x v="177"/>
    <x v="135"/>
    <x v="183"/>
    <x v="184"/>
    <x v="160"/>
    <n v="137.4"/>
    <n v="139.9"/>
  </r>
  <r>
    <x v="0"/>
    <x v="6"/>
    <x v="2"/>
    <x v="136"/>
    <x v="172"/>
    <x v="167"/>
    <x v="156"/>
    <x v="129"/>
    <x v="113"/>
    <x v="72"/>
    <x v="167"/>
    <x v="161"/>
    <x v="159"/>
    <x v="151"/>
    <x v="187"/>
    <n v="137.30000000000001"/>
    <x v="196"/>
    <n v="150.80000000000001"/>
    <n v="146.1"/>
    <x v="183"/>
    <x v="0"/>
    <x v="161"/>
    <x v="175"/>
    <x v="178"/>
    <x v="125"/>
    <x v="184"/>
    <x v="183"/>
    <x v="161"/>
    <n v="142.4"/>
    <n v="141.19999999999999"/>
  </r>
  <r>
    <x v="1"/>
    <x v="6"/>
    <x v="2"/>
    <x v="149"/>
    <x v="173"/>
    <x v="129"/>
    <x v="140"/>
    <x v="108"/>
    <x v="135"/>
    <x v="199"/>
    <x v="183"/>
    <x v="160"/>
    <x v="151"/>
    <x v="118"/>
    <x v="188"/>
    <n v="139.6"/>
    <x v="197"/>
    <n v="143.5"/>
    <n v="131.19999999999999"/>
    <x v="135"/>
    <x v="71"/>
    <x v="118"/>
    <x v="176"/>
    <x v="179"/>
    <x v="136"/>
    <x v="141"/>
    <x v="185"/>
    <x v="162"/>
    <n v="132.80000000000001"/>
    <n v="139.5"/>
  </r>
  <r>
    <x v="2"/>
    <x v="6"/>
    <x v="2"/>
    <x v="150"/>
    <x v="169"/>
    <x v="138"/>
    <x v="154"/>
    <x v="101"/>
    <x v="178"/>
    <x v="174"/>
    <x v="184"/>
    <x v="162"/>
    <x v="100"/>
    <x v="153"/>
    <x v="171"/>
    <n v="138.1"/>
    <x v="198"/>
    <n v="147.9"/>
    <n v="139.9"/>
    <x v="178"/>
    <x v="71"/>
    <x v="145"/>
    <x v="161"/>
    <x v="180"/>
    <x v="110"/>
    <x v="185"/>
    <x v="184"/>
    <x v="163"/>
    <n v="137.69999999999999"/>
    <n v="140.4"/>
  </r>
  <r>
    <x v="0"/>
    <x v="6"/>
    <x v="4"/>
    <x v="134"/>
    <x v="174"/>
    <x v="168"/>
    <x v="158"/>
    <x v="128"/>
    <x v="179"/>
    <x v="200"/>
    <x v="60"/>
    <x v="163"/>
    <x v="125"/>
    <x v="154"/>
    <x v="187"/>
    <n v="139.19999999999999"/>
    <x v="181"/>
    <n v="151.30000000000001"/>
    <n v="146.6"/>
    <x v="184"/>
    <x v="0"/>
    <x v="162"/>
    <x v="168"/>
    <x v="181"/>
    <x v="137"/>
    <x v="186"/>
    <x v="186"/>
    <x v="164"/>
    <n v="142.9"/>
    <n v="142.4"/>
  </r>
  <r>
    <x v="1"/>
    <x v="6"/>
    <x v="4"/>
    <x v="151"/>
    <x v="175"/>
    <x v="141"/>
    <x v="147"/>
    <x v="89"/>
    <x v="166"/>
    <x v="201"/>
    <x v="185"/>
    <x v="164"/>
    <x v="163"/>
    <x v="155"/>
    <x v="176"/>
    <n v="143.80000000000001"/>
    <x v="199"/>
    <n v="144"/>
    <n v="131.69999999999999"/>
    <x v="185"/>
    <x v="72"/>
    <x v="115"/>
    <x v="177"/>
    <x v="182"/>
    <x v="120"/>
    <x v="187"/>
    <x v="173"/>
    <x v="165"/>
    <n v="133.30000000000001"/>
    <n v="141.5"/>
  </r>
  <r>
    <x v="2"/>
    <x v="6"/>
    <x v="4"/>
    <x v="142"/>
    <x v="176"/>
    <x v="169"/>
    <x v="156"/>
    <x v="101"/>
    <x v="180"/>
    <x v="202"/>
    <x v="186"/>
    <x v="92"/>
    <x v="143"/>
    <x v="156"/>
    <x v="189"/>
    <n v="140.9"/>
    <x v="200"/>
    <n v="148.4"/>
    <n v="140.4"/>
    <x v="149"/>
    <x v="72"/>
    <x v="163"/>
    <x v="174"/>
    <x v="183"/>
    <x v="138"/>
    <x v="188"/>
    <x v="187"/>
    <x v="163"/>
    <n v="138.19999999999999"/>
    <n v="142"/>
  </r>
  <r>
    <x v="0"/>
    <x v="6"/>
    <x v="5"/>
    <x v="150"/>
    <x v="177"/>
    <x v="170"/>
    <x v="153"/>
    <x v="139"/>
    <x v="181"/>
    <x v="203"/>
    <x v="187"/>
    <x v="144"/>
    <x v="109"/>
    <x v="157"/>
    <x v="190"/>
    <n v="141"/>
    <x v="201"/>
    <n v="151.4"/>
    <n v="146.5"/>
    <x v="184"/>
    <x v="0"/>
    <x v="164"/>
    <x v="178"/>
    <x v="184"/>
    <x v="137"/>
    <x v="189"/>
    <x v="188"/>
    <x v="166"/>
    <n v="143.30000000000001"/>
    <n v="143.6"/>
  </r>
  <r>
    <x v="1"/>
    <x v="6"/>
    <x v="5"/>
    <x v="152"/>
    <x v="178"/>
    <x v="171"/>
    <x v="155"/>
    <x v="89"/>
    <x v="182"/>
    <x v="204"/>
    <x v="188"/>
    <x v="146"/>
    <x v="163"/>
    <x v="103"/>
    <x v="191"/>
    <n v="145.6"/>
    <x v="202"/>
    <n v="144.30000000000001"/>
    <n v="131.69999999999999"/>
    <x v="186"/>
    <x v="73"/>
    <x v="165"/>
    <x v="156"/>
    <x v="185"/>
    <x v="139"/>
    <x v="149"/>
    <x v="189"/>
    <x v="167"/>
    <n v="133.6"/>
    <n v="142.1"/>
  </r>
  <r>
    <x v="2"/>
    <x v="6"/>
    <x v="5"/>
    <x v="153"/>
    <x v="179"/>
    <x v="157"/>
    <x v="163"/>
    <x v="133"/>
    <x v="183"/>
    <x v="166"/>
    <x v="189"/>
    <x v="159"/>
    <x v="164"/>
    <x v="158"/>
    <x v="173"/>
    <n v="142.69999999999999"/>
    <x v="194"/>
    <n v="148.6"/>
    <n v="140.4"/>
    <x v="187"/>
    <x v="73"/>
    <x v="166"/>
    <x v="161"/>
    <x v="186"/>
    <x v="110"/>
    <x v="190"/>
    <x v="190"/>
    <x v="168"/>
    <n v="138.6"/>
    <n v="142.9"/>
  </r>
  <r>
    <x v="0"/>
    <x v="6"/>
    <x v="6"/>
    <x v="137"/>
    <x v="180"/>
    <x v="172"/>
    <x v="164"/>
    <x v="140"/>
    <x v="184"/>
    <x v="51"/>
    <x v="190"/>
    <x v="165"/>
    <x v="169"/>
    <x v="159"/>
    <x v="192"/>
    <n v="143"/>
    <x v="203"/>
    <n v="151.6"/>
    <n v="146.6"/>
    <x v="188"/>
    <x v="0"/>
    <x v="143"/>
    <x v="175"/>
    <x v="187"/>
    <x v="140"/>
    <x v="191"/>
    <x v="191"/>
    <x v="169"/>
    <n v="144.19999999999999"/>
    <n v="144.9"/>
  </r>
  <r>
    <x v="1"/>
    <x v="6"/>
    <x v="6"/>
    <x v="154"/>
    <x v="181"/>
    <x v="173"/>
    <x v="165"/>
    <x v="141"/>
    <x v="185"/>
    <x v="205"/>
    <x v="191"/>
    <x v="146"/>
    <x v="170"/>
    <x v="160"/>
    <x v="193"/>
    <n v="147.69999999999999"/>
    <x v="204"/>
    <n v="144.69999999999999"/>
    <n v="131.9"/>
    <x v="189"/>
    <x v="74"/>
    <x v="83"/>
    <x v="179"/>
    <x v="188"/>
    <x v="141"/>
    <x v="192"/>
    <x v="192"/>
    <x v="170"/>
    <n v="134.5"/>
    <n v="143.30000000000001"/>
  </r>
  <r>
    <x v="2"/>
    <x v="6"/>
    <x v="6"/>
    <x v="146"/>
    <x v="182"/>
    <x v="139"/>
    <x v="166"/>
    <x v="142"/>
    <x v="186"/>
    <x v="206"/>
    <x v="192"/>
    <x v="88"/>
    <x v="169"/>
    <x v="161"/>
    <x v="184"/>
    <n v="144.69999999999999"/>
    <x v="205"/>
    <n v="148.9"/>
    <n v="140.5"/>
    <x v="190"/>
    <x v="74"/>
    <x v="167"/>
    <x v="180"/>
    <x v="189"/>
    <x v="142"/>
    <x v="193"/>
    <x v="193"/>
    <x v="171"/>
    <n v="139.5"/>
    <n v="144.19999999999999"/>
  </r>
  <r>
    <x v="0"/>
    <x v="6"/>
    <x v="7"/>
    <x v="140"/>
    <x v="183"/>
    <x v="158"/>
    <x v="167"/>
    <x v="143"/>
    <x v="138"/>
    <x v="207"/>
    <x v="137"/>
    <x v="166"/>
    <x v="171"/>
    <x v="159"/>
    <x v="194"/>
    <n v="144"/>
    <x v="206"/>
    <n v="151.80000000000001"/>
    <n v="146.6"/>
    <x v="191"/>
    <x v="0"/>
    <x v="161"/>
    <x v="181"/>
    <x v="190"/>
    <x v="143"/>
    <x v="194"/>
    <x v="194"/>
    <x v="172"/>
    <n v="144.9"/>
    <n v="145.69999999999999"/>
  </r>
  <r>
    <x v="1"/>
    <x v="6"/>
    <x v="7"/>
    <x v="155"/>
    <x v="184"/>
    <x v="174"/>
    <x v="168"/>
    <x v="92"/>
    <x v="187"/>
    <x v="208"/>
    <x v="193"/>
    <x v="167"/>
    <x v="172"/>
    <x v="108"/>
    <x v="184"/>
    <n v="149.1"/>
    <x v="207"/>
    <n v="145"/>
    <n v="132.19999999999999"/>
    <x v="192"/>
    <x v="75"/>
    <x v="168"/>
    <x v="182"/>
    <x v="191"/>
    <x v="144"/>
    <x v="195"/>
    <x v="195"/>
    <x v="173"/>
    <n v="135.30000000000001"/>
    <n v="144.19999999999999"/>
  </r>
  <r>
    <x v="2"/>
    <x v="6"/>
    <x v="7"/>
    <x v="156"/>
    <x v="185"/>
    <x v="175"/>
    <x v="169"/>
    <x v="120"/>
    <x v="152"/>
    <x v="209"/>
    <x v="194"/>
    <x v="91"/>
    <x v="137"/>
    <x v="162"/>
    <x v="190"/>
    <n v="145.9"/>
    <x v="208"/>
    <n v="149.1"/>
    <n v="140.6"/>
    <x v="193"/>
    <x v="75"/>
    <x v="169"/>
    <x v="183"/>
    <x v="192"/>
    <x v="145"/>
    <x v="196"/>
    <x v="196"/>
    <x v="174"/>
    <n v="140.19999999999999"/>
    <n v="145"/>
  </r>
  <r>
    <x v="0"/>
    <x v="6"/>
    <x v="8"/>
    <x v="156"/>
    <x v="183"/>
    <x v="141"/>
    <x v="170"/>
    <x v="144"/>
    <x v="188"/>
    <x v="210"/>
    <x v="195"/>
    <x v="155"/>
    <x v="173"/>
    <x v="159"/>
    <x v="195"/>
    <n v="145.5"/>
    <x v="209"/>
    <n v="151.69999999999999"/>
    <n v="146.6"/>
    <x v="194"/>
    <x v="0"/>
    <x v="162"/>
    <x v="184"/>
    <x v="193"/>
    <x v="146"/>
    <x v="197"/>
    <x v="197"/>
    <x v="175"/>
    <n v="145.4"/>
    <n v="146.69999999999999"/>
  </r>
  <r>
    <x v="1"/>
    <x v="6"/>
    <x v="8"/>
    <x v="157"/>
    <x v="186"/>
    <x v="176"/>
    <x v="168"/>
    <x v="96"/>
    <x v="189"/>
    <x v="211"/>
    <x v="196"/>
    <x v="168"/>
    <x v="174"/>
    <x v="110"/>
    <x v="187"/>
    <n v="149.5"/>
    <x v="210"/>
    <n v="145.30000000000001"/>
    <n v="132.19999999999999"/>
    <x v="195"/>
    <x v="76"/>
    <x v="106"/>
    <x v="185"/>
    <x v="194"/>
    <x v="98"/>
    <x v="198"/>
    <x v="187"/>
    <x v="176"/>
    <n v="135.69999999999999"/>
    <n v="144.69999999999999"/>
  </r>
  <r>
    <x v="2"/>
    <x v="6"/>
    <x v="8"/>
    <x v="158"/>
    <x v="187"/>
    <x v="177"/>
    <x v="171"/>
    <x v="124"/>
    <x v="190"/>
    <x v="157"/>
    <x v="197"/>
    <x v="169"/>
    <x v="175"/>
    <x v="163"/>
    <x v="196"/>
    <n v="147"/>
    <x v="211"/>
    <n v="149.19999999999999"/>
    <n v="140.6"/>
    <x v="193"/>
    <x v="76"/>
    <x v="170"/>
    <x v="186"/>
    <x v="195"/>
    <x v="147"/>
    <x v="199"/>
    <x v="181"/>
    <x v="177"/>
    <n v="140.69999999999999"/>
    <n v="145.80000000000001"/>
  </r>
  <r>
    <x v="0"/>
    <x v="6"/>
    <x v="9"/>
    <x v="159"/>
    <x v="188"/>
    <x v="178"/>
    <x v="172"/>
    <x v="145"/>
    <x v="191"/>
    <x v="212"/>
    <x v="198"/>
    <x v="170"/>
    <x v="128"/>
    <x v="164"/>
    <x v="197"/>
    <n v="148.30000000000001"/>
    <x v="212"/>
    <n v="151.69999999999999"/>
    <n v="146.69999999999999"/>
    <x v="194"/>
    <x v="0"/>
    <x v="146"/>
    <x v="187"/>
    <x v="196"/>
    <x v="148"/>
    <x v="200"/>
    <x v="198"/>
    <x v="178"/>
    <n v="145.69999999999999"/>
    <n v="148.30000000000001"/>
  </r>
  <r>
    <x v="1"/>
    <x v="6"/>
    <x v="9"/>
    <x v="160"/>
    <x v="189"/>
    <x v="179"/>
    <x v="173"/>
    <x v="97"/>
    <x v="170"/>
    <x v="213"/>
    <x v="154"/>
    <x v="108"/>
    <x v="176"/>
    <x v="165"/>
    <x v="196"/>
    <n v="151.9"/>
    <x v="213"/>
    <n v="145.9"/>
    <n v="132.4"/>
    <x v="196"/>
    <x v="77"/>
    <x v="171"/>
    <x v="188"/>
    <x v="197"/>
    <x v="149"/>
    <x v="201"/>
    <x v="199"/>
    <x v="179"/>
    <n v="136"/>
    <n v="146"/>
  </r>
  <r>
    <x v="2"/>
    <x v="6"/>
    <x v="9"/>
    <x v="161"/>
    <x v="190"/>
    <x v="180"/>
    <x v="174"/>
    <x v="137"/>
    <x v="136"/>
    <x v="214"/>
    <x v="199"/>
    <x v="168"/>
    <x v="127"/>
    <x v="166"/>
    <x v="198"/>
    <n v="149.6"/>
    <x v="214"/>
    <n v="149.4"/>
    <n v="140.80000000000001"/>
    <x v="197"/>
    <x v="77"/>
    <x v="172"/>
    <x v="189"/>
    <x v="198"/>
    <x v="150"/>
    <x v="202"/>
    <x v="200"/>
    <x v="180"/>
    <n v="141"/>
    <n v="147.19999999999999"/>
  </r>
  <r>
    <x v="0"/>
    <x v="6"/>
    <x v="11"/>
    <x v="161"/>
    <x v="191"/>
    <x v="133"/>
    <x v="175"/>
    <x v="146"/>
    <x v="155"/>
    <x v="215"/>
    <x v="141"/>
    <x v="101"/>
    <x v="177"/>
    <x v="167"/>
    <x v="199"/>
    <n v="150.9"/>
    <x v="204"/>
    <n v="152.30000000000001"/>
    <n v="147"/>
    <x v="198"/>
    <x v="0"/>
    <x v="173"/>
    <x v="190"/>
    <x v="199"/>
    <x v="151"/>
    <x v="203"/>
    <x v="201"/>
    <x v="181"/>
    <n v="146.1"/>
    <n v="149.9"/>
  </r>
  <r>
    <x v="1"/>
    <x v="6"/>
    <x v="11"/>
    <x v="162"/>
    <x v="192"/>
    <x v="181"/>
    <x v="176"/>
    <x v="147"/>
    <x v="192"/>
    <x v="216"/>
    <x v="200"/>
    <x v="171"/>
    <x v="178"/>
    <x v="130"/>
    <x v="195"/>
    <n v="153.6"/>
    <x v="215"/>
    <n v="146.30000000000001"/>
    <n v="132.6"/>
    <x v="199"/>
    <x v="78"/>
    <x v="126"/>
    <x v="191"/>
    <x v="200"/>
    <x v="152"/>
    <x v="180"/>
    <x v="202"/>
    <x v="182"/>
    <n v="136.30000000000001"/>
    <n v="147"/>
  </r>
  <r>
    <x v="2"/>
    <x v="6"/>
    <x v="11"/>
    <x v="163"/>
    <x v="193"/>
    <x v="182"/>
    <x v="177"/>
    <x v="139"/>
    <x v="193"/>
    <x v="217"/>
    <x v="201"/>
    <x v="141"/>
    <x v="179"/>
    <x v="168"/>
    <x v="200"/>
    <n v="151.9"/>
    <x v="207"/>
    <n v="149.9"/>
    <n v="141"/>
    <x v="200"/>
    <x v="78"/>
    <x v="130"/>
    <x v="192"/>
    <x v="175"/>
    <x v="153"/>
    <x v="204"/>
    <x v="183"/>
    <x v="178"/>
    <n v="141.30000000000001"/>
    <n v="148.6"/>
  </r>
  <r>
    <x v="0"/>
    <x v="6"/>
    <x v="12"/>
    <x v="164"/>
    <x v="194"/>
    <x v="183"/>
    <x v="178"/>
    <x v="148"/>
    <x v="194"/>
    <x v="218"/>
    <x v="202"/>
    <x v="170"/>
    <x v="180"/>
    <x v="169"/>
    <x v="201"/>
    <n v="154.30000000000001"/>
    <x v="216"/>
    <n v="152.6"/>
    <n v="147.30000000000001"/>
    <x v="201"/>
    <x v="0"/>
    <x v="174"/>
    <x v="193"/>
    <x v="201"/>
    <x v="154"/>
    <x v="205"/>
    <x v="203"/>
    <x v="181"/>
    <n v="147.1"/>
    <n v="152.30000000000001"/>
  </r>
  <r>
    <x v="1"/>
    <x v="6"/>
    <x v="12"/>
    <x v="165"/>
    <x v="195"/>
    <x v="184"/>
    <x v="179"/>
    <x v="149"/>
    <x v="147"/>
    <x v="219"/>
    <x v="203"/>
    <x v="153"/>
    <x v="181"/>
    <x v="142"/>
    <x v="199"/>
    <n v="156.30000000000001"/>
    <x v="217"/>
    <n v="146.80000000000001"/>
    <n v="132.80000000000001"/>
    <x v="202"/>
    <x v="79"/>
    <x v="175"/>
    <x v="146"/>
    <x v="202"/>
    <x v="155"/>
    <x v="159"/>
    <x v="204"/>
    <x v="175"/>
    <n v="137.69999999999999"/>
    <n v="148.30000000000001"/>
  </r>
  <r>
    <x v="2"/>
    <x v="6"/>
    <x v="12"/>
    <x v="160"/>
    <x v="196"/>
    <x v="185"/>
    <x v="180"/>
    <x v="150"/>
    <x v="191"/>
    <x v="220"/>
    <x v="138"/>
    <x v="168"/>
    <x v="182"/>
    <x v="170"/>
    <x v="202"/>
    <n v="155"/>
    <x v="218"/>
    <n v="150.30000000000001"/>
    <n v="141.30000000000001"/>
    <x v="203"/>
    <x v="79"/>
    <x v="176"/>
    <x v="194"/>
    <x v="178"/>
    <x v="156"/>
    <x v="206"/>
    <x v="205"/>
    <x v="183"/>
    <n v="142.5"/>
    <n v="150.4"/>
  </r>
  <r>
    <x v="0"/>
    <x v="7"/>
    <x v="0"/>
    <x v="166"/>
    <x v="197"/>
    <x v="186"/>
    <x v="181"/>
    <x v="151"/>
    <x v="146"/>
    <x v="221"/>
    <x v="204"/>
    <x v="101"/>
    <x v="183"/>
    <x v="171"/>
    <x v="203"/>
    <n v="153"/>
    <x v="210"/>
    <n v="152.80000000000001"/>
    <n v="147.4"/>
    <x v="204"/>
    <x v="0"/>
    <x v="177"/>
    <x v="195"/>
    <x v="203"/>
    <x v="157"/>
    <x v="207"/>
    <x v="206"/>
    <x v="184"/>
    <n v="148.1"/>
    <n v="151.9"/>
  </r>
  <r>
    <x v="1"/>
    <x v="7"/>
    <x v="0"/>
    <x v="167"/>
    <x v="198"/>
    <x v="187"/>
    <x v="182"/>
    <x v="152"/>
    <x v="195"/>
    <x v="222"/>
    <x v="76"/>
    <x v="108"/>
    <x v="184"/>
    <x v="126"/>
    <x v="204"/>
    <n v="154.4"/>
    <x v="219"/>
    <n v="147"/>
    <n v="133.19999999999999"/>
    <x v="205"/>
    <x v="80"/>
    <x v="178"/>
    <x v="196"/>
    <x v="204"/>
    <x v="147"/>
    <x v="208"/>
    <x v="207"/>
    <x v="185"/>
    <n v="138.4"/>
    <n v="148.19999999999999"/>
  </r>
  <r>
    <x v="2"/>
    <x v="7"/>
    <x v="0"/>
    <x v="168"/>
    <x v="199"/>
    <x v="188"/>
    <x v="183"/>
    <x v="153"/>
    <x v="196"/>
    <x v="223"/>
    <x v="205"/>
    <x v="104"/>
    <x v="185"/>
    <x v="172"/>
    <x v="205"/>
    <n v="153.5"/>
    <x v="220"/>
    <n v="150.5"/>
    <n v="141.5"/>
    <x v="206"/>
    <x v="80"/>
    <x v="179"/>
    <x v="197"/>
    <x v="205"/>
    <x v="158"/>
    <x v="209"/>
    <x v="208"/>
    <x v="186"/>
    <n v="143.4"/>
    <n v="150.19999999999999"/>
  </r>
  <r>
    <x v="0"/>
    <x v="7"/>
    <x v="1"/>
    <x v="169"/>
    <x v="200"/>
    <x v="189"/>
    <x v="184"/>
    <x v="154"/>
    <x v="197"/>
    <x v="224"/>
    <x v="136"/>
    <x v="99"/>
    <x v="186"/>
    <x v="173"/>
    <x v="206"/>
    <n v="149.80000000000001"/>
    <x v="221"/>
    <n v="153"/>
    <n v="147.5"/>
    <x v="207"/>
    <x v="0"/>
    <x v="180"/>
    <x v="198"/>
    <x v="206"/>
    <x v="159"/>
    <x v="210"/>
    <x v="209"/>
    <x v="187"/>
    <n v="148.4"/>
    <n v="150.4"/>
  </r>
  <r>
    <x v="1"/>
    <x v="7"/>
    <x v="1"/>
    <x v="170"/>
    <x v="198"/>
    <x v="190"/>
    <x v="185"/>
    <x v="155"/>
    <x v="198"/>
    <x v="225"/>
    <x v="206"/>
    <x v="97"/>
    <x v="187"/>
    <x v="174"/>
    <x v="207"/>
    <n v="151.69999999999999"/>
    <x v="222"/>
    <n v="147.30000000000001"/>
    <n v="133.5"/>
    <x v="147"/>
    <x v="81"/>
    <x v="181"/>
    <x v="199"/>
    <x v="207"/>
    <x v="155"/>
    <x v="185"/>
    <x v="210"/>
    <x v="188"/>
    <n v="138.4"/>
    <n v="147.69999999999999"/>
  </r>
  <r>
    <x v="2"/>
    <x v="7"/>
    <x v="1"/>
    <x v="171"/>
    <x v="200"/>
    <x v="191"/>
    <x v="186"/>
    <x v="156"/>
    <x v="127"/>
    <x v="226"/>
    <x v="204"/>
    <x v="170"/>
    <x v="188"/>
    <x v="175"/>
    <x v="208"/>
    <n v="150.5"/>
    <x v="223"/>
    <n v="150.80000000000001"/>
    <n v="141.69999999999999"/>
    <x v="208"/>
    <x v="81"/>
    <x v="182"/>
    <x v="200"/>
    <x v="184"/>
    <x v="130"/>
    <x v="211"/>
    <x v="211"/>
    <x v="187"/>
    <n v="143.6"/>
    <n v="149.1"/>
  </r>
  <r>
    <x v="0"/>
    <x v="7"/>
    <x v="2"/>
    <x v="172"/>
    <x v="201"/>
    <x v="192"/>
    <x v="187"/>
    <x v="157"/>
    <x v="127"/>
    <x v="227"/>
    <x v="136"/>
    <x v="172"/>
    <x v="189"/>
    <x v="173"/>
    <x v="209"/>
    <n v="148.19999999999999"/>
    <x v="224"/>
    <n v="153.4"/>
    <n v="147.6"/>
    <x v="209"/>
    <x v="0"/>
    <x v="183"/>
    <x v="201"/>
    <x v="208"/>
    <x v="160"/>
    <x v="212"/>
    <x v="212"/>
    <x v="189"/>
    <n v="148.6"/>
    <n v="149.80000000000001"/>
  </r>
  <r>
    <x v="1"/>
    <x v="7"/>
    <x v="2"/>
    <x v="173"/>
    <x v="200"/>
    <x v="193"/>
    <x v="188"/>
    <x v="148"/>
    <x v="181"/>
    <x v="228"/>
    <x v="207"/>
    <x v="107"/>
    <x v="190"/>
    <x v="124"/>
    <x v="208"/>
    <n v="150.1"/>
    <x v="225"/>
    <n v="147.69999999999999"/>
    <n v="133.80000000000001"/>
    <x v="170"/>
    <x v="82"/>
    <x v="184"/>
    <x v="202"/>
    <x v="209"/>
    <x v="110"/>
    <x v="213"/>
    <x v="190"/>
    <x v="190"/>
    <n v="138.69999999999999"/>
    <n v="147.30000000000001"/>
  </r>
  <r>
    <x v="2"/>
    <x v="7"/>
    <x v="2"/>
    <x v="174"/>
    <x v="202"/>
    <x v="194"/>
    <x v="189"/>
    <x v="158"/>
    <x v="175"/>
    <x v="183"/>
    <x v="204"/>
    <x v="169"/>
    <x v="191"/>
    <x v="176"/>
    <x v="210"/>
    <n v="148.9"/>
    <x v="226"/>
    <n v="151.19999999999999"/>
    <n v="141.9"/>
    <x v="164"/>
    <x v="82"/>
    <x v="185"/>
    <x v="200"/>
    <x v="210"/>
    <x v="125"/>
    <x v="214"/>
    <x v="208"/>
    <x v="191"/>
    <n v="143.80000000000001"/>
    <n v="148.6"/>
  </r>
  <r>
    <x v="0"/>
    <x v="7"/>
    <x v="3"/>
    <x v="175"/>
    <x v="203"/>
    <x v="195"/>
    <x v="190"/>
    <x v="159"/>
    <x v="144"/>
    <x v="229"/>
    <x v="208"/>
    <x v="173"/>
    <x v="192"/>
    <x v="177"/>
    <x v="211"/>
    <n v="150.1"/>
    <x v="227"/>
    <s v="NA"/>
    <s v="NA"/>
    <x v="210"/>
    <x v="0"/>
    <x v="173"/>
    <x v="203"/>
    <x v="199"/>
    <x v="161"/>
    <x v="215"/>
    <x v="213"/>
    <x v="192"/>
    <s v="NA"/>
    <s v="NA"/>
  </r>
  <r>
    <x v="1"/>
    <x v="7"/>
    <x v="3"/>
    <x v="176"/>
    <x v="203"/>
    <x v="196"/>
    <x v="191"/>
    <x v="160"/>
    <x v="154"/>
    <x v="230"/>
    <x v="209"/>
    <x v="128"/>
    <x v="189"/>
    <x v="147"/>
    <x v="211"/>
    <n v="153.5"/>
    <x v="227"/>
    <s v="NA"/>
    <s v="NA"/>
    <x v="210"/>
    <x v="83"/>
    <x v="186"/>
    <x v="203"/>
    <x v="166"/>
    <x v="161"/>
    <x v="215"/>
    <x v="213"/>
    <x v="192"/>
    <s v="NA"/>
    <s v="NA"/>
  </r>
  <r>
    <x v="2"/>
    <x v="7"/>
    <x v="3"/>
    <x v="177"/>
    <x v="203"/>
    <x v="197"/>
    <x v="190"/>
    <x v="161"/>
    <x v="199"/>
    <x v="58"/>
    <x v="210"/>
    <x v="113"/>
    <x v="193"/>
    <x v="178"/>
    <x v="211"/>
    <n v="151.4"/>
    <x v="227"/>
    <s v="NA"/>
    <s v="NA"/>
    <x v="210"/>
    <x v="83"/>
    <x v="187"/>
    <x v="203"/>
    <x v="211"/>
    <x v="161"/>
    <x v="215"/>
    <x v="213"/>
    <x v="192"/>
    <s v="NA"/>
    <s v="NA"/>
  </r>
  <r>
    <x v="0"/>
    <x v="7"/>
    <x v="4"/>
    <x v="178"/>
    <x v="203"/>
    <x v="198"/>
    <x v="192"/>
    <x v="162"/>
    <x v="200"/>
    <x v="231"/>
    <x v="211"/>
    <x v="174"/>
    <x v="194"/>
    <x v="179"/>
    <x v="211"/>
    <s v="NA"/>
    <x v="227"/>
    <s v="NA"/>
    <s v="NA"/>
    <x v="210"/>
    <x v="0"/>
    <x v="188"/>
    <x v="203"/>
    <x v="212"/>
    <x v="161"/>
    <x v="215"/>
    <x v="213"/>
    <x v="192"/>
    <s v="NA"/>
    <s v="NA"/>
  </r>
  <r>
    <x v="1"/>
    <x v="7"/>
    <x v="4"/>
    <x v="178"/>
    <x v="203"/>
    <x v="198"/>
    <x v="192"/>
    <x v="162"/>
    <x v="200"/>
    <x v="231"/>
    <x v="211"/>
    <x v="174"/>
    <x v="194"/>
    <x v="179"/>
    <x v="211"/>
    <s v="NA"/>
    <x v="227"/>
    <s v="NA"/>
    <s v="NA"/>
    <x v="210"/>
    <x v="0"/>
    <x v="188"/>
    <x v="203"/>
    <x v="212"/>
    <x v="161"/>
    <x v="215"/>
    <x v="213"/>
    <x v="192"/>
    <s v="NA"/>
    <s v="NA"/>
  </r>
  <r>
    <x v="2"/>
    <x v="7"/>
    <x v="4"/>
    <x v="178"/>
    <x v="203"/>
    <x v="198"/>
    <x v="192"/>
    <x v="162"/>
    <x v="200"/>
    <x v="231"/>
    <x v="211"/>
    <x v="174"/>
    <x v="194"/>
    <x v="179"/>
    <x v="211"/>
    <s v="NA"/>
    <x v="227"/>
    <s v="NA"/>
    <s v="NA"/>
    <x v="210"/>
    <x v="0"/>
    <x v="188"/>
    <x v="203"/>
    <x v="212"/>
    <x v="161"/>
    <x v="215"/>
    <x v="213"/>
    <x v="192"/>
    <s v="NA"/>
    <s v="NA"/>
  </r>
  <r>
    <x v="0"/>
    <x v="7"/>
    <x v="5"/>
    <x v="179"/>
    <x v="204"/>
    <x v="199"/>
    <x v="193"/>
    <x v="163"/>
    <x v="196"/>
    <x v="232"/>
    <x v="212"/>
    <x v="169"/>
    <x v="195"/>
    <x v="180"/>
    <x v="212"/>
    <n v="152.30000000000001"/>
    <x v="228"/>
    <n v="154.69999999999999"/>
    <n v="150"/>
    <x v="211"/>
    <x v="0"/>
    <x v="189"/>
    <x v="195"/>
    <x v="213"/>
    <x v="162"/>
    <x v="216"/>
    <x v="214"/>
    <x v="193"/>
    <n v="151.69999999999999"/>
    <n v="152.69999999999999"/>
  </r>
  <r>
    <x v="1"/>
    <x v="7"/>
    <x v="5"/>
    <x v="180"/>
    <x v="205"/>
    <x v="200"/>
    <x v="194"/>
    <x v="164"/>
    <x v="201"/>
    <x v="27"/>
    <x v="213"/>
    <x v="175"/>
    <x v="196"/>
    <x v="181"/>
    <x v="213"/>
    <n v="157"/>
    <x v="229"/>
    <n v="149.1"/>
    <n v="136.6"/>
    <x v="151"/>
    <x v="84"/>
    <x v="186"/>
    <x v="199"/>
    <x v="214"/>
    <x v="163"/>
    <x v="217"/>
    <x v="190"/>
    <x v="194"/>
    <n v="142"/>
    <n v="150.80000000000001"/>
  </r>
  <r>
    <x v="2"/>
    <x v="7"/>
    <x v="5"/>
    <x v="181"/>
    <x v="206"/>
    <x v="201"/>
    <x v="193"/>
    <x v="165"/>
    <x v="147"/>
    <x v="233"/>
    <x v="214"/>
    <x v="141"/>
    <x v="197"/>
    <x v="182"/>
    <x v="212"/>
    <n v="154"/>
    <x v="230"/>
    <n v="152.5"/>
    <n v="144.4"/>
    <x v="212"/>
    <x v="84"/>
    <x v="190"/>
    <x v="200"/>
    <x v="215"/>
    <x v="154"/>
    <x v="197"/>
    <x v="215"/>
    <x v="195"/>
    <n v="147"/>
    <n v="151.80000000000001"/>
  </r>
  <r>
    <x v="0"/>
    <x v="7"/>
    <x v="6"/>
    <x v="179"/>
    <x v="204"/>
    <x v="199"/>
    <x v="193"/>
    <x v="163"/>
    <x v="196"/>
    <x v="232"/>
    <x v="212"/>
    <x v="169"/>
    <x v="195"/>
    <x v="180"/>
    <x v="212"/>
    <n v="152.30000000000001"/>
    <x v="228"/>
    <n v="154.69999999999999"/>
    <n v="150"/>
    <x v="211"/>
    <x v="0"/>
    <x v="189"/>
    <x v="195"/>
    <x v="213"/>
    <x v="162"/>
    <x v="216"/>
    <x v="214"/>
    <x v="193"/>
    <n v="151.69999999999999"/>
    <n v="152.69999999999999"/>
  </r>
  <r>
    <x v="1"/>
    <x v="7"/>
    <x v="6"/>
    <x v="180"/>
    <x v="205"/>
    <x v="200"/>
    <x v="194"/>
    <x v="164"/>
    <x v="201"/>
    <x v="27"/>
    <x v="213"/>
    <x v="175"/>
    <x v="196"/>
    <x v="181"/>
    <x v="213"/>
    <n v="157"/>
    <x v="229"/>
    <n v="149.1"/>
    <n v="136.6"/>
    <x v="151"/>
    <x v="84"/>
    <x v="186"/>
    <x v="199"/>
    <x v="214"/>
    <x v="163"/>
    <x v="217"/>
    <x v="190"/>
    <x v="194"/>
    <n v="142"/>
    <n v="150.80000000000001"/>
  </r>
  <r>
    <x v="2"/>
    <x v="7"/>
    <x v="6"/>
    <x v="181"/>
    <x v="206"/>
    <x v="201"/>
    <x v="193"/>
    <x v="165"/>
    <x v="147"/>
    <x v="233"/>
    <x v="214"/>
    <x v="141"/>
    <x v="197"/>
    <x v="182"/>
    <x v="212"/>
    <n v="154"/>
    <x v="230"/>
    <n v="152.5"/>
    <n v="144.4"/>
    <x v="212"/>
    <x v="84"/>
    <x v="190"/>
    <x v="200"/>
    <x v="215"/>
    <x v="154"/>
    <x v="197"/>
    <x v="215"/>
    <x v="195"/>
    <n v="147"/>
    <n v="151.80000000000001"/>
  </r>
  <r>
    <x v="0"/>
    <x v="7"/>
    <x v="7"/>
    <x v="182"/>
    <x v="207"/>
    <x v="181"/>
    <x v="193"/>
    <x v="166"/>
    <x v="202"/>
    <x v="234"/>
    <x v="215"/>
    <x v="141"/>
    <x v="198"/>
    <x v="183"/>
    <x v="214"/>
    <n v="155.30000000000001"/>
    <x v="231"/>
    <n v="155.1"/>
    <n v="149.30000000000001"/>
    <x v="213"/>
    <x v="0"/>
    <x v="191"/>
    <x v="204"/>
    <x v="216"/>
    <x v="164"/>
    <x v="218"/>
    <x v="216"/>
    <x v="196"/>
    <n v="153"/>
    <n v="154.69999999999999"/>
  </r>
  <r>
    <x v="1"/>
    <x v="7"/>
    <x v="7"/>
    <x v="183"/>
    <x v="208"/>
    <x v="202"/>
    <x v="194"/>
    <x v="167"/>
    <x v="203"/>
    <x v="235"/>
    <x v="216"/>
    <x v="176"/>
    <x v="198"/>
    <x v="175"/>
    <x v="215"/>
    <n v="159.9"/>
    <x v="232"/>
    <n v="150"/>
    <n v="135.19999999999999"/>
    <x v="155"/>
    <x v="85"/>
    <x v="192"/>
    <x v="183"/>
    <x v="217"/>
    <x v="165"/>
    <x v="219"/>
    <x v="183"/>
    <x v="197"/>
    <n v="144.80000000000001"/>
    <n v="152.9"/>
  </r>
  <r>
    <x v="2"/>
    <x v="7"/>
    <x v="7"/>
    <x v="184"/>
    <x v="209"/>
    <x v="203"/>
    <x v="193"/>
    <x v="168"/>
    <x v="204"/>
    <x v="28"/>
    <x v="210"/>
    <x v="100"/>
    <x v="198"/>
    <x v="184"/>
    <x v="216"/>
    <n v="157"/>
    <x v="233"/>
    <n v="153.1"/>
    <n v="143.4"/>
    <x v="214"/>
    <x v="85"/>
    <x v="193"/>
    <x v="205"/>
    <x v="218"/>
    <x v="166"/>
    <x v="220"/>
    <x v="217"/>
    <x v="198"/>
    <n v="149"/>
    <n v="153.9"/>
  </r>
  <r>
    <x v="0"/>
    <x v="7"/>
    <x v="8"/>
    <x v="185"/>
    <x v="210"/>
    <x v="183"/>
    <x v="194"/>
    <x v="169"/>
    <x v="205"/>
    <x v="212"/>
    <x v="217"/>
    <x v="100"/>
    <x v="198"/>
    <x v="185"/>
    <x v="217"/>
    <n v="156.1"/>
    <x v="234"/>
    <n v="155.4"/>
    <n v="149.9"/>
    <x v="215"/>
    <x v="0"/>
    <x v="161"/>
    <x v="206"/>
    <x v="219"/>
    <x v="167"/>
    <x v="221"/>
    <x v="203"/>
    <x v="199"/>
    <n v="153.69999999999999"/>
    <n v="155.4"/>
  </r>
  <r>
    <x v="1"/>
    <x v="7"/>
    <x v="8"/>
    <x v="186"/>
    <x v="211"/>
    <x v="204"/>
    <x v="195"/>
    <x v="170"/>
    <x v="206"/>
    <x v="236"/>
    <x v="209"/>
    <x v="121"/>
    <x v="199"/>
    <x v="154"/>
    <x v="218"/>
    <n v="161.30000000000001"/>
    <x v="235"/>
    <n v="150.19999999999999"/>
    <n v="136.30000000000001"/>
    <x v="216"/>
    <x v="86"/>
    <x v="194"/>
    <x v="207"/>
    <x v="220"/>
    <x v="168"/>
    <x v="222"/>
    <x v="196"/>
    <x v="200"/>
    <n v="146"/>
    <n v="154"/>
  </r>
  <r>
    <x v="2"/>
    <x v="7"/>
    <x v="8"/>
    <x v="187"/>
    <x v="212"/>
    <x v="205"/>
    <x v="196"/>
    <x v="163"/>
    <x v="182"/>
    <x v="237"/>
    <x v="218"/>
    <x v="177"/>
    <x v="200"/>
    <x v="186"/>
    <x v="219"/>
    <n v="158"/>
    <x v="236"/>
    <n v="153.4"/>
    <n v="144.30000000000001"/>
    <x v="217"/>
    <x v="86"/>
    <x v="195"/>
    <x v="208"/>
    <x v="221"/>
    <x v="169"/>
    <x v="223"/>
    <x v="218"/>
    <x v="201"/>
    <n v="150"/>
    <n v="154.69999999999999"/>
  </r>
  <r>
    <x v="0"/>
    <x v="7"/>
    <x v="9"/>
    <x v="188"/>
    <x v="213"/>
    <x v="206"/>
    <x v="196"/>
    <x v="171"/>
    <x v="147"/>
    <x v="238"/>
    <x v="212"/>
    <x v="178"/>
    <x v="199"/>
    <x v="187"/>
    <x v="220"/>
    <n v="159.6"/>
    <x v="237"/>
    <n v="155.69999999999999"/>
    <n v="150.6"/>
    <x v="218"/>
    <x v="0"/>
    <x v="143"/>
    <x v="209"/>
    <x v="222"/>
    <x v="170"/>
    <x v="224"/>
    <x v="219"/>
    <x v="202"/>
    <n v="154.30000000000001"/>
    <n v="157.5"/>
  </r>
  <r>
    <x v="1"/>
    <x v="7"/>
    <x v="9"/>
    <x v="189"/>
    <x v="214"/>
    <x v="207"/>
    <x v="197"/>
    <x v="172"/>
    <x v="207"/>
    <x v="239"/>
    <x v="130"/>
    <x v="179"/>
    <x v="201"/>
    <x v="177"/>
    <x v="221"/>
    <n v="164.4"/>
    <x v="235"/>
    <n v="150.5"/>
    <n v="136.1"/>
    <x v="158"/>
    <x v="87"/>
    <x v="186"/>
    <x v="210"/>
    <x v="223"/>
    <x v="171"/>
    <x v="225"/>
    <x v="205"/>
    <x v="203"/>
    <n v="146.19999999999999"/>
    <n v="155.19999999999999"/>
  </r>
  <r>
    <x v="2"/>
    <x v="7"/>
    <x v="9"/>
    <x v="190"/>
    <x v="215"/>
    <x v="208"/>
    <x v="196"/>
    <x v="173"/>
    <x v="208"/>
    <x v="240"/>
    <x v="214"/>
    <x v="110"/>
    <x v="202"/>
    <x v="188"/>
    <x v="222"/>
    <n v="161.4"/>
    <x v="238"/>
    <n v="153.69999999999999"/>
    <n v="144.6"/>
    <x v="207"/>
    <x v="87"/>
    <x v="196"/>
    <x v="208"/>
    <x v="224"/>
    <x v="172"/>
    <x v="226"/>
    <x v="217"/>
    <x v="204"/>
    <n v="150.4"/>
    <n v="156.4"/>
  </r>
  <r>
    <x v="0"/>
    <x v="7"/>
    <x v="11"/>
    <x v="191"/>
    <x v="216"/>
    <x v="209"/>
    <x v="198"/>
    <x v="174"/>
    <x v="180"/>
    <x v="241"/>
    <x v="219"/>
    <x v="180"/>
    <x v="203"/>
    <x v="189"/>
    <x v="223"/>
    <n v="163.4"/>
    <x v="239"/>
    <n v="156.30000000000001"/>
    <n v="151"/>
    <x v="219"/>
    <x v="0"/>
    <x v="197"/>
    <x v="211"/>
    <x v="225"/>
    <x v="173"/>
    <x v="227"/>
    <x v="220"/>
    <x v="202"/>
    <n v="154.5"/>
    <n v="159.80000000000001"/>
  </r>
  <r>
    <x v="1"/>
    <x v="7"/>
    <x v="11"/>
    <x v="192"/>
    <x v="217"/>
    <x v="210"/>
    <x v="195"/>
    <x v="175"/>
    <x v="209"/>
    <x v="242"/>
    <x v="220"/>
    <x v="181"/>
    <x v="204"/>
    <x v="190"/>
    <x v="224"/>
    <n v="167"/>
    <x v="240"/>
    <n v="151.1"/>
    <n v="136.4"/>
    <x v="220"/>
    <x v="88"/>
    <x v="198"/>
    <x v="210"/>
    <x v="226"/>
    <x v="174"/>
    <x v="228"/>
    <x v="215"/>
    <x v="205"/>
    <n v="146.6"/>
    <n v="156.69999999999999"/>
  </r>
  <r>
    <x v="2"/>
    <x v="7"/>
    <x v="11"/>
    <x v="193"/>
    <x v="218"/>
    <x v="211"/>
    <x v="198"/>
    <x v="176"/>
    <x v="210"/>
    <x v="243"/>
    <x v="221"/>
    <x v="182"/>
    <x v="205"/>
    <x v="191"/>
    <x v="225"/>
    <n v="164.7"/>
    <x v="241"/>
    <n v="154.30000000000001"/>
    <n v="144.9"/>
    <x v="221"/>
    <x v="88"/>
    <x v="199"/>
    <x v="212"/>
    <x v="227"/>
    <x v="175"/>
    <x v="229"/>
    <x v="221"/>
    <x v="206"/>
    <n v="150.69999999999999"/>
    <n v="158.4"/>
  </r>
  <r>
    <x v="0"/>
    <x v="7"/>
    <x v="12"/>
    <x v="194"/>
    <x v="219"/>
    <x v="212"/>
    <x v="199"/>
    <x v="177"/>
    <x v="211"/>
    <x v="244"/>
    <x v="127"/>
    <x v="107"/>
    <x v="206"/>
    <x v="192"/>
    <x v="226"/>
    <n v="164.5"/>
    <x v="242"/>
    <n v="157"/>
    <n v="151.6"/>
    <x v="222"/>
    <x v="0"/>
    <x v="200"/>
    <x v="213"/>
    <x v="228"/>
    <x v="170"/>
    <x v="230"/>
    <x v="222"/>
    <x v="207"/>
    <n v="155.19999999999999"/>
    <n v="160.69999999999999"/>
  </r>
  <r>
    <x v="1"/>
    <x v="7"/>
    <x v="12"/>
    <x v="195"/>
    <x v="220"/>
    <x v="213"/>
    <x v="200"/>
    <x v="178"/>
    <x v="166"/>
    <x v="245"/>
    <x v="222"/>
    <x v="140"/>
    <x v="207"/>
    <x v="193"/>
    <x v="227"/>
    <n v="167"/>
    <x v="243"/>
    <n v="151.9"/>
    <n v="136.69999999999999"/>
    <x v="223"/>
    <x v="89"/>
    <x v="201"/>
    <x v="214"/>
    <x v="229"/>
    <x v="176"/>
    <x v="231"/>
    <x v="223"/>
    <x v="205"/>
    <n v="146.9"/>
    <n v="156.9"/>
  </r>
  <r>
    <x v="2"/>
    <x v="7"/>
    <x v="12"/>
    <x v="188"/>
    <x v="218"/>
    <x v="214"/>
    <x v="201"/>
    <x v="179"/>
    <x v="212"/>
    <x v="246"/>
    <x v="223"/>
    <x v="178"/>
    <x v="208"/>
    <x v="194"/>
    <x v="221"/>
    <n v="165.4"/>
    <x v="244"/>
    <n v="155"/>
    <n v="145.4"/>
    <x v="224"/>
    <x v="89"/>
    <x v="179"/>
    <x v="215"/>
    <x v="230"/>
    <x v="177"/>
    <x v="232"/>
    <x v="224"/>
    <x v="208"/>
    <n v="151.19999999999999"/>
    <n v="158.9"/>
  </r>
  <r>
    <x v="0"/>
    <x v="8"/>
    <x v="0"/>
    <x v="196"/>
    <x v="221"/>
    <x v="212"/>
    <x v="199"/>
    <x v="180"/>
    <x v="205"/>
    <x v="247"/>
    <x v="127"/>
    <x v="101"/>
    <x v="209"/>
    <x v="195"/>
    <x v="228"/>
    <n v="159.6"/>
    <x v="245"/>
    <n v="157.5"/>
    <n v="152.4"/>
    <x v="225"/>
    <x v="0"/>
    <x v="202"/>
    <x v="216"/>
    <x v="231"/>
    <x v="178"/>
    <x v="233"/>
    <x v="225"/>
    <x v="202"/>
    <n v="155.9"/>
    <n v="158.5"/>
  </r>
  <r>
    <x v="1"/>
    <x v="8"/>
    <x v="0"/>
    <x v="197"/>
    <x v="222"/>
    <x v="215"/>
    <x v="202"/>
    <x v="181"/>
    <x v="213"/>
    <x v="248"/>
    <x v="89"/>
    <x v="175"/>
    <x v="208"/>
    <x v="196"/>
    <x v="229"/>
    <n v="163.4"/>
    <x v="246"/>
    <n v="152.5"/>
    <n v="137.30000000000001"/>
    <x v="226"/>
    <x v="90"/>
    <x v="195"/>
    <x v="217"/>
    <x v="232"/>
    <x v="179"/>
    <x v="234"/>
    <x v="208"/>
    <x v="209"/>
    <n v="147.6"/>
    <n v="156"/>
  </r>
  <r>
    <x v="2"/>
    <x v="8"/>
    <x v="0"/>
    <x v="165"/>
    <x v="223"/>
    <x v="214"/>
    <x v="201"/>
    <x v="182"/>
    <x v="214"/>
    <x v="249"/>
    <x v="224"/>
    <x v="97"/>
    <x v="210"/>
    <x v="197"/>
    <x v="230"/>
    <n v="161"/>
    <x v="247"/>
    <n v="155.5"/>
    <n v="146.1"/>
    <x v="227"/>
    <x v="90"/>
    <x v="203"/>
    <x v="175"/>
    <x v="233"/>
    <x v="180"/>
    <x v="235"/>
    <x v="226"/>
    <x v="210"/>
    <n v="151.9"/>
    <n v="157.30000000000001"/>
  </r>
  <r>
    <x v="0"/>
    <x v="8"/>
    <x v="1"/>
    <x v="164"/>
    <x v="224"/>
    <x v="216"/>
    <x v="202"/>
    <x v="183"/>
    <x v="139"/>
    <x v="250"/>
    <x v="225"/>
    <x v="146"/>
    <x v="211"/>
    <x v="198"/>
    <x v="231"/>
    <n v="154.69999999999999"/>
    <x v="247"/>
    <n v="159.1"/>
    <n v="153.9"/>
    <x v="228"/>
    <x v="0"/>
    <x v="204"/>
    <x v="218"/>
    <x v="234"/>
    <x v="181"/>
    <x v="236"/>
    <x v="227"/>
    <x v="197"/>
    <n v="157.19999999999999"/>
    <n v="156.69999999999999"/>
  </r>
  <r>
    <x v="1"/>
    <x v="8"/>
    <x v="1"/>
    <x v="182"/>
    <x v="225"/>
    <x v="217"/>
    <x v="203"/>
    <x v="184"/>
    <x v="215"/>
    <x v="251"/>
    <x v="226"/>
    <x v="180"/>
    <x v="212"/>
    <x v="194"/>
    <x v="232"/>
    <n v="160.80000000000001"/>
    <x v="248"/>
    <n v="154.19999999999999"/>
    <n v="138.19999999999999"/>
    <x v="229"/>
    <x v="91"/>
    <x v="205"/>
    <x v="219"/>
    <x v="224"/>
    <x v="182"/>
    <x v="237"/>
    <x v="228"/>
    <x v="211"/>
    <n v="149.30000000000001"/>
    <n v="156.5"/>
  </r>
  <r>
    <x v="2"/>
    <x v="8"/>
    <x v="1"/>
    <x v="168"/>
    <x v="226"/>
    <x v="218"/>
    <x v="204"/>
    <x v="185"/>
    <x v="216"/>
    <x v="252"/>
    <x v="227"/>
    <x v="155"/>
    <x v="213"/>
    <x v="199"/>
    <x v="233"/>
    <n v="156.9"/>
    <x v="249"/>
    <n v="157.19999999999999"/>
    <n v="147.4"/>
    <x v="230"/>
    <x v="91"/>
    <x v="206"/>
    <x v="190"/>
    <x v="235"/>
    <x v="183"/>
    <x v="238"/>
    <x v="229"/>
    <x v="212"/>
    <n v="153.4"/>
    <n v="156.6"/>
  </r>
  <r>
    <x v="0"/>
    <x v="8"/>
    <x v="2"/>
    <x v="163"/>
    <x v="227"/>
    <x v="219"/>
    <x v="205"/>
    <x v="186"/>
    <x v="209"/>
    <x v="67"/>
    <x v="228"/>
    <x v="166"/>
    <x v="210"/>
    <x v="200"/>
    <x v="234"/>
    <n v="154.5"/>
    <x v="250"/>
    <n v="159.6"/>
    <n v="154.4"/>
    <x v="231"/>
    <x v="92"/>
    <x v="207"/>
    <x v="218"/>
    <x v="236"/>
    <x v="184"/>
    <x v="239"/>
    <x v="230"/>
    <x v="213"/>
    <n v="157.30000000000001"/>
    <n v="156.69999999999999"/>
  </r>
  <r>
    <x v="1"/>
    <x v="8"/>
    <x v="2"/>
    <x v="190"/>
    <x v="228"/>
    <x v="220"/>
    <x v="190"/>
    <x v="187"/>
    <x v="217"/>
    <x v="253"/>
    <x v="229"/>
    <x v="151"/>
    <x v="214"/>
    <x v="201"/>
    <x v="235"/>
    <n v="160.4"/>
    <x v="251"/>
    <n v="155.1"/>
    <n v="138.69999999999999"/>
    <x v="232"/>
    <x v="93"/>
    <x v="208"/>
    <x v="220"/>
    <x v="237"/>
    <x v="185"/>
    <x v="240"/>
    <x v="231"/>
    <x v="214"/>
    <n v="150"/>
    <n v="156.9"/>
  </r>
  <r>
    <x v="2"/>
    <x v="8"/>
    <x v="2"/>
    <x v="162"/>
    <x v="229"/>
    <x v="221"/>
    <x v="206"/>
    <x v="188"/>
    <x v="218"/>
    <x v="123"/>
    <x v="226"/>
    <x v="172"/>
    <x v="206"/>
    <x v="202"/>
    <x v="236"/>
    <n v="156.69999999999999"/>
    <x v="252"/>
    <n v="157.80000000000001"/>
    <n v="147.9"/>
    <x v="233"/>
    <x v="93"/>
    <x v="209"/>
    <x v="193"/>
    <x v="238"/>
    <x v="186"/>
    <x v="241"/>
    <x v="197"/>
    <x v="215"/>
    <n v="153.80000000000001"/>
    <n v="156.80000000000001"/>
  </r>
  <r>
    <x v="0"/>
    <x v="8"/>
    <x v="3"/>
    <x v="157"/>
    <x v="217"/>
    <x v="222"/>
    <x v="207"/>
    <x v="189"/>
    <x v="219"/>
    <x v="172"/>
    <x v="229"/>
    <x v="183"/>
    <x v="215"/>
    <x v="203"/>
    <x v="237"/>
    <n v="155.6"/>
    <x v="253"/>
    <n v="160.69999999999999"/>
    <n v="155.1"/>
    <x v="234"/>
    <x v="92"/>
    <x v="207"/>
    <x v="221"/>
    <x v="239"/>
    <x v="187"/>
    <x v="242"/>
    <x v="232"/>
    <x v="216"/>
    <n v="158"/>
    <n v="157.6"/>
  </r>
  <r>
    <x v="1"/>
    <x v="8"/>
    <x v="3"/>
    <x v="182"/>
    <x v="230"/>
    <x v="223"/>
    <x v="208"/>
    <x v="190"/>
    <x v="220"/>
    <x v="201"/>
    <x v="95"/>
    <x v="108"/>
    <x v="216"/>
    <x v="204"/>
    <x v="238"/>
    <n v="162"/>
    <x v="254"/>
    <n v="155.9"/>
    <n v="139.30000000000001"/>
    <x v="235"/>
    <x v="94"/>
    <x v="210"/>
    <x v="222"/>
    <x v="240"/>
    <x v="188"/>
    <x v="203"/>
    <x v="231"/>
    <x v="207"/>
    <n v="150.5"/>
    <n v="158"/>
  </r>
  <r>
    <x v="2"/>
    <x v="8"/>
    <x v="3"/>
    <x v="168"/>
    <x v="231"/>
    <x v="224"/>
    <x v="209"/>
    <x v="191"/>
    <x v="221"/>
    <x v="103"/>
    <x v="125"/>
    <x v="99"/>
    <x v="217"/>
    <x v="205"/>
    <x v="239"/>
    <n v="158"/>
    <x v="240"/>
    <n v="158.80000000000001"/>
    <n v="148.5"/>
    <x v="236"/>
    <x v="94"/>
    <x v="211"/>
    <x v="198"/>
    <x v="241"/>
    <x v="189"/>
    <x v="216"/>
    <x v="233"/>
    <x v="217"/>
    <n v="154.4"/>
    <n v="157.80000000000001"/>
  </r>
  <r>
    <x v="0"/>
    <x v="8"/>
    <x v="4"/>
    <x v="174"/>
    <x v="232"/>
    <x v="225"/>
    <x v="210"/>
    <x v="192"/>
    <x v="222"/>
    <x v="254"/>
    <x v="230"/>
    <x v="151"/>
    <x v="218"/>
    <x v="206"/>
    <x v="240"/>
    <n v="158.69999999999999"/>
    <x v="255"/>
    <n v="165.3"/>
    <n v="160.6"/>
    <x v="237"/>
    <x v="0"/>
    <x v="212"/>
    <x v="223"/>
    <x v="242"/>
    <x v="190"/>
    <x v="243"/>
    <x v="234"/>
    <x v="218"/>
    <n v="161.1"/>
    <n v="161.1"/>
  </r>
  <r>
    <x v="1"/>
    <x v="8"/>
    <x v="4"/>
    <x v="198"/>
    <x v="233"/>
    <x v="226"/>
    <x v="211"/>
    <x v="193"/>
    <x v="223"/>
    <x v="255"/>
    <x v="231"/>
    <x v="184"/>
    <x v="219"/>
    <x v="207"/>
    <x v="241"/>
    <n v="164.2"/>
    <x v="256"/>
    <n v="156.5"/>
    <n v="140.19999999999999"/>
    <x v="211"/>
    <x v="95"/>
    <x v="209"/>
    <x v="171"/>
    <x v="225"/>
    <x v="191"/>
    <x v="241"/>
    <x v="228"/>
    <x v="219"/>
    <n v="152.30000000000001"/>
    <n v="159.5"/>
  </r>
  <r>
    <x v="2"/>
    <x v="8"/>
    <x v="4"/>
    <x v="199"/>
    <x v="234"/>
    <x v="227"/>
    <x v="212"/>
    <x v="194"/>
    <x v="224"/>
    <x v="256"/>
    <x v="81"/>
    <x v="108"/>
    <x v="220"/>
    <x v="208"/>
    <x v="242"/>
    <n v="160.69999999999999"/>
    <x v="257"/>
    <n v="161.80000000000001"/>
    <n v="152.1"/>
    <x v="238"/>
    <x v="95"/>
    <x v="213"/>
    <x v="224"/>
    <x v="243"/>
    <x v="192"/>
    <x v="244"/>
    <x v="212"/>
    <x v="220"/>
    <n v="156.80000000000001"/>
    <n v="160.4"/>
  </r>
  <r>
    <x v="0"/>
    <x v="8"/>
    <x v="5"/>
    <x v="167"/>
    <x v="235"/>
    <x v="228"/>
    <x v="212"/>
    <x v="195"/>
    <x v="225"/>
    <x v="257"/>
    <x v="232"/>
    <x v="97"/>
    <x v="221"/>
    <x v="209"/>
    <x v="243"/>
    <n v="160.5"/>
    <x v="258"/>
    <n v="165.3"/>
    <n v="159.9"/>
    <x v="239"/>
    <x v="0"/>
    <x v="214"/>
    <x v="225"/>
    <x v="244"/>
    <x v="193"/>
    <x v="245"/>
    <x v="235"/>
    <x v="221"/>
    <n v="161.5"/>
    <n v="162.1"/>
  </r>
  <r>
    <x v="1"/>
    <x v="8"/>
    <x v="5"/>
    <x v="200"/>
    <x v="236"/>
    <x v="229"/>
    <x v="211"/>
    <x v="196"/>
    <x v="226"/>
    <x v="258"/>
    <x v="233"/>
    <x v="142"/>
    <x v="222"/>
    <x v="210"/>
    <x v="244"/>
    <n v="166.2"/>
    <x v="259"/>
    <n v="157.30000000000001"/>
    <n v="140.5"/>
    <x v="240"/>
    <x v="96"/>
    <x v="215"/>
    <x v="226"/>
    <x v="245"/>
    <x v="178"/>
    <x v="246"/>
    <x v="236"/>
    <x v="222"/>
    <n v="153.4"/>
    <n v="160.4"/>
  </r>
  <r>
    <x v="2"/>
    <x v="8"/>
    <x v="5"/>
    <x v="201"/>
    <x v="237"/>
    <x v="230"/>
    <x v="213"/>
    <x v="197"/>
    <x v="227"/>
    <x v="259"/>
    <x v="104"/>
    <x v="100"/>
    <x v="223"/>
    <x v="198"/>
    <x v="245"/>
    <n v="162.6"/>
    <x v="260"/>
    <n v="162.19999999999999"/>
    <n v="151.80000000000001"/>
    <x v="241"/>
    <x v="96"/>
    <x v="216"/>
    <x v="218"/>
    <x v="246"/>
    <x v="194"/>
    <x v="247"/>
    <x v="206"/>
    <x v="223"/>
    <n v="157.6"/>
    <n v="161.30000000000001"/>
  </r>
  <r>
    <x v="0"/>
    <x v="8"/>
    <x v="6"/>
    <x v="174"/>
    <x v="238"/>
    <x v="231"/>
    <x v="214"/>
    <x v="198"/>
    <x v="228"/>
    <x v="260"/>
    <x v="234"/>
    <x v="185"/>
    <x v="218"/>
    <x v="211"/>
    <x v="246"/>
    <n v="161.69999999999999"/>
    <x v="261"/>
    <n v="166"/>
    <n v="161.1"/>
    <x v="242"/>
    <x v="0"/>
    <x v="217"/>
    <x v="227"/>
    <x v="247"/>
    <x v="195"/>
    <x v="248"/>
    <x v="237"/>
    <x v="224"/>
    <n v="162.80000000000001"/>
    <n v="163.19999999999999"/>
  </r>
  <r>
    <x v="1"/>
    <x v="8"/>
    <x v="6"/>
    <x v="202"/>
    <x v="239"/>
    <x v="232"/>
    <x v="215"/>
    <x v="199"/>
    <x v="229"/>
    <x v="261"/>
    <x v="235"/>
    <x v="182"/>
    <x v="222"/>
    <x v="192"/>
    <x v="247"/>
    <n v="167.9"/>
    <x v="262"/>
    <n v="157.9"/>
    <n v="141.9"/>
    <x v="219"/>
    <x v="97"/>
    <x v="218"/>
    <x v="228"/>
    <x v="248"/>
    <x v="196"/>
    <x v="212"/>
    <x v="233"/>
    <x v="225"/>
    <n v="155"/>
    <n v="161.80000000000001"/>
  </r>
  <r>
    <x v="2"/>
    <x v="8"/>
    <x v="6"/>
    <x v="203"/>
    <x v="240"/>
    <x v="233"/>
    <x v="216"/>
    <x v="200"/>
    <x v="230"/>
    <x v="262"/>
    <x v="236"/>
    <x v="186"/>
    <x v="224"/>
    <x v="212"/>
    <x v="248"/>
    <n v="164"/>
    <x v="263"/>
    <n v="162.80000000000001"/>
    <n v="153.1"/>
    <x v="243"/>
    <x v="97"/>
    <x v="219"/>
    <x v="229"/>
    <x v="249"/>
    <x v="197"/>
    <x v="249"/>
    <x v="238"/>
    <x v="226"/>
    <n v="159"/>
    <n v="162.5"/>
  </r>
  <r>
    <x v="0"/>
    <x v="8"/>
    <x v="7"/>
    <x v="165"/>
    <x v="241"/>
    <x v="234"/>
    <x v="216"/>
    <x v="201"/>
    <x v="207"/>
    <x v="263"/>
    <x v="95"/>
    <x v="143"/>
    <x v="225"/>
    <x v="213"/>
    <x v="249"/>
    <n v="161.80000000000001"/>
    <x v="243"/>
    <n v="167"/>
    <n v="162.6"/>
    <x v="244"/>
    <x v="0"/>
    <x v="220"/>
    <x v="230"/>
    <x v="250"/>
    <x v="198"/>
    <x v="250"/>
    <x v="239"/>
    <x v="227"/>
    <n v="163.30000000000001"/>
    <n v="163.6"/>
  </r>
  <r>
    <x v="1"/>
    <x v="8"/>
    <x v="7"/>
    <x v="204"/>
    <x v="242"/>
    <x v="235"/>
    <x v="217"/>
    <x v="202"/>
    <x v="231"/>
    <x v="264"/>
    <x v="237"/>
    <x v="187"/>
    <x v="226"/>
    <x v="214"/>
    <x v="250"/>
    <n v="167.3"/>
    <x v="264"/>
    <n v="159.80000000000001"/>
    <n v="143.6"/>
    <x v="236"/>
    <x v="98"/>
    <x v="219"/>
    <x v="231"/>
    <x v="251"/>
    <x v="199"/>
    <x v="251"/>
    <x v="240"/>
    <x v="225"/>
    <n v="156"/>
    <n v="162.30000000000001"/>
  </r>
  <r>
    <x v="2"/>
    <x v="8"/>
    <x v="7"/>
    <x v="205"/>
    <x v="243"/>
    <x v="236"/>
    <x v="218"/>
    <x v="203"/>
    <x v="232"/>
    <x v="94"/>
    <x v="238"/>
    <x v="188"/>
    <x v="227"/>
    <x v="215"/>
    <x v="251"/>
    <n v="164"/>
    <x v="265"/>
    <n v="164.5"/>
    <n v="155.30000000000001"/>
    <x v="245"/>
    <x v="98"/>
    <x v="221"/>
    <x v="232"/>
    <x v="252"/>
    <x v="200"/>
    <x v="252"/>
    <x v="230"/>
    <x v="228"/>
    <n v="160"/>
    <n v="163.19999999999999"/>
  </r>
  <r>
    <x v="0"/>
    <x v="8"/>
    <x v="8"/>
    <x v="191"/>
    <x v="244"/>
    <x v="237"/>
    <x v="219"/>
    <x v="204"/>
    <x v="233"/>
    <x v="113"/>
    <x v="239"/>
    <x v="189"/>
    <x v="228"/>
    <x v="216"/>
    <x v="252"/>
    <n v="162.1"/>
    <x v="266"/>
    <n v="167.7"/>
    <n v="163.6"/>
    <x v="246"/>
    <x v="0"/>
    <x v="222"/>
    <x v="233"/>
    <x v="253"/>
    <x v="201"/>
    <x v="253"/>
    <x v="241"/>
    <x v="229"/>
    <n v="163.80000000000001"/>
    <n v="164"/>
  </r>
  <r>
    <x v="1"/>
    <x v="8"/>
    <x v="8"/>
    <x v="204"/>
    <x v="242"/>
    <x v="235"/>
    <x v="220"/>
    <x v="202"/>
    <x v="234"/>
    <x v="26"/>
    <x v="237"/>
    <x v="187"/>
    <x v="226"/>
    <x v="214"/>
    <x v="250"/>
    <n v="167.3"/>
    <x v="264"/>
    <n v="159.80000000000001"/>
    <n v="143.6"/>
    <x v="247"/>
    <x v="98"/>
    <x v="223"/>
    <x v="234"/>
    <x v="251"/>
    <x v="202"/>
    <x v="230"/>
    <x v="233"/>
    <x v="225"/>
    <n v="156"/>
    <n v="162.30000000000001"/>
  </r>
  <r>
    <x v="2"/>
    <x v="8"/>
    <x v="8"/>
    <x v="205"/>
    <x v="243"/>
    <x v="236"/>
    <x v="218"/>
    <x v="203"/>
    <x v="235"/>
    <x v="265"/>
    <x v="238"/>
    <x v="188"/>
    <x v="227"/>
    <x v="215"/>
    <x v="251"/>
    <n v="164"/>
    <x v="265"/>
    <n v="164.6"/>
    <n v="155.30000000000001"/>
    <x v="248"/>
    <x v="98"/>
    <x v="221"/>
    <x v="232"/>
    <x v="252"/>
    <x v="200"/>
    <x v="254"/>
    <x v="242"/>
    <x v="228"/>
    <n v="160"/>
    <n v="163.19999999999999"/>
  </r>
  <r>
    <x v="0"/>
    <x v="8"/>
    <x v="9"/>
    <x v="206"/>
    <x v="230"/>
    <x v="238"/>
    <x v="218"/>
    <x v="205"/>
    <x v="213"/>
    <x v="266"/>
    <x v="240"/>
    <x v="190"/>
    <x v="229"/>
    <x v="217"/>
    <x v="253"/>
    <n v="165.5"/>
    <x v="263"/>
    <n v="168.9"/>
    <n v="164.8"/>
    <x v="249"/>
    <x v="0"/>
    <x v="224"/>
    <x v="235"/>
    <x v="254"/>
    <x v="203"/>
    <x v="255"/>
    <x v="243"/>
    <x v="230"/>
    <n v="164.7"/>
    <n v="166.3"/>
  </r>
  <r>
    <x v="1"/>
    <x v="8"/>
    <x v="9"/>
    <x v="207"/>
    <x v="245"/>
    <x v="226"/>
    <x v="217"/>
    <x v="206"/>
    <x v="236"/>
    <x v="267"/>
    <x v="85"/>
    <x v="133"/>
    <x v="230"/>
    <x v="218"/>
    <x v="254"/>
    <n v="171.5"/>
    <x v="267"/>
    <n v="160.80000000000001"/>
    <n v="144.4"/>
    <x v="250"/>
    <x v="99"/>
    <x v="225"/>
    <x v="236"/>
    <x v="255"/>
    <x v="204"/>
    <x v="233"/>
    <x v="233"/>
    <x v="227"/>
    <n v="157"/>
    <n v="164.6"/>
  </r>
  <r>
    <x v="2"/>
    <x v="8"/>
    <x v="9"/>
    <x v="208"/>
    <x v="246"/>
    <x v="239"/>
    <x v="221"/>
    <x v="207"/>
    <x v="207"/>
    <x v="268"/>
    <x v="240"/>
    <x v="136"/>
    <x v="231"/>
    <x v="219"/>
    <x v="255"/>
    <n v="167.7"/>
    <x v="268"/>
    <n v="165.7"/>
    <n v="156.30000000000001"/>
    <x v="251"/>
    <x v="99"/>
    <x v="226"/>
    <x v="237"/>
    <x v="242"/>
    <x v="205"/>
    <x v="242"/>
    <x v="244"/>
    <x v="231"/>
    <n v="161"/>
    <n v="165.5"/>
  </r>
  <r>
    <x v="0"/>
    <x v="8"/>
    <x v="11"/>
    <x v="185"/>
    <x v="247"/>
    <x v="240"/>
    <x v="220"/>
    <x v="208"/>
    <x v="164"/>
    <x v="269"/>
    <x v="81"/>
    <x v="127"/>
    <x v="232"/>
    <x v="220"/>
    <x v="256"/>
    <n v="167.5"/>
    <x v="269"/>
    <n v="170.4"/>
    <n v="166"/>
    <x v="252"/>
    <x v="0"/>
    <x v="227"/>
    <x v="238"/>
    <x v="256"/>
    <x v="206"/>
    <x v="256"/>
    <x v="245"/>
    <x v="232"/>
    <n v="165.2"/>
    <n v="167.6"/>
  </r>
  <r>
    <x v="1"/>
    <x v="8"/>
    <x v="11"/>
    <x v="209"/>
    <x v="248"/>
    <x v="241"/>
    <x v="222"/>
    <x v="209"/>
    <x v="237"/>
    <x v="270"/>
    <x v="230"/>
    <x v="191"/>
    <x v="233"/>
    <x v="195"/>
    <x v="257"/>
    <n v="173.5"/>
    <x v="267"/>
    <n v="162.30000000000001"/>
    <n v="145.30000000000001"/>
    <x v="253"/>
    <x v="100"/>
    <x v="228"/>
    <x v="239"/>
    <x v="257"/>
    <x v="207"/>
    <x v="257"/>
    <x v="201"/>
    <x v="233"/>
    <n v="157.30000000000001"/>
    <n v="165.6"/>
  </r>
  <r>
    <x v="2"/>
    <x v="8"/>
    <x v="11"/>
    <x v="179"/>
    <x v="249"/>
    <x v="226"/>
    <x v="223"/>
    <x v="210"/>
    <x v="238"/>
    <x v="271"/>
    <x v="85"/>
    <x v="129"/>
    <x v="234"/>
    <x v="221"/>
    <x v="258"/>
    <n v="169.7"/>
    <x v="270"/>
    <n v="167.2"/>
    <n v="157.4"/>
    <x v="254"/>
    <x v="100"/>
    <x v="229"/>
    <x v="240"/>
    <x v="258"/>
    <x v="208"/>
    <x v="258"/>
    <x v="246"/>
    <x v="234"/>
    <n v="161.4"/>
    <n v="166.7"/>
  </r>
  <r>
    <x v="0"/>
    <x v="8"/>
    <x v="12"/>
    <x v="208"/>
    <x v="205"/>
    <x v="234"/>
    <x v="224"/>
    <x v="211"/>
    <x v="239"/>
    <x v="272"/>
    <x v="237"/>
    <x v="192"/>
    <x v="235"/>
    <x v="222"/>
    <x v="250"/>
    <n v="165.8"/>
    <x v="260"/>
    <n v="171.8"/>
    <n v="167.3"/>
    <x v="255"/>
    <x v="0"/>
    <x v="230"/>
    <x v="241"/>
    <x v="259"/>
    <x v="209"/>
    <x v="259"/>
    <x v="247"/>
    <x v="235"/>
    <n v="166"/>
    <n v="167"/>
  </r>
  <r>
    <x v="1"/>
    <x v="8"/>
    <x v="12"/>
    <x v="183"/>
    <x v="250"/>
    <x v="242"/>
    <x v="225"/>
    <x v="212"/>
    <x v="240"/>
    <x v="273"/>
    <x v="241"/>
    <x v="136"/>
    <x v="220"/>
    <x v="202"/>
    <x v="259"/>
    <n v="172.2"/>
    <x v="271"/>
    <n v="163.30000000000001"/>
    <n v="146.69999999999999"/>
    <x v="241"/>
    <x v="101"/>
    <x v="212"/>
    <x v="242"/>
    <x v="260"/>
    <x v="210"/>
    <x v="252"/>
    <x v="248"/>
    <x v="232"/>
    <n v="157.80000000000001"/>
    <n v="165.2"/>
  </r>
  <r>
    <x v="2"/>
    <x v="8"/>
    <x v="12"/>
    <x v="177"/>
    <x v="251"/>
    <x v="243"/>
    <x v="226"/>
    <x v="213"/>
    <x v="241"/>
    <x v="274"/>
    <x v="242"/>
    <x v="119"/>
    <x v="236"/>
    <x v="223"/>
    <x v="260"/>
    <n v="168.2"/>
    <x v="272"/>
    <n v="168.5"/>
    <n v="158.69999999999999"/>
    <x v="256"/>
    <x v="101"/>
    <x v="231"/>
    <x v="243"/>
    <x v="261"/>
    <x v="205"/>
    <x v="260"/>
    <x v="249"/>
    <x v="236"/>
    <n v="162"/>
    <n v="166.2"/>
  </r>
  <r>
    <x v="0"/>
    <x v="9"/>
    <x v="0"/>
    <x v="210"/>
    <x v="252"/>
    <x v="244"/>
    <x v="227"/>
    <x v="214"/>
    <x v="208"/>
    <x v="180"/>
    <x v="236"/>
    <x v="189"/>
    <x v="237"/>
    <x v="224"/>
    <x v="261"/>
    <n v="164.1"/>
    <x v="273"/>
    <n v="173.2"/>
    <n v="169.3"/>
    <x v="257"/>
    <x v="0"/>
    <x v="232"/>
    <x v="244"/>
    <x v="262"/>
    <x v="211"/>
    <x v="261"/>
    <x v="250"/>
    <x v="237"/>
    <n v="166.6"/>
    <n v="166.4"/>
  </r>
  <r>
    <x v="1"/>
    <x v="9"/>
    <x v="0"/>
    <x v="211"/>
    <x v="244"/>
    <x v="245"/>
    <x v="228"/>
    <x v="215"/>
    <x v="238"/>
    <x v="275"/>
    <x v="92"/>
    <x v="193"/>
    <x v="225"/>
    <x v="225"/>
    <x v="262"/>
    <n v="170.3"/>
    <x v="274"/>
    <n v="164.7"/>
    <n v="148.5"/>
    <x v="258"/>
    <x v="102"/>
    <x v="228"/>
    <x v="245"/>
    <x v="263"/>
    <x v="212"/>
    <x v="262"/>
    <x v="251"/>
    <x v="235"/>
    <n v="158.6"/>
    <n v="165"/>
  </r>
  <r>
    <x v="2"/>
    <x v="9"/>
    <x v="0"/>
    <x v="212"/>
    <x v="253"/>
    <x v="246"/>
    <x v="227"/>
    <x v="216"/>
    <x v="218"/>
    <x v="24"/>
    <x v="239"/>
    <x v="124"/>
    <x v="238"/>
    <x v="226"/>
    <x v="263"/>
    <n v="166.4"/>
    <x v="275"/>
    <n v="169.9"/>
    <n v="160.69999999999999"/>
    <x v="259"/>
    <x v="102"/>
    <x v="226"/>
    <x v="246"/>
    <x v="264"/>
    <x v="213"/>
    <x v="263"/>
    <x v="252"/>
    <x v="238"/>
    <n v="162.69999999999999"/>
    <n v="165.7"/>
  </r>
  <r>
    <x v="0"/>
    <x v="9"/>
    <x v="1"/>
    <x v="198"/>
    <x v="254"/>
    <x v="247"/>
    <x v="229"/>
    <x v="214"/>
    <x v="242"/>
    <x v="97"/>
    <x v="239"/>
    <x v="179"/>
    <x v="239"/>
    <x v="227"/>
    <x v="264"/>
    <n v="163.9"/>
    <x v="276"/>
    <n v="174.1"/>
    <n v="171"/>
    <x v="260"/>
    <x v="0"/>
    <x v="233"/>
    <x v="247"/>
    <x v="265"/>
    <x v="214"/>
    <x v="264"/>
    <x v="253"/>
    <x v="239"/>
    <n v="167.3"/>
    <n v="166.7"/>
  </r>
  <r>
    <x v="1"/>
    <x v="9"/>
    <x v="1"/>
    <x v="213"/>
    <x v="255"/>
    <x v="248"/>
    <x v="230"/>
    <x v="217"/>
    <x v="156"/>
    <x v="276"/>
    <x v="243"/>
    <x v="192"/>
    <x v="240"/>
    <x v="228"/>
    <x v="265"/>
    <n v="170.2"/>
    <x v="264"/>
    <n v="165.7"/>
    <n v="150.4"/>
    <x v="261"/>
    <x v="103"/>
    <x v="234"/>
    <x v="248"/>
    <x v="266"/>
    <x v="197"/>
    <x v="265"/>
    <x v="254"/>
    <x v="240"/>
    <n v="159.4"/>
    <n v="165.5"/>
  </r>
  <r>
    <x v="2"/>
    <x v="9"/>
    <x v="1"/>
    <x v="214"/>
    <x v="256"/>
    <x v="249"/>
    <x v="229"/>
    <x v="218"/>
    <x v="218"/>
    <x v="277"/>
    <x v="244"/>
    <x v="121"/>
    <x v="241"/>
    <x v="229"/>
    <x v="266"/>
    <n v="166.2"/>
    <x v="277"/>
    <n v="170.8"/>
    <n v="162.4"/>
    <x v="262"/>
    <x v="103"/>
    <x v="235"/>
    <x v="249"/>
    <x v="267"/>
    <x v="215"/>
    <x v="266"/>
    <x v="255"/>
    <x v="241"/>
    <n v="163.5"/>
    <n v="166.1"/>
  </r>
  <r>
    <x v="0"/>
    <x v="9"/>
    <x v="2"/>
    <x v="215"/>
    <x v="257"/>
    <x v="250"/>
    <x v="231"/>
    <x v="219"/>
    <x v="243"/>
    <x v="278"/>
    <x v="241"/>
    <x v="179"/>
    <x v="242"/>
    <x v="230"/>
    <x v="267"/>
    <n v="166.6"/>
    <x v="278"/>
    <n v="175.4"/>
    <n v="173.2"/>
    <x v="263"/>
    <x v="0"/>
    <x v="236"/>
    <x v="250"/>
    <x v="268"/>
    <x v="216"/>
    <x v="267"/>
    <x v="256"/>
    <x v="242"/>
    <n v="168.3"/>
    <n v="168.7"/>
  </r>
  <r>
    <x v="1"/>
    <x v="9"/>
    <x v="2"/>
    <x v="216"/>
    <x v="258"/>
    <x v="251"/>
    <x v="232"/>
    <x v="220"/>
    <x v="244"/>
    <x v="214"/>
    <x v="245"/>
    <x v="113"/>
    <x v="243"/>
    <x v="231"/>
    <x v="268"/>
    <n v="171.5"/>
    <x v="279"/>
    <n v="167.1"/>
    <n v="152.6"/>
    <x v="264"/>
    <x v="104"/>
    <x v="237"/>
    <x v="251"/>
    <x v="269"/>
    <x v="193"/>
    <x v="268"/>
    <x v="216"/>
    <x v="243"/>
    <n v="160.6"/>
    <n v="166.5"/>
  </r>
  <r>
    <x v="2"/>
    <x v="9"/>
    <x v="2"/>
    <x v="217"/>
    <x v="259"/>
    <x v="252"/>
    <x v="233"/>
    <x v="221"/>
    <x v="245"/>
    <x v="279"/>
    <x v="239"/>
    <x v="138"/>
    <x v="244"/>
    <x v="232"/>
    <x v="269"/>
    <n v="168.4"/>
    <x v="280"/>
    <n v="172.1"/>
    <n v="164.6"/>
    <x v="265"/>
    <x v="104"/>
    <x v="238"/>
    <x v="252"/>
    <x v="270"/>
    <x v="217"/>
    <x v="269"/>
    <x v="257"/>
    <x v="244"/>
    <n v="164.6"/>
    <n v="167.7"/>
  </r>
  <r>
    <x v="0"/>
    <x v="9"/>
    <x v="3"/>
    <x v="176"/>
    <x v="260"/>
    <x v="253"/>
    <x v="234"/>
    <x v="222"/>
    <x v="246"/>
    <x v="89"/>
    <x v="230"/>
    <x v="194"/>
    <x v="245"/>
    <x v="233"/>
    <x v="270"/>
    <n v="168.6"/>
    <x v="277"/>
    <n v="177.5"/>
    <n v="175.1"/>
    <x v="266"/>
    <x v="0"/>
    <x v="239"/>
    <x v="253"/>
    <x v="271"/>
    <x v="218"/>
    <x v="270"/>
    <x v="258"/>
    <x v="245"/>
    <n v="170.2"/>
    <n v="170.8"/>
  </r>
  <r>
    <x v="1"/>
    <x v="9"/>
    <x v="3"/>
    <x v="218"/>
    <x v="258"/>
    <x v="224"/>
    <x v="235"/>
    <x v="223"/>
    <x v="247"/>
    <x v="280"/>
    <x v="236"/>
    <x v="126"/>
    <x v="246"/>
    <x v="234"/>
    <x v="271"/>
    <n v="174.5"/>
    <x v="281"/>
    <n v="168.4"/>
    <n v="154.5"/>
    <x v="244"/>
    <x v="105"/>
    <x v="240"/>
    <x v="254"/>
    <x v="272"/>
    <x v="219"/>
    <x v="271"/>
    <x v="259"/>
    <x v="246"/>
    <n v="163.1"/>
    <n v="169.2"/>
  </r>
  <r>
    <x v="2"/>
    <x v="9"/>
    <x v="3"/>
    <x v="219"/>
    <x v="261"/>
    <x v="253"/>
    <x v="236"/>
    <x v="224"/>
    <x v="248"/>
    <x v="281"/>
    <x v="235"/>
    <x v="195"/>
    <x v="247"/>
    <x v="211"/>
    <x v="272"/>
    <n v="170.8"/>
    <x v="282"/>
    <n v="173.9"/>
    <n v="166.5"/>
    <x v="267"/>
    <x v="105"/>
    <x v="241"/>
    <x v="255"/>
    <x v="259"/>
    <x v="220"/>
    <x v="272"/>
    <x v="260"/>
    <x v="247"/>
    <n v="166.8"/>
    <n v="170.1"/>
  </r>
  <r>
    <x v="0"/>
    <x v="9"/>
    <x v="4"/>
    <x v="219"/>
    <x v="262"/>
    <x v="208"/>
    <x v="237"/>
    <x v="225"/>
    <x v="249"/>
    <x v="96"/>
    <x v="246"/>
    <x v="121"/>
    <x v="248"/>
    <x v="235"/>
    <x v="273"/>
    <n v="170.8"/>
    <x v="270"/>
    <n v="179.3"/>
    <n v="177.2"/>
    <x v="268"/>
    <x v="0"/>
    <x v="242"/>
    <x v="256"/>
    <x v="273"/>
    <x v="221"/>
    <x v="273"/>
    <x v="261"/>
    <x v="248"/>
    <n v="170.9"/>
    <n v="172.5"/>
  </r>
  <r>
    <x v="1"/>
    <x v="9"/>
    <x v="4"/>
    <x v="220"/>
    <x v="263"/>
    <x v="254"/>
    <x v="238"/>
    <x v="226"/>
    <x v="250"/>
    <x v="282"/>
    <x v="238"/>
    <x v="128"/>
    <x v="249"/>
    <x v="236"/>
    <x v="274"/>
    <n v="177.5"/>
    <x v="279"/>
    <n v="170"/>
    <n v="155.9"/>
    <x v="269"/>
    <x v="106"/>
    <x v="243"/>
    <x v="246"/>
    <x v="274"/>
    <x v="222"/>
    <x v="255"/>
    <x v="262"/>
    <x v="249"/>
    <n v="163.80000000000001"/>
    <n v="170.8"/>
  </r>
  <r>
    <x v="2"/>
    <x v="9"/>
    <x v="4"/>
    <x v="221"/>
    <x v="264"/>
    <x v="255"/>
    <x v="239"/>
    <x v="227"/>
    <x v="251"/>
    <x v="283"/>
    <x v="235"/>
    <x v="188"/>
    <x v="250"/>
    <x v="237"/>
    <x v="275"/>
    <n v="173.3"/>
    <x v="283"/>
    <n v="175.6"/>
    <n v="168.4"/>
    <x v="270"/>
    <x v="106"/>
    <x v="244"/>
    <x v="257"/>
    <x v="275"/>
    <x v="223"/>
    <x v="274"/>
    <x v="263"/>
    <x v="246"/>
    <n v="167.5"/>
    <n v="171.7"/>
  </r>
  <r>
    <x v="0"/>
    <x v="9"/>
    <x v="5"/>
    <x v="222"/>
    <x v="265"/>
    <x v="256"/>
    <x v="238"/>
    <x v="228"/>
    <x v="252"/>
    <x v="284"/>
    <x v="247"/>
    <x v="196"/>
    <x v="251"/>
    <x v="238"/>
    <x v="276"/>
    <n v="172.4"/>
    <x v="270"/>
    <n v="180.7"/>
    <n v="178.7"/>
    <x v="271"/>
    <x v="0"/>
    <x v="245"/>
    <x v="258"/>
    <x v="276"/>
    <x v="224"/>
    <x v="275"/>
    <x v="264"/>
    <x v="250"/>
    <n v="171"/>
    <n v="173.6"/>
  </r>
  <r>
    <x v="1"/>
    <x v="9"/>
    <x v="5"/>
    <x v="223"/>
    <x v="266"/>
    <x v="236"/>
    <x v="240"/>
    <x v="229"/>
    <x v="253"/>
    <x v="285"/>
    <x v="234"/>
    <x v="130"/>
    <x v="252"/>
    <x v="239"/>
    <x v="277"/>
    <n v="179.3"/>
    <x v="284"/>
    <n v="171.6"/>
    <n v="157.4"/>
    <x v="272"/>
    <x v="107"/>
    <x v="246"/>
    <x v="259"/>
    <x v="277"/>
    <x v="225"/>
    <x v="276"/>
    <x v="265"/>
    <x v="251"/>
    <n v="163.80000000000001"/>
    <n v="171.4"/>
  </r>
  <r>
    <x v="2"/>
    <x v="9"/>
    <x v="5"/>
    <x v="224"/>
    <x v="267"/>
    <x v="257"/>
    <x v="241"/>
    <x v="230"/>
    <x v="246"/>
    <x v="286"/>
    <x v="100"/>
    <x v="197"/>
    <x v="253"/>
    <x v="240"/>
    <x v="278"/>
    <n v="174.9"/>
    <x v="285"/>
    <n v="177.1"/>
    <n v="169.9"/>
    <x v="273"/>
    <x v="107"/>
    <x v="247"/>
    <x v="260"/>
    <x v="278"/>
    <x v="226"/>
    <x v="277"/>
    <x v="243"/>
    <x v="252"/>
    <n v="167.5"/>
    <n v="172.6"/>
  </r>
  <r>
    <x v="0"/>
    <x v="9"/>
    <x v="6"/>
    <x v="225"/>
    <x v="268"/>
    <x v="258"/>
    <x v="242"/>
    <x v="231"/>
    <x v="254"/>
    <x v="58"/>
    <x v="242"/>
    <x v="198"/>
    <x v="254"/>
    <x v="241"/>
    <x v="279"/>
    <n v="172.5"/>
    <x v="286"/>
    <n v="182"/>
    <n v="180.3"/>
    <x v="274"/>
    <x v="0"/>
    <x v="248"/>
    <x v="261"/>
    <x v="279"/>
    <x v="227"/>
    <x v="278"/>
    <x v="266"/>
    <x v="253"/>
    <n v="171.8"/>
    <n v="174.3"/>
  </r>
  <r>
    <x v="1"/>
    <x v="9"/>
    <x v="6"/>
    <x v="226"/>
    <x v="269"/>
    <x v="259"/>
    <x v="243"/>
    <x v="232"/>
    <x v="255"/>
    <x v="287"/>
    <x v="236"/>
    <x v="125"/>
    <x v="255"/>
    <x v="242"/>
    <x v="280"/>
    <n v="179.4"/>
    <x v="287"/>
    <n v="172.7"/>
    <n v="158.69999999999999"/>
    <x v="275"/>
    <x v="108"/>
    <x v="249"/>
    <x v="262"/>
    <x v="280"/>
    <x v="228"/>
    <x v="279"/>
    <x v="267"/>
    <x v="254"/>
    <n v="164.7"/>
    <n v="172.3"/>
  </r>
  <r>
    <x v="2"/>
    <x v="9"/>
    <x v="6"/>
    <x v="227"/>
    <x v="270"/>
    <x v="260"/>
    <x v="244"/>
    <x v="211"/>
    <x v="256"/>
    <x v="288"/>
    <x v="100"/>
    <x v="124"/>
    <x v="256"/>
    <x v="243"/>
    <x v="281"/>
    <n v="175"/>
    <x v="288"/>
    <n v="178.3"/>
    <n v="171.3"/>
    <x v="276"/>
    <x v="108"/>
    <x v="248"/>
    <x v="263"/>
    <x v="281"/>
    <x v="229"/>
    <x v="280"/>
    <x v="268"/>
    <x v="253"/>
    <n v="168.4"/>
    <n v="173.4"/>
  </r>
  <r>
    <x v="0"/>
    <x v="9"/>
    <x v="7"/>
    <x v="228"/>
    <x v="271"/>
    <x v="261"/>
    <x v="245"/>
    <x v="233"/>
    <x v="257"/>
    <x v="289"/>
    <x v="248"/>
    <x v="199"/>
    <x v="257"/>
    <x v="244"/>
    <x v="282"/>
    <n v="173.9"/>
    <x v="280"/>
    <n v="183.2"/>
    <n v="181.7"/>
    <x v="277"/>
    <x v="0"/>
    <x v="250"/>
    <x v="264"/>
    <x v="282"/>
    <x v="230"/>
    <x v="281"/>
    <x v="269"/>
    <x v="255"/>
    <n v="172.6"/>
    <n v="175.3"/>
  </r>
  <r>
    <x v="1"/>
    <x v="9"/>
    <x v="7"/>
    <x v="229"/>
    <x v="239"/>
    <x v="262"/>
    <x v="246"/>
    <x v="234"/>
    <x v="258"/>
    <x v="290"/>
    <x v="249"/>
    <x v="200"/>
    <x v="258"/>
    <x v="245"/>
    <x v="283"/>
    <n v="180.4"/>
    <x v="289"/>
    <n v="173.7"/>
    <n v="160"/>
    <x v="278"/>
    <x v="109"/>
    <x v="251"/>
    <x v="265"/>
    <x v="283"/>
    <x v="198"/>
    <x v="274"/>
    <x v="250"/>
    <x v="256"/>
    <n v="165.4"/>
    <n v="173.1"/>
  </r>
  <r>
    <x v="2"/>
    <x v="9"/>
    <x v="7"/>
    <x v="230"/>
    <x v="272"/>
    <x v="263"/>
    <x v="247"/>
    <x v="235"/>
    <x v="259"/>
    <x v="237"/>
    <x v="250"/>
    <x v="122"/>
    <x v="259"/>
    <x v="217"/>
    <x v="277"/>
    <n v="176.3"/>
    <x v="290"/>
    <n v="179.5"/>
    <n v="172.7"/>
    <x v="279"/>
    <x v="109"/>
    <x v="252"/>
    <x v="266"/>
    <x v="284"/>
    <x v="231"/>
    <x v="282"/>
    <x v="270"/>
    <x v="257"/>
    <n v="169.1"/>
    <n v="174.3"/>
  </r>
  <r>
    <x v="0"/>
    <x v="9"/>
    <x v="8"/>
    <x v="231"/>
    <x v="273"/>
    <x v="264"/>
    <x v="248"/>
    <x v="236"/>
    <x v="260"/>
    <x v="291"/>
    <x v="251"/>
    <x v="116"/>
    <x v="260"/>
    <x v="246"/>
    <x v="284"/>
    <n v="175.5"/>
    <x v="291"/>
    <n v="184.7"/>
    <n v="183.3"/>
    <x v="280"/>
    <x v="0"/>
    <x v="253"/>
    <x v="267"/>
    <x v="285"/>
    <x v="232"/>
    <x v="283"/>
    <x v="271"/>
    <x v="258"/>
    <n v="173.1"/>
    <n v="176.4"/>
  </r>
  <r>
    <x v="1"/>
    <x v="9"/>
    <x v="8"/>
    <x v="232"/>
    <x v="274"/>
    <x v="265"/>
    <x v="249"/>
    <x v="237"/>
    <x v="261"/>
    <x v="292"/>
    <x v="107"/>
    <x v="191"/>
    <x v="259"/>
    <x v="247"/>
    <x v="285"/>
    <n v="181.8"/>
    <x v="292"/>
    <n v="175"/>
    <n v="161.69999999999999"/>
    <x v="281"/>
    <x v="110"/>
    <x v="254"/>
    <x v="268"/>
    <x v="286"/>
    <x v="233"/>
    <x v="277"/>
    <x v="258"/>
    <x v="255"/>
    <n v="166.1"/>
    <n v="174.1"/>
  </r>
  <r>
    <x v="2"/>
    <x v="9"/>
    <x v="8"/>
    <x v="233"/>
    <x v="275"/>
    <x v="266"/>
    <x v="250"/>
    <x v="198"/>
    <x v="262"/>
    <x v="293"/>
    <x v="252"/>
    <x v="190"/>
    <x v="261"/>
    <x v="248"/>
    <x v="286"/>
    <n v="177.8"/>
    <x v="293"/>
    <n v="180.9"/>
    <n v="174.3"/>
    <x v="282"/>
    <x v="110"/>
    <x v="249"/>
    <x v="269"/>
    <x v="287"/>
    <x v="234"/>
    <x v="273"/>
    <x v="272"/>
    <x v="259"/>
    <n v="169.7"/>
    <n v="175.3"/>
  </r>
  <r>
    <x v="0"/>
    <x v="9"/>
    <x v="9"/>
    <x v="234"/>
    <x v="276"/>
    <x v="227"/>
    <x v="251"/>
    <x v="238"/>
    <x v="263"/>
    <x v="294"/>
    <x v="253"/>
    <x v="201"/>
    <x v="262"/>
    <x v="249"/>
    <x v="287"/>
    <n v="177.4"/>
    <x v="294"/>
    <n v="186.1"/>
    <n v="184.4"/>
    <x v="283"/>
    <x v="0"/>
    <x v="255"/>
    <x v="270"/>
    <x v="288"/>
    <x v="235"/>
    <x v="284"/>
    <x v="273"/>
    <x v="260"/>
    <n v="173.9"/>
    <n v="177.9"/>
  </r>
  <r>
    <x v="1"/>
    <x v="9"/>
    <x v="9"/>
    <x v="235"/>
    <x v="277"/>
    <x v="267"/>
    <x v="252"/>
    <x v="239"/>
    <x v="262"/>
    <x v="295"/>
    <x v="254"/>
    <x v="202"/>
    <x v="263"/>
    <x v="250"/>
    <x v="288"/>
    <n v="183.3"/>
    <x v="295"/>
    <n v="175.5"/>
    <n v="162.6"/>
    <x v="284"/>
    <x v="111"/>
    <x v="256"/>
    <x v="271"/>
    <x v="262"/>
    <x v="236"/>
    <x v="280"/>
    <x v="274"/>
    <x v="261"/>
    <n v="166.8"/>
    <n v="175.3"/>
  </r>
  <r>
    <x v="2"/>
    <x v="9"/>
    <x v="9"/>
    <x v="236"/>
    <x v="239"/>
    <x v="265"/>
    <x v="251"/>
    <x v="240"/>
    <x v="264"/>
    <x v="296"/>
    <x v="255"/>
    <x v="136"/>
    <x v="264"/>
    <x v="251"/>
    <x v="289"/>
    <n v="179.6"/>
    <x v="296"/>
    <n v="181.9"/>
    <n v="175.3"/>
    <x v="285"/>
    <x v="111"/>
    <x v="257"/>
    <x v="272"/>
    <x v="289"/>
    <x v="237"/>
    <x v="285"/>
    <x v="275"/>
    <x v="262"/>
    <n v="170.5"/>
    <n v="176.7"/>
  </r>
  <r>
    <x v="0"/>
    <x v="9"/>
    <x v="11"/>
    <x v="237"/>
    <x v="278"/>
    <x v="268"/>
    <x v="253"/>
    <x v="241"/>
    <x v="265"/>
    <x v="297"/>
    <x v="118"/>
    <x v="125"/>
    <x v="265"/>
    <x v="252"/>
    <x v="290"/>
    <n v="176.6"/>
    <x v="262"/>
    <n v="187.2"/>
    <n v="185.2"/>
    <x v="286"/>
    <x v="0"/>
    <x v="258"/>
    <x v="273"/>
    <x v="290"/>
    <x v="238"/>
    <x v="286"/>
    <x v="276"/>
    <x v="263"/>
    <n v="174.6"/>
    <n v="177.8"/>
  </r>
  <r>
    <x v="1"/>
    <x v="9"/>
    <x v="11"/>
    <x v="238"/>
    <x v="279"/>
    <x v="269"/>
    <x v="253"/>
    <x v="220"/>
    <x v="266"/>
    <x v="298"/>
    <x v="256"/>
    <x v="202"/>
    <x v="266"/>
    <x v="253"/>
    <x v="291"/>
    <n v="181.3"/>
    <x v="297"/>
    <n v="176.7"/>
    <n v="163.5"/>
    <x v="287"/>
    <x v="112"/>
    <x v="259"/>
    <x v="274"/>
    <x v="291"/>
    <x v="206"/>
    <x v="287"/>
    <x v="277"/>
    <x v="264"/>
    <n v="167.4"/>
    <n v="174.1"/>
  </r>
  <r>
    <x v="2"/>
    <x v="9"/>
    <x v="11"/>
    <x v="239"/>
    <x v="280"/>
    <x v="270"/>
    <x v="253"/>
    <x v="242"/>
    <x v="267"/>
    <x v="30"/>
    <x v="257"/>
    <x v="127"/>
    <x v="267"/>
    <x v="254"/>
    <x v="292"/>
    <n v="178.3"/>
    <x v="298"/>
    <n v="183.1"/>
    <n v="176.2"/>
    <x v="288"/>
    <x v="112"/>
    <x v="260"/>
    <x v="275"/>
    <x v="292"/>
    <x v="223"/>
    <x v="288"/>
    <x v="278"/>
    <x v="265"/>
    <n v="171.1"/>
    <n v="176.5"/>
  </r>
  <r>
    <x v="0"/>
    <x v="9"/>
    <x v="12"/>
    <x v="240"/>
    <x v="281"/>
    <x v="271"/>
    <x v="254"/>
    <x v="243"/>
    <x v="235"/>
    <x v="299"/>
    <x v="257"/>
    <x v="128"/>
    <x v="268"/>
    <x v="255"/>
    <x v="280"/>
    <n v="174.4"/>
    <x v="293"/>
    <n v="188.1"/>
    <n v="185.9"/>
    <x v="289"/>
    <x v="0"/>
    <x v="261"/>
    <x v="276"/>
    <x v="293"/>
    <x v="239"/>
    <x v="289"/>
    <x v="279"/>
    <x v="266"/>
    <n v="175.5"/>
    <n v="177.1"/>
  </r>
  <r>
    <x v="1"/>
    <x v="9"/>
    <x v="12"/>
    <x v="241"/>
    <x v="282"/>
    <x v="272"/>
    <x v="255"/>
    <x v="244"/>
    <x v="268"/>
    <x v="300"/>
    <x v="258"/>
    <x v="191"/>
    <x v="269"/>
    <x v="256"/>
    <x v="293"/>
    <n v="178.6"/>
    <x v="299"/>
    <n v="177.7"/>
    <n v="164.5"/>
    <x v="290"/>
    <x v="113"/>
    <x v="262"/>
    <x v="277"/>
    <x v="294"/>
    <x v="222"/>
    <x v="290"/>
    <x v="261"/>
    <x v="267"/>
    <n v="168.2"/>
    <n v="174.1"/>
  </r>
  <r>
    <x v="2"/>
    <x v="9"/>
    <x v="12"/>
    <x v="242"/>
    <x v="283"/>
    <x v="273"/>
    <x v="256"/>
    <x v="245"/>
    <x v="269"/>
    <x v="301"/>
    <x v="259"/>
    <x v="132"/>
    <x v="270"/>
    <x v="257"/>
    <x v="294"/>
    <n v="175.9"/>
    <x v="300"/>
    <n v="184"/>
    <n v="177"/>
    <x v="277"/>
    <x v="113"/>
    <x v="263"/>
    <x v="278"/>
    <x v="295"/>
    <x v="240"/>
    <x v="291"/>
    <x v="280"/>
    <x v="268"/>
    <n v="172"/>
    <n v="175.7"/>
  </r>
  <r>
    <x v="0"/>
    <x v="10"/>
    <x v="0"/>
    <x v="243"/>
    <x v="284"/>
    <x v="274"/>
    <x v="257"/>
    <x v="214"/>
    <x v="270"/>
    <x v="302"/>
    <x v="94"/>
    <x v="113"/>
    <x v="271"/>
    <x v="258"/>
    <x v="295"/>
    <n v="175"/>
    <x v="298"/>
    <n v="189"/>
    <n v="186.3"/>
    <x v="291"/>
    <x v="0"/>
    <x v="264"/>
    <x v="279"/>
    <x v="296"/>
    <x v="241"/>
    <x v="292"/>
    <x v="281"/>
    <x v="269"/>
    <n v="176.5"/>
    <n v="177.8"/>
  </r>
  <r>
    <x v="1"/>
    <x v="10"/>
    <x v="0"/>
    <x v="244"/>
    <x v="285"/>
    <x v="275"/>
    <x v="258"/>
    <x v="246"/>
    <x v="271"/>
    <x v="303"/>
    <x v="88"/>
    <x v="203"/>
    <x v="272"/>
    <x v="221"/>
    <x v="296"/>
    <n v="179.5"/>
    <x v="301"/>
    <n v="178.7"/>
    <n v="165.3"/>
    <x v="292"/>
    <x v="114"/>
    <x v="265"/>
    <x v="280"/>
    <x v="297"/>
    <x v="203"/>
    <x v="293"/>
    <x v="261"/>
    <x v="270"/>
    <n v="168.9"/>
    <n v="174.9"/>
  </r>
  <r>
    <x v="2"/>
    <x v="10"/>
    <x v="0"/>
    <x v="245"/>
    <x v="259"/>
    <x v="276"/>
    <x v="259"/>
    <x v="247"/>
    <x v="240"/>
    <x v="263"/>
    <x v="260"/>
    <x v="201"/>
    <x v="273"/>
    <x v="259"/>
    <x v="297"/>
    <n v="176.7"/>
    <x v="256"/>
    <n v="184.9"/>
    <n v="177.6"/>
    <x v="293"/>
    <x v="114"/>
    <x v="263"/>
    <x v="281"/>
    <x v="290"/>
    <x v="242"/>
    <x v="294"/>
    <x v="282"/>
    <x v="271"/>
    <n v="172.8"/>
    <n v="176.5"/>
  </r>
  <r>
    <x v="0"/>
    <x v="10"/>
    <x v="1"/>
    <x v="246"/>
    <x v="255"/>
    <x v="277"/>
    <x v="260"/>
    <x v="248"/>
    <x v="272"/>
    <x v="304"/>
    <x v="116"/>
    <x v="196"/>
    <x v="274"/>
    <x v="260"/>
    <x v="298"/>
    <n v="174.8"/>
    <x v="284"/>
    <n v="190"/>
    <n v="187"/>
    <x v="294"/>
    <x v="0"/>
    <x v="266"/>
    <x v="282"/>
    <x v="298"/>
    <x v="243"/>
    <x v="295"/>
    <x v="283"/>
    <x v="272"/>
    <n v="177.9"/>
    <n v="178"/>
  </r>
  <r>
    <x v="1"/>
    <x v="10"/>
    <x v="1"/>
    <x v="247"/>
    <x v="286"/>
    <x v="278"/>
    <x v="261"/>
    <x v="196"/>
    <x v="273"/>
    <x v="305"/>
    <x v="113"/>
    <x v="136"/>
    <x v="265"/>
    <x v="261"/>
    <x v="299"/>
    <n v="180.7"/>
    <x v="302"/>
    <n v="180.3"/>
    <n v="167"/>
    <x v="295"/>
    <x v="115"/>
    <x v="261"/>
    <x v="283"/>
    <x v="299"/>
    <x v="244"/>
    <x v="296"/>
    <x v="284"/>
    <x v="273"/>
    <n v="170"/>
    <n v="176.3"/>
  </r>
  <r>
    <x v="2"/>
    <x v="10"/>
    <x v="1"/>
    <x v="248"/>
    <x v="287"/>
    <x v="260"/>
    <x v="262"/>
    <x v="237"/>
    <x v="274"/>
    <x v="306"/>
    <x v="256"/>
    <x v="124"/>
    <x v="275"/>
    <x v="262"/>
    <x v="300"/>
    <n v="177"/>
    <x v="303"/>
    <n v="186.2"/>
    <n v="178.7"/>
    <x v="296"/>
    <x v="115"/>
    <x v="267"/>
    <x v="284"/>
    <x v="300"/>
    <x v="245"/>
    <x v="297"/>
    <x v="285"/>
    <x v="274"/>
    <n v="174.1"/>
    <n v="177.2"/>
  </r>
  <r>
    <x v="0"/>
    <x v="10"/>
    <x v="2"/>
    <x v="249"/>
    <x v="255"/>
    <x v="277"/>
    <x v="260"/>
    <x v="249"/>
    <x v="272"/>
    <x v="304"/>
    <x v="257"/>
    <x v="196"/>
    <x v="274"/>
    <x v="260"/>
    <x v="298"/>
    <n v="174.8"/>
    <x v="304"/>
    <n v="190"/>
    <n v="187"/>
    <x v="294"/>
    <x v="0"/>
    <x v="268"/>
    <x v="282"/>
    <x v="298"/>
    <x v="243"/>
    <x v="295"/>
    <x v="283"/>
    <x v="272"/>
    <n v="177.9"/>
    <n v="178"/>
  </r>
  <r>
    <x v="1"/>
    <x v="10"/>
    <x v="2"/>
    <x v="247"/>
    <x v="286"/>
    <x v="278"/>
    <x v="261"/>
    <x v="196"/>
    <x v="273"/>
    <x v="307"/>
    <x v="113"/>
    <x v="136"/>
    <x v="265"/>
    <x v="261"/>
    <x v="299"/>
    <n v="180.8"/>
    <x v="302"/>
    <n v="180.2"/>
    <n v="167"/>
    <x v="295"/>
    <x v="115"/>
    <x v="269"/>
    <x v="283"/>
    <x v="299"/>
    <x v="244"/>
    <x v="296"/>
    <x v="284"/>
    <x v="275"/>
    <n v="170"/>
    <n v="176.3"/>
  </r>
  <r>
    <x v="2"/>
    <x v="10"/>
    <x v="2"/>
    <x v="248"/>
    <x v="287"/>
    <x v="260"/>
    <x v="262"/>
    <x v="250"/>
    <x v="274"/>
    <x v="260"/>
    <x v="261"/>
    <x v="124"/>
    <x v="275"/>
    <x v="262"/>
    <x v="300"/>
    <n v="177"/>
    <x v="303"/>
    <n v="186.1"/>
    <n v="178.7"/>
    <x v="296"/>
    <x v="115"/>
    <x v="258"/>
    <x v="284"/>
    <x v="300"/>
    <x v="245"/>
    <x v="297"/>
    <x v="285"/>
    <x v="274"/>
    <n v="174.1"/>
    <n v="177.2"/>
  </r>
  <r>
    <x v="0"/>
    <x v="10"/>
    <x v="3"/>
    <x v="244"/>
    <x v="281"/>
    <x v="250"/>
    <x v="263"/>
    <x v="251"/>
    <x v="275"/>
    <x v="308"/>
    <x v="262"/>
    <x v="187"/>
    <x v="276"/>
    <x v="263"/>
    <x v="301"/>
    <n v="175.5"/>
    <x v="303"/>
    <n v="190.7"/>
    <n v="187.3"/>
    <x v="297"/>
    <x v="92"/>
    <x v="270"/>
    <x v="285"/>
    <x v="301"/>
    <x v="246"/>
    <x v="298"/>
    <x v="286"/>
    <x v="276"/>
    <n v="178.9"/>
    <n v="178.8"/>
  </r>
  <r>
    <x v="1"/>
    <x v="10"/>
    <x v="3"/>
    <x v="250"/>
    <x v="274"/>
    <x v="279"/>
    <x v="264"/>
    <x v="252"/>
    <x v="276"/>
    <x v="309"/>
    <x v="263"/>
    <x v="191"/>
    <x v="277"/>
    <x v="209"/>
    <x v="302"/>
    <n v="182.1"/>
    <x v="305"/>
    <n v="181"/>
    <n v="167.7"/>
    <x v="298"/>
    <x v="116"/>
    <x v="267"/>
    <x v="286"/>
    <x v="302"/>
    <x v="209"/>
    <x v="299"/>
    <x v="287"/>
    <x v="277"/>
    <n v="170.9"/>
    <n v="177.4"/>
  </r>
  <r>
    <x v="2"/>
    <x v="10"/>
    <x v="3"/>
    <x v="245"/>
    <x v="288"/>
    <x v="256"/>
    <x v="265"/>
    <x v="253"/>
    <x v="277"/>
    <x v="259"/>
    <x v="264"/>
    <x v="193"/>
    <x v="278"/>
    <x v="264"/>
    <x v="303"/>
    <n v="177.9"/>
    <x v="297"/>
    <n v="186.9"/>
    <n v="179.2"/>
    <x v="299"/>
    <x v="116"/>
    <x v="271"/>
    <x v="287"/>
    <x v="303"/>
    <x v="247"/>
    <x v="300"/>
    <x v="288"/>
    <x v="278"/>
    <n v="175"/>
    <n v="178.1"/>
  </r>
  <r>
    <x v="0"/>
    <x v="10"/>
    <x v="4"/>
    <x v="251"/>
    <x v="289"/>
    <x v="280"/>
    <x v="266"/>
    <x v="254"/>
    <x v="278"/>
    <x v="310"/>
    <x v="122"/>
    <x v="136"/>
    <x v="279"/>
    <x v="265"/>
    <x v="304"/>
    <n v="176.8"/>
    <x v="306"/>
    <n v="191.2"/>
    <n v="187.9"/>
    <x v="300"/>
    <x v="92"/>
    <x v="272"/>
    <x v="288"/>
    <x v="304"/>
    <x v="248"/>
    <x v="301"/>
    <x v="289"/>
    <x v="279"/>
    <n v="179.5"/>
    <n v="179.8"/>
  </r>
  <r>
    <x v="1"/>
    <x v="10"/>
    <x v="4"/>
    <x v="247"/>
    <x v="267"/>
    <x v="281"/>
    <x v="267"/>
    <x v="255"/>
    <x v="279"/>
    <x v="311"/>
    <x v="102"/>
    <x v="204"/>
    <x v="280"/>
    <x v="266"/>
    <x v="305"/>
    <n v="183.1"/>
    <x v="307"/>
    <n v="181.3"/>
    <n v="168.1"/>
    <x v="301"/>
    <x v="117"/>
    <x v="273"/>
    <x v="289"/>
    <x v="305"/>
    <x v="249"/>
    <x v="302"/>
    <x v="290"/>
    <x v="280"/>
    <n v="171.6"/>
    <n v="178.2"/>
  </r>
  <r>
    <x v="2"/>
    <x v="10"/>
    <x v="4"/>
    <x v="252"/>
    <x v="290"/>
    <x v="282"/>
    <x v="268"/>
    <x v="256"/>
    <x v="280"/>
    <x v="162"/>
    <x v="115"/>
    <x v="203"/>
    <x v="281"/>
    <x v="267"/>
    <x v="306"/>
    <n v="179.1"/>
    <x v="308"/>
    <n v="187.3"/>
    <n v="179.7"/>
    <x v="302"/>
    <x v="117"/>
    <x v="261"/>
    <x v="290"/>
    <x v="306"/>
    <x v="250"/>
    <x v="289"/>
    <x v="291"/>
    <x v="281"/>
    <n v="175.7"/>
    <n v="179.1"/>
  </r>
</pivotCacheRecords>
</file>

<file path=xl/pivotCache/pivotCacheRecords2.xml><?xml version="1.0" encoding="utf-8"?>
<pivotCacheRecords xmlns="http://schemas.openxmlformats.org/spreadsheetml/2006/main" xmlns:r="http://schemas.openxmlformats.org/officeDocument/2006/relationships" count="12">
  <r>
    <s v="Rural+Urban"/>
    <x v="0"/>
    <x v="0"/>
    <x v="0"/>
    <x v="0"/>
    <x v="0"/>
    <x v="0"/>
    <x v="0"/>
    <x v="0"/>
    <x v="0"/>
    <x v="0"/>
    <x v="0"/>
    <x v="0"/>
    <x v="0"/>
    <x v="0"/>
    <x v="0"/>
    <n v="194.3"/>
    <n v="177.1"/>
    <n v="169.9"/>
    <n v="176"/>
    <n v="166.8"/>
    <n v="176"/>
    <n v="166.4"/>
    <n v="175.4"/>
    <n v="161.1"/>
    <n v="165.8"/>
    <n v="169"/>
    <n v="169.4"/>
    <n v="167.5"/>
    <n v="172.6"/>
  </r>
  <r>
    <s v="Rural+Urban"/>
    <x v="0"/>
    <x v="1"/>
    <x v="1"/>
    <x v="1"/>
    <x v="1"/>
    <x v="1"/>
    <x v="1"/>
    <x v="1"/>
    <x v="1"/>
    <x v="0"/>
    <x v="1"/>
    <x v="1"/>
    <x v="1"/>
    <x v="1"/>
    <x v="1"/>
    <n v="194.6"/>
    <n v="178.3"/>
    <n v="171.3"/>
    <n v="177.3"/>
    <n v="167.8"/>
    <n v="179.6"/>
    <n v="167.4"/>
    <n v="176.1"/>
    <n v="161.6"/>
    <n v="166.3"/>
    <n v="171.4"/>
    <n v="169.7"/>
    <n v="168.4"/>
    <n v="173.4"/>
  </r>
  <r>
    <s v="Rural+Urban"/>
    <x v="0"/>
    <x v="2"/>
    <x v="2"/>
    <x v="2"/>
    <x v="2"/>
    <x v="2"/>
    <x v="2"/>
    <x v="2"/>
    <x v="2"/>
    <x v="1"/>
    <x v="2"/>
    <x v="2"/>
    <x v="2"/>
    <x v="2"/>
    <x v="2"/>
    <n v="195"/>
    <n v="179.5"/>
    <n v="172.7"/>
    <n v="178.5"/>
    <n v="169"/>
    <n v="178.8"/>
    <n v="168.5"/>
    <n v="176.8"/>
    <n v="161.9"/>
    <n v="166.9"/>
    <n v="172.3"/>
    <n v="171.2"/>
    <n v="169.1"/>
    <n v="174.3"/>
  </r>
  <r>
    <s v="Rural+Urban"/>
    <x v="0"/>
    <x v="3"/>
    <x v="3"/>
    <x v="3"/>
    <x v="3"/>
    <x v="3"/>
    <x v="3"/>
    <x v="3"/>
    <x v="3"/>
    <x v="2"/>
    <x v="3"/>
    <x v="3"/>
    <x v="3"/>
    <x v="3"/>
    <x v="3"/>
    <n v="195.9"/>
    <n v="180.9"/>
    <n v="174.3"/>
    <n v="179.9"/>
    <n v="169.5"/>
    <n v="179.5"/>
    <n v="169.5"/>
    <n v="177.8"/>
    <n v="162.30000000000001"/>
    <n v="167.6"/>
    <n v="173.1"/>
    <n v="170.9"/>
    <n v="169.7"/>
    <n v="175.3"/>
  </r>
  <r>
    <s v="Rural+Urban"/>
    <x v="0"/>
    <x v="4"/>
    <x v="4"/>
    <x v="4"/>
    <x v="4"/>
    <x v="4"/>
    <x v="4"/>
    <x v="4"/>
    <x v="4"/>
    <x v="3"/>
    <x v="4"/>
    <x v="4"/>
    <x v="4"/>
    <x v="4"/>
    <x v="4"/>
    <n v="196.3"/>
    <n v="181.9"/>
    <n v="175.3"/>
    <n v="181"/>
    <n v="171.2"/>
    <n v="180.5"/>
    <n v="170.4"/>
    <n v="178.7"/>
    <n v="162.9"/>
    <n v="168.2"/>
    <n v="173.4"/>
    <n v="172.1"/>
    <n v="170.5"/>
    <n v="176.7"/>
  </r>
  <r>
    <s v="Rural+Urban"/>
    <x v="0"/>
    <x v="5"/>
    <x v="5"/>
    <x v="5"/>
    <x v="5"/>
    <x v="5"/>
    <x v="5"/>
    <x v="5"/>
    <x v="5"/>
    <x v="4"/>
    <x v="5"/>
    <x v="5"/>
    <x v="5"/>
    <x v="5"/>
    <x v="5"/>
    <n v="196.9"/>
    <n v="183.1"/>
    <n v="176.2"/>
    <n v="182.1"/>
    <n v="171.8"/>
    <n v="181.3"/>
    <n v="171.4"/>
    <n v="179.8"/>
    <n v="163"/>
    <n v="168.5"/>
    <n v="173.7"/>
    <n v="173.6"/>
    <n v="171.1"/>
    <n v="176.5"/>
  </r>
  <r>
    <s v="Rural+Urban"/>
    <x v="0"/>
    <x v="6"/>
    <x v="6"/>
    <x v="6"/>
    <x v="6"/>
    <x v="6"/>
    <x v="6"/>
    <x v="6"/>
    <x v="6"/>
    <x v="5"/>
    <x v="6"/>
    <x v="6"/>
    <x v="6"/>
    <x v="6"/>
    <x v="6"/>
    <n v="197.3"/>
    <n v="184"/>
    <n v="177"/>
    <n v="183"/>
    <n v="170.7"/>
    <n v="182"/>
    <n v="172.1"/>
    <n v="181.1"/>
    <n v="163.4"/>
    <n v="168.9"/>
    <n v="174.1"/>
    <n v="175.8"/>
    <n v="172"/>
    <n v="175.7"/>
  </r>
  <r>
    <s v="Rural+Urban"/>
    <x v="1"/>
    <x v="7"/>
    <x v="7"/>
    <x v="7"/>
    <x v="7"/>
    <x v="7"/>
    <x v="7"/>
    <x v="7"/>
    <x v="7"/>
    <x v="6"/>
    <x v="7"/>
    <x v="7"/>
    <x v="7"/>
    <x v="7"/>
    <x v="7"/>
    <n v="198.2"/>
    <n v="184.9"/>
    <n v="177.6"/>
    <n v="183.8"/>
    <n v="172.1"/>
    <n v="182"/>
    <n v="172.9"/>
    <n v="182.3"/>
    <n v="163.6"/>
    <n v="169.5"/>
    <n v="174.3"/>
    <n v="178.6"/>
    <n v="172.8"/>
    <n v="176.5"/>
  </r>
  <r>
    <s v="Rural+Urban"/>
    <x v="1"/>
    <x v="8"/>
    <x v="8"/>
    <x v="8"/>
    <x v="1"/>
    <x v="8"/>
    <x v="8"/>
    <x v="8"/>
    <x v="8"/>
    <x v="7"/>
    <x v="1"/>
    <x v="8"/>
    <x v="8"/>
    <x v="8"/>
    <x v="8"/>
    <n v="199.5"/>
    <n v="186.2"/>
    <n v="178.7"/>
    <n v="185.1"/>
    <n v="173.5"/>
    <n v="182.1"/>
    <n v="174.2"/>
    <n v="184.4"/>
    <n v="164.2"/>
    <n v="170.3"/>
    <n v="175"/>
    <n v="181"/>
    <n v="174.1"/>
    <n v="177.2"/>
  </r>
  <r>
    <s v="Rural+Urban"/>
    <x v="1"/>
    <x v="9"/>
    <x v="8"/>
    <x v="8"/>
    <x v="1"/>
    <x v="8"/>
    <x v="9"/>
    <x v="8"/>
    <x v="9"/>
    <x v="8"/>
    <x v="1"/>
    <x v="8"/>
    <x v="8"/>
    <x v="8"/>
    <x v="8"/>
    <n v="199.5"/>
    <n v="186.1"/>
    <n v="178.7"/>
    <n v="185.1"/>
    <n v="173.5"/>
    <n v="181.9"/>
    <n v="174.2"/>
    <n v="184.4"/>
    <n v="164.2"/>
    <n v="170.3"/>
    <n v="175"/>
    <n v="181"/>
    <n v="174.1"/>
    <n v="177.2"/>
  </r>
  <r>
    <s v="Rural+Urban"/>
    <x v="1"/>
    <x v="10"/>
    <x v="7"/>
    <x v="9"/>
    <x v="8"/>
    <x v="9"/>
    <x v="10"/>
    <x v="9"/>
    <x v="10"/>
    <x v="9"/>
    <x v="8"/>
    <x v="9"/>
    <x v="9"/>
    <x v="9"/>
    <x v="9"/>
    <n v="200.6"/>
    <n v="186.9"/>
    <n v="179.2"/>
    <n v="185.7"/>
    <n v="175.2"/>
    <n v="181.7"/>
    <n v="174.6"/>
    <n v="185"/>
    <n v="164.5"/>
    <n v="170.7"/>
    <n v="176.4"/>
    <n v="184"/>
    <n v="175"/>
    <n v="178.1"/>
  </r>
  <r>
    <s v="Rural+Urban"/>
    <x v="1"/>
    <x v="11"/>
    <x v="9"/>
    <x v="10"/>
    <x v="9"/>
    <x v="10"/>
    <x v="11"/>
    <x v="10"/>
    <x v="11"/>
    <x v="10"/>
    <x v="9"/>
    <x v="10"/>
    <x v="10"/>
    <x v="10"/>
    <x v="10"/>
    <n v="201"/>
    <n v="187.3"/>
    <n v="179.7"/>
    <n v="186.2"/>
    <n v="175.6"/>
    <n v="182.8"/>
    <n v="175.2"/>
    <n v="185.7"/>
    <n v="164.8"/>
    <n v="171.2"/>
    <n v="177.1"/>
    <n v="185.2"/>
    <n v="175.7"/>
    <n v="179.1"/>
  </r>
</pivotCacheRecords>
</file>

<file path=xl/pivotCache/pivotCacheRecords3.xml><?xml version="1.0" encoding="utf-8"?>
<pivotCacheRecords xmlns="http://schemas.openxmlformats.org/spreadsheetml/2006/main" xmlns:r="http://schemas.openxmlformats.org/officeDocument/2006/relationships" count="23">
  <r>
    <x v="0"/>
    <s v="Rural+Urban"/>
    <n v="2019"/>
    <s v="March"/>
    <n v="138.1"/>
    <n v="149"/>
    <n v="139.69999999999999"/>
    <n v="146.19999999999999"/>
    <n v="124.6"/>
    <x v="0"/>
    <x v="0"/>
    <x v="0"/>
    <m/>
    <m/>
  </r>
  <r>
    <x v="0"/>
    <s v="Rural+Urban"/>
    <n v="2019"/>
    <s v="May"/>
    <n v="140.9"/>
    <n v="150.1"/>
    <n v="140.30000000000001"/>
    <n v="146.9"/>
    <n v="124.9"/>
    <x v="1"/>
    <x v="1"/>
    <x v="1"/>
    <n v="4.7879616963064642E-3"/>
    <n v="2.4077046548958148E-3"/>
  </r>
  <r>
    <x v="0"/>
    <s v="Rural+Urban"/>
    <n v="2019"/>
    <s v="June"/>
    <n v="142.69999999999999"/>
    <n v="149.4"/>
    <n v="141.19999999999999"/>
    <n v="147.4"/>
    <n v="124.6"/>
    <x v="2"/>
    <x v="2"/>
    <x v="2"/>
    <n v="3.4036759700477592E-3"/>
    <n v="-2.4019215372298452E-3"/>
  </r>
  <r>
    <x v="0"/>
    <s v="Rural+Urban"/>
    <n v="2019"/>
    <s v="July"/>
    <n v="144.69999999999999"/>
    <n v="150.6"/>
    <n v="139.30000000000001"/>
    <n v="147.9"/>
    <n v="125.6"/>
    <x v="3"/>
    <x v="3"/>
    <x v="3"/>
    <n v="3.3921302578019397E-3"/>
    <n v="8.0256821829856051E-3"/>
  </r>
  <r>
    <x v="0"/>
    <s v="Rural+Urban"/>
    <n v="2019"/>
    <s v="August"/>
    <n v="145.9"/>
    <n v="151.6"/>
    <n v="138.5"/>
    <n v="148.5"/>
    <n v="125.8"/>
    <x v="4"/>
    <x v="4"/>
    <x v="4"/>
    <n v="4.0567951318457585E-3"/>
    <n v="1.5923566878981443E-3"/>
  </r>
  <r>
    <x v="0"/>
    <s v="Rural+Urban"/>
    <n v="2019"/>
    <s v="September"/>
    <n v="147"/>
    <n v="152.19999999999999"/>
    <n v="139.19999999999999"/>
    <n v="149"/>
    <n v="126.1"/>
    <x v="5"/>
    <x v="5"/>
    <x v="5"/>
    <n v="3.3670033670034627E-3"/>
    <n v="2.3847376788552754E-3"/>
  </r>
  <r>
    <x v="0"/>
    <s v="Rural+Urban"/>
    <n v="2019"/>
    <s v="October"/>
    <n v="149.6"/>
    <n v="153"/>
    <n v="140.6"/>
    <n v="149.4"/>
    <n v="126.3"/>
    <x v="6"/>
    <x v="6"/>
    <x v="6"/>
    <n v="2.6845637583892135E-3"/>
    <n v="1.5860428231562196E-3"/>
  </r>
  <r>
    <x v="0"/>
    <s v="Rural+Urban"/>
    <n v="2019"/>
    <s v="November"/>
    <n v="151.9"/>
    <n v="153.5"/>
    <n v="142.30000000000001"/>
    <n v="149.9"/>
    <n v="126.6"/>
    <x v="7"/>
    <x v="7"/>
    <x v="7"/>
    <n v="3.3467202141901353E-3"/>
    <n v="2.3752969121140222E-3"/>
  </r>
  <r>
    <x v="0"/>
    <s v="Rural+Urban"/>
    <n v="2019"/>
    <s v="December"/>
    <n v="155"/>
    <n v="152.80000000000001"/>
    <n v="143.69999999999999"/>
    <n v="150.4"/>
    <n v="129.80000000000001"/>
    <x v="8"/>
    <x v="8"/>
    <x v="8"/>
    <n v="3.3355570380253496E-3"/>
    <n v="2.5276461295418828E-2"/>
  </r>
  <r>
    <x v="0"/>
    <s v="Rural+Urban"/>
    <n v="2020"/>
    <s v="January"/>
    <n v="153.5"/>
    <n v="153.9"/>
    <n v="144.6"/>
    <n v="151.19999999999999"/>
    <n v="130.9"/>
    <x v="9"/>
    <x v="9"/>
    <x v="9"/>
    <n v="5.3191489361701372E-3"/>
    <n v="8.4745762711864181E-3"/>
  </r>
  <r>
    <x v="0"/>
    <s v="Rural+Urban"/>
    <n v="2020"/>
    <s v="February"/>
    <n v="150.5"/>
    <n v="154.80000000000001"/>
    <n v="147.19999999999999"/>
    <n v="151.69999999999999"/>
    <n v="130.30000000000001"/>
    <x v="10"/>
    <x v="10"/>
    <x v="10"/>
    <n v="3.3068783068783691E-3"/>
    <n v="-4.583651642475095E-3"/>
  </r>
  <r>
    <x v="1"/>
    <s v="Rural+Urban"/>
    <n v="2020"/>
    <s v="March"/>
    <n v="148.9"/>
    <n v="154.5"/>
    <n v="148.9"/>
    <n v="152.30000000000001"/>
    <n v="129.9"/>
    <x v="11"/>
    <x v="11"/>
    <x v="11"/>
    <n v="3.9551746868822235E-3"/>
    <n v="-3.0698388334612359E-3"/>
  </r>
  <r>
    <x v="1"/>
    <s v="Rural+Urban"/>
    <n v="2020"/>
    <s v="April"/>
    <n v="151.4"/>
    <n v="155.6"/>
    <n v="144.1"/>
    <n v="150.69999999999999"/>
    <n v="132.48571428571427"/>
    <x v="12"/>
    <x v="12"/>
    <x v="12"/>
    <n v="-1.0505581089954141E-2"/>
    <n v="1.9905421752996588E-2"/>
  </r>
  <r>
    <x v="1"/>
    <s v="Rural+Urban"/>
    <n v="2020"/>
    <s v="May"/>
    <n v="152.38636363636365"/>
    <n v="154.20909090909092"/>
    <n v="143.22272727272727"/>
    <n v="152.42272727272731"/>
    <n v="132.48571428571427"/>
    <x v="13"/>
    <x v="13"/>
    <x v="13"/>
    <n v="1.14315014779518E-2"/>
    <n v="0"/>
  </r>
  <r>
    <x v="1"/>
    <s v="Rural+Urban"/>
    <n v="2020"/>
    <s v="June"/>
    <n v="154"/>
    <n v="154.69999999999999"/>
    <n v="141.9"/>
    <n v="154.4"/>
    <n v="135"/>
    <x v="14"/>
    <x v="14"/>
    <x v="14"/>
    <n v="1.2972295947275558E-2"/>
    <n v="1.8977787362518983E-2"/>
  </r>
  <r>
    <x v="1"/>
    <s v="Rural+Urban"/>
    <n v="2020"/>
    <s v="July"/>
    <n v="154"/>
    <n v="154.69999999999999"/>
    <n v="141.9"/>
    <n v="154.4"/>
    <n v="135"/>
    <x v="15"/>
    <x v="15"/>
    <x v="15"/>
    <n v="0"/>
    <n v="0"/>
  </r>
  <r>
    <x v="1"/>
    <s v="Rural+Urban"/>
    <n v="2020"/>
    <s v="August"/>
    <n v="157"/>
    <n v="155.5"/>
    <n v="143"/>
    <n v="155"/>
    <n v="138.5"/>
    <x v="16"/>
    <x v="16"/>
    <x v="16"/>
    <n v="3.8860103626943143E-3"/>
    <n v="2.5925925925925908E-2"/>
  </r>
  <r>
    <x v="1"/>
    <s v="Rural+Urban"/>
    <n v="2020"/>
    <s v="September"/>
    <n v="158"/>
    <n v="156.30000000000001"/>
    <n v="142.9"/>
    <n v="155.6"/>
    <n v="139.6"/>
    <x v="17"/>
    <x v="17"/>
    <x v="17"/>
    <n v="3.870967741935516E-3"/>
    <n v="7.9422382671479053E-3"/>
  </r>
  <r>
    <x v="1"/>
    <s v="Rural+Urban"/>
    <n v="2020"/>
    <s v="October"/>
    <n v="161.4"/>
    <n v="156.5"/>
    <n v="143.1"/>
    <n v="156.30000000000001"/>
    <n v="140.6"/>
    <x v="18"/>
    <x v="18"/>
    <x v="18"/>
    <n v="4.4987146529564814E-3"/>
    <n v="7.1633237822350537E-3"/>
  </r>
  <r>
    <x v="1"/>
    <s v="Rural+Urban"/>
    <n v="2020"/>
    <s v="November"/>
    <n v="164.7"/>
    <n v="158"/>
    <n v="143.6"/>
    <n v="157.19999999999999"/>
    <n v="140.4"/>
    <x v="19"/>
    <x v="19"/>
    <x v="19"/>
    <n v="5.7581573896352545E-3"/>
    <n v="-1.4224751066855834E-3"/>
  </r>
  <r>
    <x v="1"/>
    <s v="Rural+Urban"/>
    <n v="2020"/>
    <s v="December"/>
    <n v="165.4"/>
    <n v="158.4"/>
    <n v="144.6"/>
    <n v="158.30000000000001"/>
    <n v="140.69999999999999"/>
    <x v="20"/>
    <x v="20"/>
    <x v="20"/>
    <n v="6.9974554707381564E-3"/>
    <n v="2.1367521367519071E-3"/>
  </r>
  <r>
    <x v="1"/>
    <s v="Rural+Urban"/>
    <n v="2021"/>
    <s v="January"/>
    <n v="161"/>
    <n v="157.69999999999999"/>
    <n v="147.9"/>
    <n v="159.30000000000001"/>
    <n v="141.9"/>
    <x v="21"/>
    <x v="21"/>
    <x v="21"/>
    <n v="6.3171193935565029E-3"/>
    <n v="8.5287846481878482E-3"/>
  </r>
  <r>
    <x v="1"/>
    <s v="Rural+Urban"/>
    <n v="2021"/>
    <s v="February"/>
    <n v="156.9"/>
    <n v="159.80000000000001"/>
    <n v="152.4"/>
    <n v="161.30000000000001"/>
    <n v="145.1"/>
    <x v="22"/>
    <x v="22"/>
    <x v="22"/>
    <n v="1.2554927809165006E-2"/>
    <n v="2.2551092318534138E-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15:L16" firstHeaderRow="0" firstDataRow="1" firstDataCol="0" rowPageCount="13" colPageCount="1"/>
  <pivotFields count="30">
    <pivotField showAll="0"/>
    <pivotField axis="axisPage" multipleItemSelectionAllowed="1" showAll="0">
      <items count="12">
        <item x="0"/>
        <item x="1"/>
        <item x="2"/>
        <item x="3"/>
        <item x="4"/>
        <item x="5"/>
        <item x="6"/>
        <item x="7"/>
        <item x="8"/>
        <item x="9"/>
        <item x="10"/>
        <item t="default"/>
      </items>
    </pivotField>
    <pivotField showAll="0"/>
    <pivotField axis="axisPage" dataField="1" showAll="0">
      <items count="254">
        <item x="0"/>
        <item x="2"/>
        <item x="3"/>
        <item x="6"/>
        <item x="5"/>
        <item x="1"/>
        <item x="11"/>
        <item x="8"/>
        <item x="10"/>
        <item x="13"/>
        <item x="4"/>
        <item x="16"/>
        <item x="15"/>
        <item x="7"/>
        <item x="19"/>
        <item x="9"/>
        <item x="18"/>
        <item x="12"/>
        <item x="21"/>
        <item x="24"/>
        <item x="23"/>
        <item x="14"/>
        <item x="26"/>
        <item x="27"/>
        <item x="17"/>
        <item x="29"/>
        <item x="20"/>
        <item x="30"/>
        <item x="22"/>
        <item x="25"/>
        <item x="32"/>
        <item x="35"/>
        <item x="34"/>
        <item x="28"/>
        <item x="38"/>
        <item x="37"/>
        <item x="43"/>
        <item x="31"/>
        <item x="40"/>
        <item x="42"/>
        <item x="45"/>
        <item x="33"/>
        <item x="47"/>
        <item x="48"/>
        <item x="51"/>
        <item x="36"/>
        <item x="39"/>
        <item x="53"/>
        <item x="50"/>
        <item x="41"/>
        <item x="56"/>
        <item x="44"/>
        <item x="55"/>
        <item x="46"/>
        <item x="58"/>
        <item x="60"/>
        <item x="62"/>
        <item x="65"/>
        <item x="66"/>
        <item x="64"/>
        <item x="49"/>
        <item x="68"/>
        <item x="61"/>
        <item x="67"/>
        <item x="54"/>
        <item x="63"/>
        <item x="59"/>
        <item x="57"/>
        <item x="69"/>
        <item x="52"/>
        <item x="83"/>
        <item x="72"/>
        <item x="70"/>
        <item x="74"/>
        <item x="71"/>
        <item x="76"/>
        <item x="87"/>
        <item x="73"/>
        <item x="75"/>
        <item x="79"/>
        <item x="81"/>
        <item x="84"/>
        <item x="77"/>
        <item x="78"/>
        <item x="80"/>
        <item x="82"/>
        <item x="85"/>
        <item x="88"/>
        <item x="93"/>
        <item x="90"/>
        <item x="86"/>
        <item x="96"/>
        <item x="89"/>
        <item x="94"/>
        <item x="91"/>
        <item x="99"/>
        <item x="97"/>
        <item x="92"/>
        <item x="95"/>
        <item x="100"/>
        <item x="102"/>
        <item x="98"/>
        <item x="105"/>
        <item x="103"/>
        <item x="101"/>
        <item x="109"/>
        <item x="106"/>
        <item x="112"/>
        <item x="111"/>
        <item x="104"/>
        <item x="110"/>
        <item x="107"/>
        <item x="113"/>
        <item x="108"/>
        <item x="120"/>
        <item x="114"/>
        <item x="116"/>
        <item x="125"/>
        <item x="128"/>
        <item x="118"/>
        <item x="115"/>
        <item x="131"/>
        <item x="117"/>
        <item x="121"/>
        <item x="138"/>
        <item x="123"/>
        <item x="126"/>
        <item x="119"/>
        <item x="129"/>
        <item x="132"/>
        <item x="122"/>
        <item x="124"/>
        <item x="141"/>
        <item x="127"/>
        <item x="130"/>
        <item x="136"/>
        <item x="144"/>
        <item x="133"/>
        <item x="134"/>
        <item x="139"/>
        <item x="135"/>
        <item x="150"/>
        <item x="147"/>
        <item x="142"/>
        <item x="137"/>
        <item x="148"/>
        <item x="145"/>
        <item x="153"/>
        <item x="140"/>
        <item x="146"/>
        <item x="143"/>
        <item x="149"/>
        <item x="156"/>
        <item x="151"/>
        <item x="152"/>
        <item x="158"/>
        <item x="159"/>
        <item x="154"/>
        <item x="161"/>
        <item x="155"/>
        <item x="163"/>
        <item x="157"/>
        <item x="164"/>
        <item x="196"/>
        <item x="160"/>
        <item x="166"/>
        <item x="162"/>
        <item x="169"/>
        <item x="168"/>
        <item x="172"/>
        <item x="194"/>
        <item x="171"/>
        <item x="165"/>
        <item x="174"/>
        <item x="191"/>
        <item x="167"/>
        <item x="188"/>
        <item x="206"/>
        <item x="170"/>
        <item x="199"/>
        <item x="203"/>
        <item x="173"/>
        <item x="205"/>
        <item x="201"/>
        <item x="193"/>
        <item x="185"/>
        <item x="175"/>
        <item x="208"/>
        <item x="190"/>
        <item x="182"/>
        <item x="197"/>
        <item x="179"/>
        <item x="210"/>
        <item x="187"/>
        <item x="177"/>
        <item x="198"/>
        <item x="184"/>
        <item x="195"/>
        <item x="202"/>
        <item x="200"/>
        <item x="204"/>
        <item x="212"/>
        <item x="181"/>
        <item x="192"/>
        <item x="214"/>
        <item x="207"/>
        <item x="215"/>
        <item x="189"/>
        <item x="209"/>
        <item x="217"/>
        <item x="186"/>
        <item x="183"/>
        <item x="176"/>
        <item x="211"/>
        <item x="213"/>
        <item x="180"/>
        <item x="219"/>
        <item x="216"/>
        <item x="222"/>
        <item x="221"/>
        <item x="224"/>
        <item x="225"/>
        <item x="218"/>
        <item x="227"/>
        <item x="220"/>
        <item x="223"/>
        <item x="226"/>
        <item x="228"/>
        <item x="230"/>
        <item x="229"/>
        <item x="231"/>
        <item x="233"/>
        <item x="234"/>
        <item x="232"/>
        <item x="236"/>
        <item x="235"/>
        <item x="237"/>
        <item x="239"/>
        <item x="238"/>
        <item x="240"/>
        <item x="242"/>
        <item x="241"/>
        <item x="251"/>
        <item x="244"/>
        <item x="252"/>
        <item x="245"/>
        <item x="243"/>
        <item x="246"/>
        <item x="249"/>
        <item x="248"/>
        <item x="247"/>
        <item x="250"/>
        <item x="178"/>
        <item t="default"/>
      </items>
    </pivotField>
    <pivotField axis="axisPage" dataField="1" showAll="0">
      <items count="292">
        <item x="0"/>
        <item x="2"/>
        <item x="3"/>
        <item x="6"/>
        <item x="1"/>
        <item x="9"/>
        <item x="8"/>
        <item x="12"/>
        <item x="5"/>
        <item x="11"/>
        <item x="14"/>
        <item x="7"/>
        <item x="15"/>
        <item x="4"/>
        <item x="10"/>
        <item x="13"/>
        <item x="17"/>
        <item x="20"/>
        <item x="23"/>
        <item x="28"/>
        <item x="27"/>
        <item x="19"/>
        <item x="29"/>
        <item x="25"/>
        <item x="30"/>
        <item x="22"/>
        <item x="33"/>
        <item x="26"/>
        <item x="32"/>
        <item x="36"/>
        <item x="24"/>
        <item x="18"/>
        <item x="35"/>
        <item x="38"/>
        <item x="16"/>
        <item x="39"/>
        <item x="21"/>
        <item x="34"/>
        <item x="41"/>
        <item x="37"/>
        <item x="31"/>
        <item x="50"/>
        <item x="44"/>
        <item x="55"/>
        <item x="47"/>
        <item x="43"/>
        <item x="59"/>
        <item x="52"/>
        <item x="57"/>
        <item x="54"/>
        <item x="46"/>
        <item x="40"/>
        <item x="49"/>
        <item x="58"/>
        <item x="62"/>
        <item x="51"/>
        <item x="60"/>
        <item x="56"/>
        <item x="42"/>
        <item x="53"/>
        <item x="45"/>
        <item x="61"/>
        <item x="63"/>
        <item x="65"/>
        <item x="48"/>
        <item x="67"/>
        <item x="64"/>
        <item x="79"/>
        <item x="78"/>
        <item x="66"/>
        <item x="80"/>
        <item x="82"/>
        <item x="68"/>
        <item x="81"/>
        <item x="77"/>
        <item x="74"/>
        <item x="76"/>
        <item x="71"/>
        <item x="75"/>
        <item x="70"/>
        <item x="73"/>
        <item x="83"/>
        <item x="86"/>
        <item x="85"/>
        <item x="88"/>
        <item x="72"/>
        <item x="69"/>
        <item x="87"/>
        <item x="90"/>
        <item x="84"/>
        <item x="89"/>
        <item x="92"/>
        <item x="113"/>
        <item x="110"/>
        <item x="93"/>
        <item x="107"/>
        <item x="105"/>
        <item x="112"/>
        <item x="109"/>
        <item x="106"/>
        <item x="104"/>
        <item x="115"/>
        <item x="108"/>
        <item x="111"/>
        <item x="96"/>
        <item x="119"/>
        <item x="102"/>
        <item x="114"/>
        <item x="118"/>
        <item x="95"/>
        <item x="91"/>
        <item x="117"/>
        <item x="99"/>
        <item x="116"/>
        <item x="103"/>
        <item x="98"/>
        <item x="120"/>
        <item x="101"/>
        <item x="122"/>
        <item x="133"/>
        <item x="130"/>
        <item x="94"/>
        <item x="135"/>
        <item x="132"/>
        <item x="136"/>
        <item x="137"/>
        <item x="134"/>
        <item x="131"/>
        <item x="128"/>
        <item x="138"/>
        <item x="129"/>
        <item x="140"/>
        <item x="142"/>
        <item x="123"/>
        <item x="141"/>
        <item x="97"/>
        <item x="121"/>
        <item x="100"/>
        <item x="144"/>
        <item x="139"/>
        <item x="143"/>
        <item x="158"/>
        <item x="125"/>
        <item x="127"/>
        <item x="156"/>
        <item x="161"/>
        <item x="153"/>
        <item x="146"/>
        <item x="155"/>
        <item x="157"/>
        <item x="164"/>
        <item x="154"/>
        <item x="147"/>
        <item x="145"/>
        <item x="126"/>
        <item x="150"/>
        <item x="124"/>
        <item x="152"/>
        <item x="151"/>
        <item x="162"/>
        <item x="149"/>
        <item x="167"/>
        <item x="159"/>
        <item x="148"/>
        <item x="170"/>
        <item x="165"/>
        <item x="160"/>
        <item x="173"/>
        <item x="168"/>
        <item x="163"/>
        <item x="171"/>
        <item x="166"/>
        <item x="169"/>
        <item x="172"/>
        <item x="175"/>
        <item x="184"/>
        <item x="176"/>
        <item x="186"/>
        <item x="174"/>
        <item x="178"/>
        <item x="189"/>
        <item x="181"/>
        <item x="185"/>
        <item x="187"/>
        <item x="190"/>
        <item x="188"/>
        <item x="183"/>
        <item x="179"/>
        <item x="192"/>
        <item x="182"/>
        <item x="193"/>
        <item x="177"/>
        <item x="191"/>
        <item x="180"/>
        <item x="195"/>
        <item x="196"/>
        <item x="194"/>
        <item x="201"/>
        <item x="202"/>
        <item x="197"/>
        <item x="199"/>
        <item x="200"/>
        <item x="198"/>
        <item x="210"/>
        <item x="224"/>
        <item x="213"/>
        <item x="226"/>
        <item x="212"/>
        <item x="207"/>
        <item x="221"/>
        <item x="219"/>
        <item x="216"/>
        <item x="215"/>
        <item x="227"/>
        <item x="223"/>
        <item x="204"/>
        <item x="209"/>
        <item x="218"/>
        <item x="225"/>
        <item x="229"/>
        <item x="206"/>
        <item x="211"/>
        <item x="214"/>
        <item x="222"/>
        <item x="217"/>
        <item x="220"/>
        <item x="252"/>
        <item x="205"/>
        <item x="228"/>
        <item x="208"/>
        <item x="231"/>
        <item x="254"/>
        <item x="232"/>
        <item x="253"/>
        <item x="251"/>
        <item x="247"/>
        <item x="235"/>
        <item x="234"/>
        <item x="256"/>
        <item x="249"/>
        <item x="237"/>
        <item x="244"/>
        <item x="250"/>
        <item x="241"/>
        <item x="230"/>
        <item x="243"/>
        <item x="271"/>
        <item x="233"/>
        <item x="238"/>
        <item x="246"/>
        <item x="248"/>
        <item x="255"/>
        <item x="236"/>
        <item x="272"/>
        <item x="273"/>
        <item x="240"/>
        <item x="281"/>
        <item x="278"/>
        <item x="242"/>
        <item x="287"/>
        <item x="257"/>
        <item x="284"/>
        <item x="245"/>
        <item x="276"/>
        <item x="283"/>
        <item x="275"/>
        <item x="288"/>
        <item x="280"/>
        <item x="260"/>
        <item x="259"/>
        <item x="268"/>
        <item x="239"/>
        <item x="289"/>
        <item x="261"/>
        <item x="286"/>
        <item x="282"/>
        <item x="270"/>
        <item x="279"/>
        <item x="274"/>
        <item x="290"/>
        <item x="262"/>
        <item x="277"/>
        <item x="285"/>
        <item x="258"/>
        <item x="264"/>
        <item x="269"/>
        <item x="265"/>
        <item x="267"/>
        <item x="263"/>
        <item x="266"/>
        <item x="203"/>
        <item t="default"/>
      </items>
    </pivotField>
    <pivotField axis="axisPage" dataField="1" showAll="0">
      <items count="284">
        <item x="13"/>
        <item x="14"/>
        <item x="12"/>
        <item x="10"/>
        <item x="11"/>
        <item x="9"/>
        <item x="0"/>
        <item x="16"/>
        <item x="6"/>
        <item x="2"/>
        <item x="3"/>
        <item x="17"/>
        <item x="20"/>
        <item x="8"/>
        <item x="69"/>
        <item x="22"/>
        <item x="19"/>
        <item x="23"/>
        <item x="15"/>
        <item x="24"/>
        <item x="21"/>
        <item x="5"/>
        <item x="1"/>
        <item x="7"/>
        <item x="26"/>
        <item x="65"/>
        <item x="18"/>
        <item x="43"/>
        <item x="68"/>
        <item x="25"/>
        <item x="70"/>
        <item x="46"/>
        <item x="76"/>
        <item x="47"/>
        <item x="44"/>
        <item x="45"/>
        <item x="27"/>
        <item x="53"/>
        <item x="51"/>
        <item x="66"/>
        <item x="4"/>
        <item x="67"/>
        <item x="52"/>
        <item x="48"/>
        <item x="50"/>
        <item x="49"/>
        <item x="42"/>
        <item x="54"/>
        <item x="29"/>
        <item x="64"/>
        <item x="62"/>
        <item x="55"/>
        <item x="75"/>
        <item x="30"/>
        <item x="33"/>
        <item x="39"/>
        <item x="77"/>
        <item x="71"/>
        <item x="41"/>
        <item x="63"/>
        <item x="36"/>
        <item x="74"/>
        <item x="40"/>
        <item x="72"/>
        <item x="78"/>
        <item x="57"/>
        <item x="73"/>
        <item x="59"/>
        <item x="38"/>
        <item x="28"/>
        <item x="56"/>
        <item x="79"/>
        <item x="91"/>
        <item x="32"/>
        <item x="89"/>
        <item x="61"/>
        <item x="35"/>
        <item x="92"/>
        <item x="37"/>
        <item x="90"/>
        <item x="81"/>
        <item x="88"/>
        <item x="94"/>
        <item x="117"/>
        <item x="115"/>
        <item x="58"/>
        <item x="82"/>
        <item x="60"/>
        <item x="116"/>
        <item x="93"/>
        <item x="80"/>
        <item x="85"/>
        <item x="118"/>
        <item x="119"/>
        <item x="96"/>
        <item x="114"/>
        <item x="31"/>
        <item x="84"/>
        <item x="87"/>
        <item x="113"/>
        <item x="112"/>
        <item x="121"/>
        <item x="97"/>
        <item x="123"/>
        <item x="120"/>
        <item x="34"/>
        <item x="122"/>
        <item x="104"/>
        <item x="105"/>
        <item x="86"/>
        <item x="102"/>
        <item x="103"/>
        <item x="143"/>
        <item x="95"/>
        <item x="124"/>
        <item x="126"/>
        <item x="125"/>
        <item x="101"/>
        <item x="109"/>
        <item x="83"/>
        <item x="111"/>
        <item x="99"/>
        <item x="110"/>
        <item x="152"/>
        <item x="108"/>
        <item x="155"/>
        <item x="145"/>
        <item x="100"/>
        <item x="144"/>
        <item x="106"/>
        <item x="168"/>
        <item x="154"/>
        <item x="107"/>
        <item x="153"/>
        <item x="140"/>
        <item x="147"/>
        <item x="142"/>
        <item x="169"/>
        <item x="170"/>
        <item x="98"/>
        <item x="146"/>
        <item x="158"/>
        <item x="156"/>
        <item x="159"/>
        <item x="157"/>
        <item x="151"/>
        <item x="162"/>
        <item x="141"/>
        <item x="172"/>
        <item x="175"/>
        <item x="167"/>
        <item x="161"/>
        <item x="149"/>
        <item x="150"/>
        <item x="148"/>
        <item x="177"/>
        <item x="137"/>
        <item x="139"/>
        <item x="164"/>
        <item x="138"/>
        <item x="171"/>
        <item x="127"/>
        <item x="136"/>
        <item x="174"/>
        <item x="160"/>
        <item x="178"/>
        <item x="166"/>
        <item x="176"/>
        <item x="173"/>
        <item x="180"/>
        <item x="129"/>
        <item x="163"/>
        <item x="134"/>
        <item x="135"/>
        <item x="133"/>
        <item x="179"/>
        <item x="130"/>
        <item x="132"/>
        <item x="165"/>
        <item x="182"/>
        <item x="131"/>
        <item x="128"/>
        <item x="195"/>
        <item x="192"/>
        <item x="194"/>
        <item x="181"/>
        <item x="197"/>
        <item x="193"/>
        <item x="199"/>
        <item x="183"/>
        <item x="203"/>
        <item x="189"/>
        <item x="185"/>
        <item x="201"/>
        <item x="191"/>
        <item x="196"/>
        <item x="205"/>
        <item x="190"/>
        <item x="186"/>
        <item x="184"/>
        <item x="202"/>
        <item x="200"/>
        <item x="188"/>
        <item x="187"/>
        <item x="204"/>
        <item x="206"/>
        <item x="208"/>
        <item x="255"/>
        <item x="219"/>
        <item x="222"/>
        <item x="221"/>
        <item x="254"/>
        <item x="253"/>
        <item x="224"/>
        <item x="220"/>
        <item x="207"/>
        <item x="223"/>
        <item x="251"/>
        <item x="252"/>
        <item x="250"/>
        <item x="216"/>
        <item x="261"/>
        <item x="225"/>
        <item x="218"/>
        <item x="264"/>
        <item x="263"/>
        <item x="256"/>
        <item x="266"/>
        <item x="217"/>
        <item x="238"/>
        <item x="227"/>
        <item x="262"/>
        <item x="257"/>
        <item x="265"/>
        <item x="280"/>
        <item x="239"/>
        <item x="240"/>
        <item x="209"/>
        <item x="267"/>
        <item x="237"/>
        <item x="279"/>
        <item x="236"/>
        <item x="226"/>
        <item x="282"/>
        <item x="212"/>
        <item x="211"/>
        <item x="277"/>
        <item x="235"/>
        <item x="258"/>
        <item x="260"/>
        <item x="214"/>
        <item x="241"/>
        <item x="247"/>
        <item x="249"/>
        <item x="248"/>
        <item x="234"/>
        <item x="259"/>
        <item x="281"/>
        <item x="210"/>
        <item x="278"/>
        <item x="243"/>
        <item x="244"/>
        <item x="213"/>
        <item x="215"/>
        <item x="246"/>
        <item x="228"/>
        <item x="242"/>
        <item x="245"/>
        <item x="268"/>
        <item x="231"/>
        <item x="230"/>
        <item x="270"/>
        <item x="233"/>
        <item x="229"/>
        <item x="269"/>
        <item x="232"/>
        <item x="271"/>
        <item x="273"/>
        <item x="272"/>
        <item x="274"/>
        <item x="276"/>
        <item x="275"/>
        <item x="198"/>
        <item t="default"/>
      </items>
    </pivotField>
    <pivotField axis="axisPage" dataField="1" showAll="0">
      <items count="270">
        <item x="1"/>
        <item x="4"/>
        <item x="6"/>
        <item x="2"/>
        <item x="9"/>
        <item x="0"/>
        <item x="7"/>
        <item x="3"/>
        <item x="12"/>
        <item x="5"/>
        <item x="10"/>
        <item x="8"/>
        <item x="13"/>
        <item x="15"/>
        <item x="11"/>
        <item x="16"/>
        <item x="14"/>
        <item x="18"/>
        <item x="17"/>
        <item x="20"/>
        <item x="19"/>
        <item x="24"/>
        <item x="22"/>
        <item x="21"/>
        <item x="25"/>
        <item x="23"/>
        <item x="27"/>
        <item x="28"/>
        <item x="26"/>
        <item x="30"/>
        <item x="32"/>
        <item x="29"/>
        <item x="33"/>
        <item x="31"/>
        <item x="34"/>
        <item x="36"/>
        <item x="35"/>
        <item x="37"/>
        <item x="38"/>
        <item x="39"/>
        <item x="40"/>
        <item x="42"/>
        <item x="41"/>
        <item x="43"/>
        <item x="45"/>
        <item x="44"/>
        <item x="46"/>
        <item x="48"/>
        <item x="47"/>
        <item x="49"/>
        <item x="51"/>
        <item x="50"/>
        <item x="52"/>
        <item x="54"/>
        <item x="53"/>
        <item x="55"/>
        <item x="57"/>
        <item x="59"/>
        <item x="56"/>
        <item x="58"/>
        <item x="61"/>
        <item x="60"/>
        <item x="63"/>
        <item x="64"/>
        <item x="62"/>
        <item x="66"/>
        <item x="65"/>
        <item x="68"/>
        <item x="69"/>
        <item x="67"/>
        <item x="71"/>
        <item x="70"/>
        <item x="76"/>
        <item x="73"/>
        <item x="74"/>
        <item x="77"/>
        <item x="83"/>
        <item x="72"/>
        <item x="75"/>
        <item x="79"/>
        <item x="81"/>
        <item x="78"/>
        <item x="80"/>
        <item x="82"/>
        <item x="88"/>
        <item x="90"/>
        <item x="84"/>
        <item x="86"/>
        <item x="91"/>
        <item x="85"/>
        <item x="95"/>
        <item x="89"/>
        <item x="87"/>
        <item x="93"/>
        <item x="98"/>
        <item x="92"/>
        <item x="96"/>
        <item x="101"/>
        <item x="104"/>
        <item x="94"/>
        <item x="99"/>
        <item x="109"/>
        <item x="112"/>
        <item x="115"/>
        <item x="102"/>
        <item x="97"/>
        <item x="105"/>
        <item x="107"/>
        <item x="100"/>
        <item x="110"/>
        <item x="121"/>
        <item x="113"/>
        <item x="116"/>
        <item x="103"/>
        <item x="118"/>
        <item x="106"/>
        <item x="120"/>
        <item x="108"/>
        <item x="111"/>
        <item x="114"/>
        <item x="117"/>
        <item x="124"/>
        <item x="119"/>
        <item x="126"/>
        <item x="122"/>
        <item x="127"/>
        <item x="123"/>
        <item x="131"/>
        <item x="129"/>
        <item x="125"/>
        <item x="133"/>
        <item x="128"/>
        <item x="136"/>
        <item x="130"/>
        <item x="138"/>
        <item x="134"/>
        <item x="144"/>
        <item x="132"/>
        <item x="148"/>
        <item x="137"/>
        <item x="151"/>
        <item x="139"/>
        <item x="145"/>
        <item x="141"/>
        <item x="143"/>
        <item x="146"/>
        <item x="135"/>
        <item x="149"/>
        <item x="161"/>
        <item x="160"/>
        <item x="140"/>
        <item x="142"/>
        <item x="152"/>
        <item x="162"/>
        <item x="154"/>
        <item x="147"/>
        <item x="156"/>
        <item x="158"/>
        <item x="150"/>
        <item x="153"/>
        <item x="163"/>
        <item x="155"/>
        <item x="157"/>
        <item x="159"/>
        <item x="164"/>
        <item x="166"/>
        <item x="165"/>
        <item x="167"/>
        <item x="169"/>
        <item x="168"/>
        <item x="171"/>
        <item x="173"/>
        <item x="170"/>
        <item x="176"/>
        <item x="174"/>
        <item x="172"/>
        <item x="177"/>
        <item x="175"/>
        <item x="179"/>
        <item x="180"/>
        <item x="178"/>
        <item x="182"/>
        <item x="183"/>
        <item x="181"/>
        <item x="185"/>
        <item x="186"/>
        <item x="184"/>
        <item x="188"/>
        <item x="189"/>
        <item x="187"/>
        <item x="193"/>
        <item x="194"/>
        <item x="196"/>
        <item x="197"/>
        <item x="198"/>
        <item x="195"/>
        <item x="199"/>
        <item x="201"/>
        <item x="200"/>
        <item x="202"/>
        <item x="205"/>
        <item x="204"/>
        <item x="206"/>
        <item x="207"/>
        <item x="203"/>
        <item x="209"/>
        <item x="191"/>
        <item x="190"/>
        <item x="210"/>
        <item x="208"/>
        <item x="212"/>
        <item x="213"/>
        <item x="211"/>
        <item x="214"/>
        <item x="216"/>
        <item x="219"/>
        <item x="215"/>
        <item x="218"/>
        <item x="221"/>
        <item x="220"/>
        <item x="217"/>
        <item x="223"/>
        <item x="222"/>
        <item x="224"/>
        <item x="226"/>
        <item x="225"/>
        <item x="228"/>
        <item x="227"/>
        <item x="230"/>
        <item x="229"/>
        <item x="231"/>
        <item x="233"/>
        <item x="232"/>
        <item x="234"/>
        <item x="236"/>
        <item x="235"/>
        <item x="237"/>
        <item x="239"/>
        <item x="238"/>
        <item x="241"/>
        <item x="242"/>
        <item x="240"/>
        <item x="244"/>
        <item x="243"/>
        <item x="245"/>
        <item x="247"/>
        <item x="246"/>
        <item x="248"/>
        <item x="250"/>
        <item x="249"/>
        <item x="251"/>
        <item x="252"/>
        <item x="253"/>
        <item x="254"/>
        <item x="256"/>
        <item x="255"/>
        <item x="257"/>
        <item x="259"/>
        <item x="258"/>
        <item x="260"/>
        <item x="262"/>
        <item x="261"/>
        <item x="263"/>
        <item x="265"/>
        <item x="264"/>
        <item x="267"/>
        <item x="268"/>
        <item x="266"/>
        <item x="192"/>
        <item t="default"/>
      </items>
    </pivotField>
    <pivotField axis="axisPage" dataField="1" showAll="0">
      <items count="258">
        <item x="18"/>
        <item x="16"/>
        <item x="13"/>
        <item x="23"/>
        <item x="10"/>
        <item x="25"/>
        <item x="33"/>
        <item x="7"/>
        <item x="36"/>
        <item x="32"/>
        <item x="50"/>
        <item x="39"/>
        <item x="27"/>
        <item x="1"/>
        <item x="4"/>
        <item x="46"/>
        <item x="14"/>
        <item x="17"/>
        <item x="19"/>
        <item x="11"/>
        <item x="21"/>
        <item x="57"/>
        <item x="8"/>
        <item x="2"/>
        <item x="61"/>
        <item x="12"/>
        <item x="5"/>
        <item x="9"/>
        <item x="15"/>
        <item x="64"/>
        <item x="0"/>
        <item x="6"/>
        <item x="67"/>
        <item x="20"/>
        <item x="34"/>
        <item x="3"/>
        <item x="28"/>
        <item x="37"/>
        <item x="72"/>
        <item x="30"/>
        <item x="22"/>
        <item x="51"/>
        <item x="24"/>
        <item x="42"/>
        <item x="44"/>
        <item x="47"/>
        <item x="83"/>
        <item x="53"/>
        <item x="26"/>
        <item x="31"/>
        <item x="55"/>
        <item x="58"/>
        <item x="35"/>
        <item x="29"/>
        <item x="87"/>
        <item x="38"/>
        <item x="62"/>
        <item x="76"/>
        <item x="40"/>
        <item x="49"/>
        <item x="41"/>
        <item x="43"/>
        <item x="48"/>
        <item x="45"/>
        <item x="68"/>
        <item x="52"/>
        <item x="65"/>
        <item x="70"/>
        <item x="54"/>
        <item x="56"/>
        <item x="59"/>
        <item x="60"/>
        <item x="98"/>
        <item x="74"/>
        <item x="109"/>
        <item x="66"/>
        <item x="69"/>
        <item x="63"/>
        <item x="104"/>
        <item x="85"/>
        <item x="71"/>
        <item x="84"/>
        <item x="77"/>
        <item x="88"/>
        <item x="116"/>
        <item x="79"/>
        <item x="81"/>
        <item x="73"/>
        <item x="118"/>
        <item x="121"/>
        <item x="91"/>
        <item x="123"/>
        <item x="125"/>
        <item x="130"/>
        <item x="93"/>
        <item x="95"/>
        <item x="132"/>
        <item x="75"/>
        <item x="99"/>
        <item x="110"/>
        <item x="86"/>
        <item x="78"/>
        <item x="108"/>
        <item x="82"/>
        <item x="89"/>
        <item x="106"/>
        <item x="80"/>
        <item x="115"/>
        <item x="102"/>
        <item x="105"/>
        <item x="141"/>
        <item x="90"/>
        <item x="92"/>
        <item x="94"/>
        <item x="122"/>
        <item x="112"/>
        <item x="113"/>
        <item x="96"/>
        <item x="111"/>
        <item x="126"/>
        <item x="97"/>
        <item x="107"/>
        <item x="114"/>
        <item x="147"/>
        <item x="100"/>
        <item x="138"/>
        <item x="101"/>
        <item x="103"/>
        <item x="133"/>
        <item x="142"/>
        <item x="149"/>
        <item x="135"/>
        <item x="120"/>
        <item x="117"/>
        <item x="119"/>
        <item x="124"/>
        <item x="127"/>
        <item x="137"/>
        <item x="128"/>
        <item x="129"/>
        <item x="136"/>
        <item x="139"/>
        <item x="140"/>
        <item x="134"/>
        <item x="143"/>
        <item x="131"/>
        <item x="144"/>
        <item x="145"/>
        <item x="150"/>
        <item x="146"/>
        <item x="152"/>
        <item x="155"/>
        <item x="148"/>
        <item x="153"/>
        <item x="158"/>
        <item x="156"/>
        <item x="160"/>
        <item x="151"/>
        <item x="164"/>
        <item x="157"/>
        <item x="167"/>
        <item x="154"/>
        <item x="170"/>
        <item x="161"/>
        <item x="172"/>
        <item x="165"/>
        <item x="159"/>
        <item x="168"/>
        <item x="175"/>
        <item x="163"/>
        <item x="166"/>
        <item x="173"/>
        <item x="169"/>
        <item x="178"/>
        <item x="171"/>
        <item x="176"/>
        <item x="181"/>
        <item x="174"/>
        <item x="179"/>
        <item x="177"/>
        <item x="182"/>
        <item x="184"/>
        <item x="180"/>
        <item x="187"/>
        <item x="185"/>
        <item x="190"/>
        <item x="183"/>
        <item x="188"/>
        <item x="255"/>
        <item x="186"/>
        <item x="252"/>
        <item x="193"/>
        <item x="256"/>
        <item x="191"/>
        <item x="199"/>
        <item x="215"/>
        <item x="217"/>
        <item x="196"/>
        <item x="254"/>
        <item x="212"/>
        <item x="253"/>
        <item x="202"/>
        <item x="189"/>
        <item x="209"/>
        <item x="206"/>
        <item x="239"/>
        <item x="246"/>
        <item x="251"/>
        <item x="194"/>
        <item x="244"/>
        <item x="250"/>
        <item x="237"/>
        <item x="220"/>
        <item x="200"/>
        <item x="234"/>
        <item x="249"/>
        <item x="248"/>
        <item x="197"/>
        <item x="192"/>
        <item x="216"/>
        <item x="232"/>
        <item x="218"/>
        <item x="223"/>
        <item x="240"/>
        <item x="247"/>
        <item x="213"/>
        <item x="203"/>
        <item x="245"/>
        <item x="229"/>
        <item x="198"/>
        <item x="242"/>
        <item x="226"/>
        <item x="210"/>
        <item x="195"/>
        <item x="207"/>
        <item x="201"/>
        <item x="238"/>
        <item x="235"/>
        <item x="214"/>
        <item x="243"/>
        <item x="241"/>
        <item x="236"/>
        <item x="221"/>
        <item x="204"/>
        <item x="211"/>
        <item x="233"/>
        <item x="208"/>
        <item x="205"/>
        <item x="224"/>
        <item x="230"/>
        <item x="231"/>
        <item x="227"/>
        <item x="219"/>
        <item x="222"/>
        <item x="228"/>
        <item x="225"/>
        <item x="162"/>
        <item t="default"/>
      </items>
    </pivotField>
    <pivotField axis="axisPage" dataField="1" showAll="0">
      <items count="282">
        <item x="1"/>
        <item x="4"/>
        <item x="2"/>
        <item x="5"/>
        <item x="0"/>
        <item x="3"/>
        <item x="7"/>
        <item x="8"/>
        <item x="6"/>
        <item x="26"/>
        <item x="25"/>
        <item x="12"/>
        <item x="9"/>
        <item x="22"/>
        <item x="11"/>
        <item x="15"/>
        <item x="14"/>
        <item x="10"/>
        <item x="23"/>
        <item x="27"/>
        <item x="29"/>
        <item x="18"/>
        <item x="13"/>
        <item x="17"/>
        <item x="21"/>
        <item x="24"/>
        <item x="20"/>
        <item x="33"/>
        <item x="16"/>
        <item x="19"/>
        <item x="32"/>
        <item x="30"/>
        <item x="34"/>
        <item x="35"/>
        <item x="36"/>
        <item x="31"/>
        <item x="28"/>
        <item x="38"/>
        <item x="96"/>
        <item x="39"/>
        <item x="95"/>
        <item x="37"/>
        <item x="99"/>
        <item x="93"/>
        <item x="66"/>
        <item x="69"/>
        <item x="61"/>
        <item x="64"/>
        <item x="58"/>
        <item x="90"/>
        <item x="71"/>
        <item x="85"/>
        <item x="87"/>
        <item x="55"/>
        <item x="97"/>
        <item x="40"/>
        <item x="62"/>
        <item x="46"/>
        <item x="42"/>
        <item x="67"/>
        <item x="43"/>
        <item x="59"/>
        <item x="94"/>
        <item x="41"/>
        <item x="56"/>
        <item x="72"/>
        <item x="45"/>
        <item x="91"/>
        <item x="48"/>
        <item x="86"/>
        <item x="63"/>
        <item x="60"/>
        <item x="57"/>
        <item x="88"/>
        <item x="49"/>
        <item x="44"/>
        <item x="118"/>
        <item x="68"/>
        <item x="119"/>
        <item x="51"/>
        <item x="54"/>
        <item x="84"/>
        <item x="65"/>
        <item x="74"/>
        <item x="77"/>
        <item x="70"/>
        <item x="53"/>
        <item x="47"/>
        <item x="122"/>
        <item x="92"/>
        <item x="98"/>
        <item x="89"/>
        <item x="80"/>
        <item x="75"/>
        <item x="78"/>
        <item x="52"/>
        <item x="81"/>
        <item x="120"/>
        <item x="83"/>
        <item x="79"/>
        <item x="82"/>
        <item x="102"/>
        <item x="50"/>
        <item x="150"/>
        <item x="76"/>
        <item x="73"/>
        <item x="115"/>
        <item x="101"/>
        <item x="148"/>
        <item x="130"/>
        <item x="123"/>
        <item x="177"/>
        <item x="105"/>
        <item x="117"/>
        <item x="111"/>
        <item x="103"/>
        <item x="113"/>
        <item x="145"/>
        <item x="106"/>
        <item x="125"/>
        <item x="116"/>
        <item x="108"/>
        <item x="133"/>
        <item x="104"/>
        <item x="140"/>
        <item x="178"/>
        <item x="128"/>
        <item x="109"/>
        <item x="131"/>
        <item x="100"/>
        <item x="126"/>
        <item x="114"/>
        <item x="107"/>
        <item x="121"/>
        <item x="112"/>
        <item x="135"/>
        <item x="174"/>
        <item x="124"/>
        <item x="129"/>
        <item x="171"/>
        <item x="110"/>
        <item x="197"/>
        <item x="132"/>
        <item x="151"/>
        <item x="143"/>
        <item x="127"/>
        <item x="146"/>
        <item x="175"/>
        <item x="137"/>
        <item x="176"/>
        <item x="153"/>
        <item x="141"/>
        <item x="198"/>
        <item x="196"/>
        <item x="181"/>
        <item x="179"/>
        <item x="188"/>
        <item x="134"/>
        <item x="194"/>
        <item x="195"/>
        <item x="173"/>
        <item x="172"/>
        <item x="138"/>
        <item x="191"/>
        <item x="211"/>
        <item x="155"/>
        <item x="169"/>
        <item x="184"/>
        <item x="180"/>
        <item x="190"/>
        <item x="142"/>
        <item x="183"/>
        <item x="202"/>
        <item x="205"/>
        <item x="147"/>
        <item x="144"/>
        <item x="193"/>
        <item x="212"/>
        <item x="139"/>
        <item x="149"/>
        <item x="136"/>
        <item x="210"/>
        <item x="192"/>
        <item x="152"/>
        <item x="214"/>
        <item x="166"/>
        <item x="189"/>
        <item x="199"/>
        <item x="157"/>
        <item x="186"/>
        <item x="204"/>
        <item x="209"/>
        <item x="170"/>
        <item x="216"/>
        <item x="182"/>
        <item x="208"/>
        <item x="160"/>
        <item x="242"/>
        <item x="167"/>
        <item x="201"/>
        <item x="239"/>
        <item x="163"/>
        <item x="213"/>
        <item x="233"/>
        <item x="154"/>
        <item x="164"/>
        <item x="165"/>
        <item x="158"/>
        <item x="218"/>
        <item x="187"/>
        <item x="215"/>
        <item x="162"/>
        <item x="168"/>
        <item x="203"/>
        <item x="161"/>
        <item x="185"/>
        <item x="241"/>
        <item x="206"/>
        <item x="207"/>
        <item x="243"/>
        <item x="270"/>
        <item x="156"/>
        <item x="238"/>
        <item x="235"/>
        <item x="232"/>
        <item x="217"/>
        <item x="159"/>
        <item x="245"/>
        <item x="228"/>
        <item x="269"/>
        <item x="240"/>
        <item x="225"/>
        <item x="265"/>
        <item x="236"/>
        <item x="268"/>
        <item x="244"/>
        <item x="237"/>
        <item x="271"/>
        <item x="219"/>
        <item x="267"/>
        <item x="234"/>
        <item x="231"/>
        <item x="263"/>
        <item x="222"/>
        <item x="266"/>
        <item x="264"/>
        <item x="230"/>
        <item x="260"/>
        <item x="221"/>
        <item x="227"/>
        <item x="262"/>
        <item x="252"/>
        <item x="224"/>
        <item x="272"/>
        <item x="261"/>
        <item x="249"/>
        <item x="220"/>
        <item x="278"/>
        <item x="257"/>
        <item x="274"/>
        <item x="254"/>
        <item x="246"/>
        <item x="229"/>
        <item x="251"/>
        <item x="226"/>
        <item x="273"/>
        <item x="280"/>
        <item x="223"/>
        <item x="248"/>
        <item x="259"/>
        <item x="275"/>
        <item x="253"/>
        <item x="256"/>
        <item x="250"/>
        <item x="279"/>
        <item x="247"/>
        <item x="277"/>
        <item x="258"/>
        <item x="276"/>
        <item x="255"/>
        <item x="200"/>
        <item t="default"/>
      </items>
    </pivotField>
    <pivotField axis="axisPage" dataField="1" showAll="0">
      <items count="313">
        <item x="6"/>
        <item x="0"/>
        <item x="2"/>
        <item x="3"/>
        <item x="1"/>
        <item x="5"/>
        <item x="8"/>
        <item x="7"/>
        <item x="4"/>
        <item x="10"/>
        <item x="11"/>
        <item x="9"/>
        <item x="38"/>
        <item x="13"/>
        <item x="41"/>
        <item x="39"/>
        <item x="37"/>
        <item x="42"/>
        <item x="40"/>
        <item x="14"/>
        <item x="134"/>
        <item x="35"/>
        <item x="136"/>
        <item x="135"/>
        <item x="138"/>
        <item x="139"/>
        <item x="133"/>
        <item x="137"/>
        <item x="43"/>
        <item x="45"/>
        <item x="131"/>
        <item x="44"/>
        <item x="140"/>
        <item x="36"/>
        <item x="142"/>
        <item x="12"/>
        <item x="143"/>
        <item x="34"/>
        <item x="47"/>
        <item x="132"/>
        <item x="144"/>
        <item x="16"/>
        <item x="46"/>
        <item x="141"/>
        <item x="77"/>
        <item x="173"/>
        <item x="75"/>
        <item x="107"/>
        <item x="72"/>
        <item x="80"/>
        <item x="79"/>
        <item x="196"/>
        <item x="145"/>
        <item x="17"/>
        <item x="48"/>
        <item x="74"/>
        <item x="198"/>
        <item x="108"/>
        <item x="105"/>
        <item x="194"/>
        <item x="106"/>
        <item x="78"/>
        <item x="82"/>
        <item x="195"/>
        <item x="76"/>
        <item x="197"/>
        <item x="193"/>
        <item x="73"/>
        <item x="50"/>
        <item x="69"/>
        <item x="192"/>
        <item x="174"/>
        <item x="71"/>
        <item x="147"/>
        <item x="200"/>
        <item x="109"/>
        <item x="70"/>
        <item x="171"/>
        <item x="111"/>
        <item x="172"/>
        <item x="83"/>
        <item x="81"/>
        <item x="191"/>
        <item x="110"/>
        <item x="169"/>
        <item x="49"/>
        <item x="175"/>
        <item x="170"/>
        <item x="254"/>
        <item x="20"/>
        <item x="85"/>
        <item x="19"/>
        <item x="102"/>
        <item x="66"/>
        <item x="68"/>
        <item x="203"/>
        <item x="86"/>
        <item x="304"/>
        <item x="67"/>
        <item x="199"/>
        <item x="104"/>
        <item x="112"/>
        <item x="130"/>
        <item x="129"/>
        <item x="146"/>
        <item x="168"/>
        <item x="308"/>
        <item x="302"/>
        <item x="202"/>
        <item x="176"/>
        <item x="15"/>
        <item x="178"/>
        <item x="177"/>
        <item x="103"/>
        <item x="257"/>
        <item x="32"/>
        <item x="88"/>
        <item x="190"/>
        <item x="33"/>
        <item x="100"/>
        <item x="31"/>
        <item x="84"/>
        <item x="189"/>
        <item x="187"/>
        <item x="256"/>
        <item x="310"/>
        <item x="232"/>
        <item x="101"/>
        <item x="126"/>
        <item x="184"/>
        <item x="123"/>
        <item x="250"/>
        <item x="186"/>
        <item x="51"/>
        <item x="299"/>
        <item x="166"/>
        <item x="125"/>
        <item x="128"/>
        <item x="185"/>
        <item x="113"/>
        <item x="148"/>
        <item x="167"/>
        <item x="22"/>
        <item x="63"/>
        <item x="165"/>
        <item x="227"/>
        <item x="65"/>
        <item x="114"/>
        <item x="306"/>
        <item x="260"/>
        <item x="124"/>
        <item x="188"/>
        <item x="64"/>
        <item x="87"/>
        <item x="89"/>
        <item x="263"/>
        <item x="23"/>
        <item x="179"/>
        <item x="153"/>
        <item x="127"/>
        <item x="97"/>
        <item x="60"/>
        <item x="259"/>
        <item x="278"/>
        <item x="181"/>
        <item x="207"/>
        <item x="182"/>
        <item x="233"/>
        <item x="155"/>
        <item x="62"/>
        <item x="120"/>
        <item x="156"/>
        <item x="183"/>
        <item x="91"/>
        <item x="53"/>
        <item x="117"/>
        <item x="99"/>
        <item x="57"/>
        <item x="92"/>
        <item x="122"/>
        <item x="180"/>
        <item x="150"/>
        <item x="61"/>
        <item x="116"/>
        <item x="301"/>
        <item x="252"/>
        <item x="206"/>
        <item x="96"/>
        <item x="154"/>
        <item x="18"/>
        <item x="162"/>
        <item x="54"/>
        <item x="201"/>
        <item x="164"/>
        <item x="59"/>
        <item x="94"/>
        <item x="265"/>
        <item x="158"/>
        <item x="229"/>
        <item x="151"/>
        <item x="163"/>
        <item x="210"/>
        <item x="121"/>
        <item x="262"/>
        <item x="98"/>
        <item x="25"/>
        <item x="224"/>
        <item x="119"/>
        <item x="90"/>
        <item x="95"/>
        <item x="253"/>
        <item x="281"/>
        <item x="255"/>
        <item x="279"/>
        <item x="228"/>
        <item x="284"/>
        <item x="209"/>
        <item x="159"/>
        <item x="56"/>
        <item x="93"/>
        <item x="58"/>
        <item x="277"/>
        <item x="204"/>
        <item x="266"/>
        <item x="226"/>
        <item x="234"/>
        <item x="27"/>
        <item x="297"/>
        <item x="272"/>
        <item x="52"/>
        <item x="289"/>
        <item x="157"/>
        <item x="115"/>
        <item x="161"/>
        <item x="24"/>
        <item x="283"/>
        <item x="149"/>
        <item x="303"/>
        <item x="305"/>
        <item x="307"/>
        <item x="258"/>
        <item x="291"/>
        <item x="21"/>
        <item x="28"/>
        <item x="300"/>
        <item x="212"/>
        <item x="118"/>
        <item x="152"/>
        <item x="309"/>
        <item x="230"/>
        <item x="205"/>
        <item x="251"/>
        <item x="225"/>
        <item x="55"/>
        <item x="288"/>
        <item x="286"/>
        <item x="30"/>
        <item x="264"/>
        <item x="26"/>
        <item x="269"/>
        <item x="294"/>
        <item x="311"/>
        <item x="160"/>
        <item x="268"/>
        <item x="261"/>
        <item x="237"/>
        <item x="247"/>
        <item x="274"/>
        <item x="214"/>
        <item x="208"/>
        <item x="280"/>
        <item x="215"/>
        <item x="221"/>
        <item x="293"/>
        <item x="235"/>
        <item x="211"/>
        <item x="29"/>
        <item x="249"/>
        <item x="223"/>
        <item x="276"/>
        <item x="271"/>
        <item x="217"/>
        <item x="296"/>
        <item x="238"/>
        <item x="236"/>
        <item x="282"/>
        <item x="275"/>
        <item x="298"/>
        <item x="248"/>
        <item x="213"/>
        <item x="222"/>
        <item x="287"/>
        <item x="240"/>
        <item x="218"/>
        <item x="285"/>
        <item x="290"/>
        <item x="267"/>
        <item x="216"/>
        <item x="220"/>
        <item x="273"/>
        <item x="292"/>
        <item x="241"/>
        <item x="244"/>
        <item x="239"/>
        <item x="295"/>
        <item x="270"/>
        <item x="243"/>
        <item x="246"/>
        <item x="219"/>
        <item x="245"/>
        <item x="242"/>
        <item x="231"/>
        <item t="default"/>
      </items>
    </pivotField>
    <pivotField axis="axisPage" dataField="1" showAll="0">
      <items count="266">
        <item x="7"/>
        <item x="4"/>
        <item x="9"/>
        <item x="18"/>
        <item x="8"/>
        <item x="15"/>
        <item x="10"/>
        <item x="5"/>
        <item x="12"/>
        <item x="6"/>
        <item x="1"/>
        <item x="3"/>
        <item x="2"/>
        <item x="0"/>
        <item x="13"/>
        <item x="16"/>
        <item x="19"/>
        <item x="11"/>
        <item x="14"/>
        <item x="22"/>
        <item x="17"/>
        <item x="28"/>
        <item x="20"/>
        <item x="24"/>
        <item x="21"/>
        <item x="26"/>
        <item x="29"/>
        <item x="23"/>
        <item x="31"/>
        <item x="25"/>
        <item x="27"/>
        <item x="30"/>
        <item x="32"/>
        <item x="33"/>
        <item x="34"/>
        <item x="36"/>
        <item x="37"/>
        <item x="169"/>
        <item x="39"/>
        <item x="35"/>
        <item x="38"/>
        <item x="41"/>
        <item x="40"/>
        <item x="176"/>
        <item x="174"/>
        <item x="166"/>
        <item x="42"/>
        <item x="44"/>
        <item x="45"/>
        <item x="43"/>
        <item x="178"/>
        <item x="48"/>
        <item x="47"/>
        <item x="50"/>
        <item x="51"/>
        <item x="54"/>
        <item x="46"/>
        <item x="161"/>
        <item x="53"/>
        <item x="49"/>
        <item x="179"/>
        <item x="56"/>
        <item x="181"/>
        <item x="158"/>
        <item x="59"/>
        <item x="58"/>
        <item x="52"/>
        <item x="155"/>
        <item x="62"/>
        <item x="55"/>
        <item x="182"/>
        <item x="183"/>
        <item x="61"/>
        <item x="177"/>
        <item x="180"/>
        <item x="170"/>
        <item x="65"/>
        <item x="172"/>
        <item x="184"/>
        <item x="153"/>
        <item x="167"/>
        <item x="64"/>
        <item x="57"/>
        <item x="145"/>
        <item x="151"/>
        <item x="68"/>
        <item x="185"/>
        <item x="148"/>
        <item x="164"/>
        <item x="143"/>
        <item x="67"/>
        <item x="186"/>
        <item x="60"/>
        <item x="175"/>
        <item x="162"/>
        <item x="168"/>
        <item x="171"/>
        <item x="173"/>
        <item x="63"/>
        <item x="159"/>
        <item x="188"/>
        <item x="140"/>
        <item x="189"/>
        <item x="165"/>
        <item x="187"/>
        <item x="191"/>
        <item x="156"/>
        <item x="163"/>
        <item x="193"/>
        <item x="192"/>
        <item x="160"/>
        <item x="196"/>
        <item x="70"/>
        <item x="190"/>
        <item x="194"/>
        <item x="154"/>
        <item x="66"/>
        <item x="137"/>
        <item x="197"/>
        <item x="157"/>
        <item x="71"/>
        <item x="195"/>
        <item x="152"/>
        <item x="199"/>
        <item x="146"/>
        <item x="149"/>
        <item x="198"/>
        <item x="144"/>
        <item x="74"/>
        <item x="200"/>
        <item x="201"/>
        <item x="132"/>
        <item x="141"/>
        <item x="150"/>
        <item x="147"/>
        <item x="203"/>
        <item x="73"/>
        <item x="77"/>
        <item x="142"/>
        <item x="138"/>
        <item x="202"/>
        <item x="76"/>
        <item x="206"/>
        <item x="207"/>
        <item x="139"/>
        <item x="205"/>
        <item x="135"/>
        <item x="204"/>
        <item x="136"/>
        <item x="80"/>
        <item x="69"/>
        <item x="129"/>
        <item x="133"/>
        <item x="79"/>
        <item x="134"/>
        <item x="131"/>
        <item x="72"/>
        <item x="217"/>
        <item x="75"/>
        <item x="218"/>
        <item x="215"/>
        <item x="82"/>
        <item x="208"/>
        <item x="212"/>
        <item x="210"/>
        <item x="209"/>
        <item x="214"/>
        <item x="216"/>
        <item x="213"/>
        <item x="130"/>
        <item x="83"/>
        <item x="126"/>
        <item x="219"/>
        <item x="78"/>
        <item x="221"/>
        <item x="128"/>
        <item x="225"/>
        <item x="220"/>
        <item x="227"/>
        <item x="228"/>
        <item x="127"/>
        <item x="226"/>
        <item x="223"/>
        <item x="224"/>
        <item x="86"/>
        <item x="229"/>
        <item x="98"/>
        <item x="222"/>
        <item x="125"/>
        <item x="89"/>
        <item x="101"/>
        <item x="95"/>
        <item x="243"/>
        <item x="245"/>
        <item x="234"/>
        <item x="244"/>
        <item x="92"/>
        <item x="239"/>
        <item x="236"/>
        <item x="238"/>
        <item x="241"/>
        <item x="100"/>
        <item x="242"/>
        <item x="237"/>
        <item x="247"/>
        <item x="235"/>
        <item x="246"/>
        <item x="230"/>
        <item x="240"/>
        <item x="85"/>
        <item x="81"/>
        <item x="232"/>
        <item x="231"/>
        <item x="104"/>
        <item x="233"/>
        <item x="248"/>
        <item x="250"/>
        <item x="249"/>
        <item x="97"/>
        <item x="103"/>
        <item x="123"/>
        <item x="124"/>
        <item x="251"/>
        <item x="252"/>
        <item x="107"/>
        <item x="253"/>
        <item x="255"/>
        <item x="254"/>
        <item x="121"/>
        <item x="118"/>
        <item x="99"/>
        <item x="116"/>
        <item x="257"/>
        <item x="94"/>
        <item x="259"/>
        <item x="260"/>
        <item x="256"/>
        <item x="261"/>
        <item x="88"/>
        <item x="258"/>
        <item x="91"/>
        <item x="106"/>
        <item x="110"/>
        <item x="120"/>
        <item x="113"/>
        <item x="262"/>
        <item x="264"/>
        <item x="117"/>
        <item x="109"/>
        <item x="263"/>
        <item x="122"/>
        <item x="115"/>
        <item x="119"/>
        <item x="96"/>
        <item x="102"/>
        <item x="112"/>
        <item x="114"/>
        <item x="105"/>
        <item x="93"/>
        <item x="108"/>
        <item x="84"/>
        <item x="111"/>
        <item x="90"/>
        <item x="87"/>
        <item x="211"/>
        <item t="default"/>
      </items>
    </pivotField>
    <pivotField axis="axisPage" dataField="1" showAll="0">
      <items count="206">
        <item x="66"/>
        <item x="63"/>
        <item x="69"/>
        <item x="72"/>
        <item x="61"/>
        <item x="70"/>
        <item x="67"/>
        <item x="59"/>
        <item x="64"/>
        <item x="56"/>
        <item x="73"/>
        <item x="68"/>
        <item x="76"/>
        <item x="65"/>
        <item x="54"/>
        <item x="75"/>
        <item x="71"/>
        <item x="62"/>
        <item x="74"/>
        <item x="51"/>
        <item x="60"/>
        <item x="33"/>
        <item x="57"/>
        <item x="48"/>
        <item x="36"/>
        <item x="78"/>
        <item x="31"/>
        <item x="55"/>
        <item x="79"/>
        <item x="58"/>
        <item x="77"/>
        <item x="45"/>
        <item x="52"/>
        <item x="28"/>
        <item x="80"/>
        <item x="82"/>
        <item x="53"/>
        <item x="49"/>
        <item x="81"/>
        <item x="34"/>
        <item x="25"/>
        <item x="37"/>
        <item x="43"/>
        <item x="50"/>
        <item x="22"/>
        <item x="38"/>
        <item x="83"/>
        <item x="47"/>
        <item x="46"/>
        <item x="20"/>
        <item x="84"/>
        <item x="19"/>
        <item x="32"/>
        <item x="35"/>
        <item x="17"/>
        <item x="14"/>
        <item x="29"/>
        <item x="30"/>
        <item x="11"/>
        <item x="8"/>
        <item x="44"/>
        <item x="26"/>
        <item x="6"/>
        <item x="23"/>
        <item x="39"/>
        <item x="27"/>
        <item x="12"/>
        <item x="15"/>
        <item x="18"/>
        <item x="9"/>
        <item x="24"/>
        <item x="10"/>
        <item x="4"/>
        <item x="21"/>
        <item x="42"/>
        <item x="13"/>
        <item x="7"/>
        <item x="16"/>
        <item x="41"/>
        <item x="40"/>
        <item x="5"/>
        <item x="1"/>
        <item x="147"/>
        <item x="3"/>
        <item x="2"/>
        <item x="86"/>
        <item x="0"/>
        <item x="87"/>
        <item x="161"/>
        <item x="150"/>
        <item x="89"/>
        <item x="90"/>
        <item x="162"/>
        <item x="85"/>
        <item x="163"/>
        <item x="148"/>
        <item x="92"/>
        <item x="93"/>
        <item x="160"/>
        <item x="144"/>
        <item x="165"/>
        <item x="159"/>
        <item x="88"/>
        <item x="164"/>
        <item x="95"/>
        <item x="157"/>
        <item x="166"/>
        <item x="146"/>
        <item x="156"/>
        <item x="91"/>
        <item x="96"/>
        <item x="183"/>
        <item x="154"/>
        <item x="149"/>
        <item x="158"/>
        <item x="172"/>
        <item x="167"/>
        <item x="155"/>
        <item x="98"/>
        <item x="99"/>
        <item x="169"/>
        <item x="94"/>
        <item x="102"/>
        <item x="152"/>
        <item x="170"/>
        <item x="145"/>
        <item x="101"/>
        <item x="185"/>
        <item x="168"/>
        <item x="104"/>
        <item x="141"/>
        <item x="151"/>
        <item x="107"/>
        <item x="186"/>
        <item x="97"/>
        <item x="153"/>
        <item x="108"/>
        <item x="180"/>
        <item x="171"/>
        <item x="100"/>
        <item x="143"/>
        <item x="178"/>
        <item x="103"/>
        <item x="106"/>
        <item x="105"/>
        <item x="182"/>
        <item x="184"/>
        <item x="142"/>
        <item x="110"/>
        <item x="175"/>
        <item x="177"/>
        <item x="176"/>
        <item x="112"/>
        <item x="140"/>
        <item x="181"/>
        <item x="109"/>
        <item x="115"/>
        <item x="139"/>
        <item x="114"/>
        <item x="179"/>
        <item x="194"/>
        <item x="117"/>
        <item x="118"/>
        <item x="138"/>
        <item x="121"/>
        <item x="195"/>
        <item x="196"/>
        <item x="198"/>
        <item x="189"/>
        <item x="120"/>
        <item x="111"/>
        <item x="123"/>
        <item x="188"/>
        <item x="173"/>
        <item x="197"/>
        <item x="124"/>
        <item x="199"/>
        <item x="113"/>
        <item x="187"/>
        <item x="126"/>
        <item x="192"/>
        <item x="137"/>
        <item x="116"/>
        <item x="122"/>
        <item x="119"/>
        <item x="201"/>
        <item x="128"/>
        <item x="193"/>
        <item x="130"/>
        <item x="125"/>
        <item x="190"/>
        <item x="132"/>
        <item x="136"/>
        <item x="127"/>
        <item x="200"/>
        <item x="129"/>
        <item x="133"/>
        <item x="131"/>
        <item x="203"/>
        <item x="135"/>
        <item x="191"/>
        <item x="202"/>
        <item x="134"/>
        <item x="204"/>
        <item x="174"/>
        <item t="default"/>
      </items>
    </pivotField>
    <pivotField axis="axisPage" dataField="1" showAll="0">
      <items count="283">
        <item x="1"/>
        <item x="3"/>
        <item x="6"/>
        <item x="2"/>
        <item x="4"/>
        <item x="7"/>
        <item x="0"/>
        <item x="8"/>
        <item x="5"/>
        <item x="9"/>
        <item x="10"/>
        <item x="12"/>
        <item x="11"/>
        <item x="13"/>
        <item x="15"/>
        <item x="14"/>
        <item x="17"/>
        <item x="18"/>
        <item x="20"/>
        <item x="16"/>
        <item x="21"/>
        <item x="24"/>
        <item x="23"/>
        <item x="19"/>
        <item x="26"/>
        <item x="27"/>
        <item x="22"/>
        <item x="29"/>
        <item x="25"/>
        <item x="30"/>
        <item x="33"/>
        <item x="28"/>
        <item x="36"/>
        <item x="32"/>
        <item x="39"/>
        <item x="35"/>
        <item x="42"/>
        <item x="38"/>
        <item x="45"/>
        <item x="41"/>
        <item x="31"/>
        <item x="48"/>
        <item x="44"/>
        <item x="34"/>
        <item x="51"/>
        <item x="47"/>
        <item x="37"/>
        <item x="40"/>
        <item x="50"/>
        <item x="54"/>
        <item x="57"/>
        <item x="43"/>
        <item x="53"/>
        <item x="62"/>
        <item x="65"/>
        <item x="46"/>
        <item x="56"/>
        <item x="68"/>
        <item x="59"/>
        <item x="61"/>
        <item x="49"/>
        <item x="71"/>
        <item x="64"/>
        <item x="67"/>
        <item x="74"/>
        <item x="76"/>
        <item x="52"/>
        <item x="70"/>
        <item x="78"/>
        <item x="73"/>
        <item x="55"/>
        <item x="77"/>
        <item x="58"/>
        <item x="81"/>
        <item x="80"/>
        <item x="60"/>
        <item x="86"/>
        <item x="63"/>
        <item x="66"/>
        <item x="83"/>
        <item x="85"/>
        <item x="69"/>
        <item x="88"/>
        <item x="75"/>
        <item x="72"/>
        <item x="93"/>
        <item x="90"/>
        <item x="79"/>
        <item x="96"/>
        <item x="99"/>
        <item x="92"/>
        <item x="82"/>
        <item x="102"/>
        <item x="105"/>
        <item x="95"/>
        <item x="108"/>
        <item x="84"/>
        <item x="98"/>
        <item x="110"/>
        <item x="87"/>
        <item x="101"/>
        <item x="113"/>
        <item x="144"/>
        <item x="104"/>
        <item x="107"/>
        <item x="142"/>
        <item x="139"/>
        <item x="116"/>
        <item x="89"/>
        <item x="147"/>
        <item x="119"/>
        <item x="146"/>
        <item x="112"/>
        <item x="136"/>
        <item x="91"/>
        <item x="133"/>
        <item x="115"/>
        <item x="141"/>
        <item x="126"/>
        <item x="130"/>
        <item x="94"/>
        <item x="152"/>
        <item x="148"/>
        <item x="154"/>
        <item x="118"/>
        <item x="155"/>
        <item x="145"/>
        <item x="138"/>
        <item x="121"/>
        <item x="153"/>
        <item x="149"/>
        <item x="157"/>
        <item x="97"/>
        <item x="135"/>
        <item x="123"/>
        <item x="159"/>
        <item x="167"/>
        <item x="125"/>
        <item x="161"/>
        <item x="100"/>
        <item x="132"/>
        <item x="103"/>
        <item x="143"/>
        <item x="156"/>
        <item x="106"/>
        <item x="129"/>
        <item x="158"/>
        <item x="109"/>
        <item x="150"/>
        <item x="164"/>
        <item x="151"/>
        <item x="168"/>
        <item x="166"/>
        <item x="163"/>
        <item x="160"/>
        <item x="162"/>
        <item x="140"/>
        <item x="165"/>
        <item x="111"/>
        <item x="170"/>
        <item x="169"/>
        <item x="172"/>
        <item x="137"/>
        <item x="171"/>
        <item x="114"/>
        <item x="174"/>
        <item x="117"/>
        <item x="134"/>
        <item x="175"/>
        <item x="173"/>
        <item x="120"/>
        <item x="122"/>
        <item x="131"/>
        <item x="176"/>
        <item x="124"/>
        <item x="127"/>
        <item x="128"/>
        <item x="178"/>
        <item x="179"/>
        <item x="177"/>
        <item x="181"/>
        <item x="182"/>
        <item x="180"/>
        <item x="184"/>
        <item x="187"/>
        <item x="185"/>
        <item x="190"/>
        <item x="183"/>
        <item x="188"/>
        <item x="186"/>
        <item x="191"/>
        <item x="189"/>
        <item x="193"/>
        <item x="192"/>
        <item x="196"/>
        <item x="197"/>
        <item x="195"/>
        <item x="198"/>
        <item x="200"/>
        <item x="199"/>
        <item x="202"/>
        <item x="201"/>
        <item x="204"/>
        <item x="205"/>
        <item x="207"/>
        <item x="203"/>
        <item x="212"/>
        <item x="214"/>
        <item x="216"/>
        <item x="208"/>
        <item x="206"/>
        <item x="217"/>
        <item x="210"/>
        <item x="213"/>
        <item x="215"/>
        <item x="209"/>
        <item x="211"/>
        <item x="219"/>
        <item x="222"/>
        <item x="226"/>
        <item x="230"/>
        <item x="233"/>
        <item x="220"/>
        <item x="224"/>
        <item x="223"/>
        <item x="227"/>
        <item x="231"/>
        <item x="234"/>
        <item x="218"/>
        <item x="225"/>
        <item x="221"/>
        <item x="228"/>
        <item x="236"/>
        <item x="229"/>
        <item x="232"/>
        <item x="235"/>
        <item x="238"/>
        <item x="240"/>
        <item x="237"/>
        <item x="241"/>
        <item x="243"/>
        <item x="239"/>
        <item x="244"/>
        <item x="246"/>
        <item x="242"/>
        <item x="247"/>
        <item x="249"/>
        <item x="245"/>
        <item x="252"/>
        <item x="250"/>
        <item x="255"/>
        <item x="248"/>
        <item x="253"/>
        <item x="251"/>
        <item x="258"/>
        <item x="256"/>
        <item x="254"/>
        <item x="259"/>
        <item x="257"/>
        <item x="263"/>
        <item x="261"/>
        <item x="266"/>
        <item x="260"/>
        <item x="264"/>
        <item x="269"/>
        <item x="262"/>
        <item x="267"/>
        <item x="272"/>
        <item x="265"/>
        <item x="270"/>
        <item x="268"/>
        <item x="277"/>
        <item x="273"/>
        <item x="275"/>
        <item x="271"/>
        <item x="280"/>
        <item x="274"/>
        <item x="278"/>
        <item x="276"/>
        <item x="281"/>
        <item x="279"/>
        <item x="194"/>
        <item t="default"/>
      </items>
    </pivotField>
    <pivotField axis="axisPage" dataField="1" showAll="0">
      <items count="269">
        <item x="0"/>
        <item x="2"/>
        <item x="1"/>
        <item x="4"/>
        <item x="5"/>
        <item x="3"/>
        <item x="7"/>
        <item x="8"/>
        <item x="6"/>
        <item x="10"/>
        <item x="11"/>
        <item x="13"/>
        <item x="9"/>
        <item x="15"/>
        <item x="12"/>
        <item x="17"/>
        <item x="18"/>
        <item x="14"/>
        <item x="20"/>
        <item x="16"/>
        <item x="22"/>
        <item x="19"/>
        <item x="21"/>
        <item x="24"/>
        <item x="23"/>
        <item x="25"/>
        <item x="26"/>
        <item x="32"/>
        <item x="28"/>
        <item x="27"/>
        <item x="30"/>
        <item x="33"/>
        <item x="29"/>
        <item x="31"/>
        <item x="35"/>
        <item x="34"/>
        <item x="37"/>
        <item x="40"/>
        <item x="36"/>
        <item x="43"/>
        <item x="41"/>
        <item x="38"/>
        <item x="44"/>
        <item x="39"/>
        <item x="42"/>
        <item x="47"/>
        <item x="48"/>
        <item x="45"/>
        <item x="46"/>
        <item x="54"/>
        <item x="57"/>
        <item x="49"/>
        <item x="60"/>
        <item x="50"/>
        <item x="52"/>
        <item x="55"/>
        <item x="65"/>
        <item x="58"/>
        <item x="51"/>
        <item x="53"/>
        <item x="70"/>
        <item x="61"/>
        <item x="56"/>
        <item x="63"/>
        <item x="66"/>
        <item x="59"/>
        <item x="68"/>
        <item x="78"/>
        <item x="81"/>
        <item x="71"/>
        <item x="64"/>
        <item x="62"/>
        <item x="67"/>
        <item x="89"/>
        <item x="74"/>
        <item x="69"/>
        <item x="76"/>
        <item x="96"/>
        <item x="72"/>
        <item x="99"/>
        <item x="79"/>
        <item x="82"/>
        <item x="73"/>
        <item x="104"/>
        <item x="75"/>
        <item x="106"/>
        <item x="85"/>
        <item x="111"/>
        <item x="87"/>
        <item x="77"/>
        <item x="90"/>
        <item x="120"/>
        <item x="80"/>
        <item x="83"/>
        <item x="92"/>
        <item x="123"/>
        <item x="84"/>
        <item x="94"/>
        <item x="127"/>
        <item x="129"/>
        <item x="97"/>
        <item x="86"/>
        <item x="100"/>
        <item x="88"/>
        <item x="132"/>
        <item x="102"/>
        <item x="137"/>
        <item x="138"/>
        <item x="107"/>
        <item x="109"/>
        <item x="91"/>
        <item x="112"/>
        <item x="114"/>
        <item x="141"/>
        <item x="116"/>
        <item x="146"/>
        <item x="93"/>
        <item x="152"/>
        <item x="118"/>
        <item x="131"/>
        <item x="98"/>
        <item x="95"/>
        <item x="155"/>
        <item x="103"/>
        <item x="101"/>
        <item x="125"/>
        <item x="105"/>
        <item x="160"/>
        <item x="133"/>
        <item x="108"/>
        <item x="135"/>
        <item x="110"/>
        <item x="165"/>
        <item x="113"/>
        <item x="115"/>
        <item x="130"/>
        <item x="142"/>
        <item x="126"/>
        <item x="128"/>
        <item x="122"/>
        <item x="117"/>
        <item x="174"/>
        <item x="119"/>
        <item x="121"/>
        <item x="124"/>
        <item x="134"/>
        <item x="136"/>
        <item x="140"/>
        <item x="150"/>
        <item x="147"/>
        <item x="144"/>
        <item x="153"/>
        <item x="139"/>
        <item x="156"/>
        <item x="158"/>
        <item x="143"/>
        <item x="161"/>
        <item x="162"/>
        <item x="163"/>
        <item x="166"/>
        <item x="168"/>
        <item x="181"/>
        <item x="170"/>
        <item x="172"/>
        <item x="175"/>
        <item x="176"/>
        <item x="178"/>
        <item x="149"/>
        <item x="151"/>
        <item x="145"/>
        <item x="154"/>
        <item x="148"/>
        <item x="157"/>
        <item x="159"/>
        <item x="164"/>
        <item x="167"/>
        <item x="177"/>
        <item x="169"/>
        <item x="182"/>
        <item x="171"/>
        <item x="173"/>
        <item x="184"/>
        <item x="190"/>
        <item x="180"/>
        <item x="186"/>
        <item x="193"/>
        <item x="183"/>
        <item x="188"/>
        <item x="185"/>
        <item x="196"/>
        <item x="191"/>
        <item x="187"/>
        <item x="194"/>
        <item x="189"/>
        <item x="201"/>
        <item x="204"/>
        <item x="197"/>
        <item x="207"/>
        <item x="210"/>
        <item x="192"/>
        <item x="214"/>
        <item x="218"/>
        <item x="199"/>
        <item x="195"/>
        <item x="202"/>
        <item x="225"/>
        <item x="228"/>
        <item x="231"/>
        <item x="234"/>
        <item x="205"/>
        <item x="236"/>
        <item x="239"/>
        <item x="208"/>
        <item x="242"/>
        <item x="198"/>
        <item x="245"/>
        <item x="200"/>
        <item x="212"/>
        <item x="247"/>
        <item x="250"/>
        <item x="203"/>
        <item x="253"/>
        <item x="215"/>
        <item x="256"/>
        <item x="219"/>
        <item x="221"/>
        <item x="223"/>
        <item x="226"/>
        <item x="206"/>
        <item x="229"/>
        <item x="261"/>
        <item x="232"/>
        <item x="209"/>
        <item x="266"/>
        <item x="211"/>
        <item x="237"/>
        <item x="213"/>
        <item x="240"/>
        <item x="216"/>
        <item x="243"/>
        <item x="217"/>
        <item x="220"/>
        <item x="248"/>
        <item x="222"/>
        <item x="224"/>
        <item x="251"/>
        <item x="254"/>
        <item x="227"/>
        <item x="257"/>
        <item x="230"/>
        <item x="259"/>
        <item x="262"/>
        <item x="233"/>
        <item x="264"/>
        <item x="235"/>
        <item x="267"/>
        <item x="238"/>
        <item x="241"/>
        <item x="244"/>
        <item x="246"/>
        <item x="249"/>
        <item x="252"/>
        <item x="255"/>
        <item x="258"/>
        <item x="260"/>
        <item x="263"/>
        <item x="265"/>
        <item x="179"/>
        <item t="default"/>
      </items>
    </pivotField>
    <pivotField axis="axisPage" dataField="1" showAll="0">
      <items count="308">
        <item x="0"/>
        <item x="2"/>
        <item x="3"/>
        <item x="1"/>
        <item x="6"/>
        <item x="5"/>
        <item x="9"/>
        <item x="8"/>
        <item x="4"/>
        <item x="11"/>
        <item x="7"/>
        <item x="12"/>
        <item x="14"/>
        <item x="10"/>
        <item x="15"/>
        <item x="13"/>
        <item x="17"/>
        <item x="18"/>
        <item x="16"/>
        <item x="20"/>
        <item x="19"/>
        <item x="22"/>
        <item x="23"/>
        <item x="21"/>
        <item x="25"/>
        <item x="26"/>
        <item x="24"/>
        <item x="27"/>
        <item x="29"/>
        <item x="30"/>
        <item x="28"/>
        <item x="33"/>
        <item x="32"/>
        <item x="35"/>
        <item x="31"/>
        <item x="38"/>
        <item x="41"/>
        <item x="37"/>
        <item x="34"/>
        <item x="44"/>
        <item x="40"/>
        <item x="43"/>
        <item x="36"/>
        <item x="47"/>
        <item x="46"/>
        <item x="39"/>
        <item x="50"/>
        <item x="42"/>
        <item x="49"/>
        <item x="45"/>
        <item x="52"/>
        <item x="48"/>
        <item x="55"/>
        <item x="54"/>
        <item x="58"/>
        <item x="51"/>
        <item x="57"/>
        <item x="60"/>
        <item x="53"/>
        <item x="63"/>
        <item x="56"/>
        <item x="62"/>
        <item x="59"/>
        <item x="65"/>
        <item x="67"/>
        <item x="68"/>
        <item x="61"/>
        <item x="64"/>
        <item x="70"/>
        <item x="66"/>
        <item x="72"/>
        <item x="69"/>
        <item x="73"/>
        <item x="75"/>
        <item x="71"/>
        <item x="74"/>
        <item x="76"/>
        <item x="77"/>
        <item x="79"/>
        <item x="80"/>
        <item x="82"/>
        <item x="78"/>
        <item x="83"/>
        <item x="81"/>
        <item x="85"/>
        <item x="87"/>
        <item x="84"/>
        <item x="86"/>
        <item x="89"/>
        <item x="90"/>
        <item x="88"/>
        <item x="92"/>
        <item x="93"/>
        <item x="91"/>
        <item x="95"/>
        <item x="94"/>
        <item x="99"/>
        <item x="97"/>
        <item x="102"/>
        <item x="100"/>
        <item x="96"/>
        <item x="103"/>
        <item x="98"/>
        <item x="105"/>
        <item x="108"/>
        <item x="101"/>
        <item x="104"/>
        <item x="111"/>
        <item x="109"/>
        <item x="106"/>
        <item x="112"/>
        <item x="107"/>
        <item x="114"/>
        <item x="118"/>
        <item x="110"/>
        <item x="116"/>
        <item x="121"/>
        <item x="113"/>
        <item x="124"/>
        <item x="119"/>
        <item x="115"/>
        <item x="127"/>
        <item x="122"/>
        <item x="130"/>
        <item x="125"/>
        <item x="117"/>
        <item x="135"/>
        <item x="128"/>
        <item x="138"/>
        <item x="120"/>
        <item x="131"/>
        <item x="123"/>
        <item x="143"/>
        <item x="126"/>
        <item x="133"/>
        <item x="136"/>
        <item x="129"/>
        <item x="139"/>
        <item x="141"/>
        <item x="147"/>
        <item x="132"/>
        <item x="134"/>
        <item x="137"/>
        <item x="152"/>
        <item x="154"/>
        <item x="140"/>
        <item x="145"/>
        <item x="159"/>
        <item x="148"/>
        <item x="162"/>
        <item x="142"/>
        <item x="150"/>
        <item x="165"/>
        <item x="144"/>
        <item x="153"/>
        <item x="155"/>
        <item x="146"/>
        <item x="169"/>
        <item x="157"/>
        <item x="160"/>
        <item x="149"/>
        <item x="163"/>
        <item x="166"/>
        <item x="174"/>
        <item x="151"/>
        <item x="158"/>
        <item x="156"/>
        <item x="175"/>
        <item x="170"/>
        <item x="178"/>
        <item x="161"/>
        <item x="180"/>
        <item x="172"/>
        <item x="183"/>
        <item x="185"/>
        <item x="164"/>
        <item x="188"/>
        <item x="167"/>
        <item x="176"/>
        <item x="181"/>
        <item x="168"/>
        <item x="186"/>
        <item x="191"/>
        <item x="171"/>
        <item x="189"/>
        <item x="193"/>
        <item x="182"/>
        <item x="173"/>
        <item x="179"/>
        <item x="177"/>
        <item x="184"/>
        <item x="187"/>
        <item x="190"/>
        <item x="192"/>
        <item x="196"/>
        <item x="194"/>
        <item x="198"/>
        <item x="195"/>
        <item x="197"/>
        <item x="200"/>
        <item x="199"/>
        <item x="202"/>
        <item x="201"/>
        <item x="204"/>
        <item x="205"/>
        <item x="203"/>
        <item x="207"/>
        <item x="208"/>
        <item x="206"/>
        <item x="210"/>
        <item x="209"/>
        <item x="214"/>
        <item x="217"/>
        <item x="213"/>
        <item x="212"/>
        <item x="220"/>
        <item x="216"/>
        <item x="223"/>
        <item x="219"/>
        <item x="222"/>
        <item x="215"/>
        <item x="226"/>
        <item x="225"/>
        <item x="228"/>
        <item x="218"/>
        <item x="221"/>
        <item x="224"/>
        <item x="230"/>
        <item x="231"/>
        <item x="227"/>
        <item x="234"/>
        <item x="237"/>
        <item x="229"/>
        <item x="233"/>
        <item x="236"/>
        <item x="239"/>
        <item x="232"/>
        <item x="240"/>
        <item x="235"/>
        <item x="242"/>
        <item x="246"/>
        <item x="241"/>
        <item x="238"/>
        <item x="243"/>
        <item x="249"/>
        <item x="248"/>
        <item x="245"/>
        <item x="252"/>
        <item x="244"/>
        <item x="247"/>
        <item x="253"/>
        <item x="251"/>
        <item x="256"/>
        <item x="255"/>
        <item x="250"/>
        <item x="258"/>
        <item x="261"/>
        <item x="254"/>
        <item x="264"/>
        <item x="260"/>
        <item x="257"/>
        <item x="263"/>
        <item x="267"/>
        <item x="266"/>
        <item x="259"/>
        <item x="270"/>
        <item x="262"/>
        <item x="269"/>
        <item x="265"/>
        <item x="273"/>
        <item x="272"/>
        <item x="268"/>
        <item x="276"/>
        <item x="275"/>
        <item x="279"/>
        <item x="271"/>
        <item x="278"/>
        <item x="282"/>
        <item x="284"/>
        <item x="274"/>
        <item x="281"/>
        <item x="287"/>
        <item x="277"/>
        <item x="290"/>
        <item x="286"/>
        <item x="280"/>
        <item x="289"/>
        <item x="295"/>
        <item x="283"/>
        <item x="292"/>
        <item x="298"/>
        <item x="294"/>
        <item x="285"/>
        <item x="301"/>
        <item x="304"/>
        <item x="297"/>
        <item x="288"/>
        <item x="291"/>
        <item x="300"/>
        <item x="293"/>
        <item x="303"/>
        <item x="306"/>
        <item x="296"/>
        <item x="299"/>
        <item x="302"/>
        <item x="305"/>
        <item x="21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Items count="1">
    <i/>
  </rowItems>
  <colFields count="1">
    <field x="-2"/>
  </colFields>
  <colItems count="12">
    <i>
      <x/>
    </i>
    <i i="1">
      <x v="1"/>
    </i>
    <i i="2">
      <x v="2"/>
    </i>
    <i i="3">
      <x v="3"/>
    </i>
    <i i="4">
      <x v="4"/>
    </i>
    <i i="5">
      <x v="5"/>
    </i>
    <i i="6">
      <x v="6"/>
    </i>
    <i i="7">
      <x v="7"/>
    </i>
    <i i="8">
      <x v="8"/>
    </i>
    <i i="9">
      <x v="9"/>
    </i>
    <i i="10">
      <x v="10"/>
    </i>
    <i i="11">
      <x v="11"/>
    </i>
  </colItems>
  <pageFields count="13">
    <pageField fld="1" hier="-1"/>
    <pageField fld="3" hier="-1"/>
    <pageField fld="9" hier="-1"/>
    <pageField fld="8" hier="-1"/>
    <pageField fld="5" hier="-1"/>
    <pageField fld="10" hier="-1"/>
    <pageField fld="4" hier="-1"/>
    <pageField fld="11" hier="-1"/>
    <pageField fld="7" hier="-1"/>
    <pageField fld="13" hier="-1"/>
    <pageField fld="12" hier="-1"/>
    <pageField fld="6" hier="-1"/>
    <pageField fld="14" hier="-1"/>
  </pageFields>
  <dataFields count="12">
    <dataField name="Sum of Cereals and products" fld="3" baseField="0" baseItem="1"/>
    <dataField name="Sum of Prepared meals, snacks, sweets etc." fld="14" baseField="0" baseItem="1"/>
    <dataField name="Sum of Sugar and Confectionery" fld="11" baseField="0" baseItem="2"/>
    <dataField name="Sum of Pulses and products" fld="10" baseField="0" baseItem="2"/>
    <dataField name="Sum of Spices" fld="12" baseField="0" baseItem="2"/>
    <dataField name="Sum of Vegetables" fld="9" baseField="0" baseItem="2"/>
    <dataField name="Sum of Non-alcoholic beverages" fld="13" baseField="0" baseItem="2"/>
    <dataField name="Sum of Fruits" fld="8" baseField="0" baseItem="2"/>
    <dataField name="Sum of Milk and products" fld="6" baseField="0" baseItem="2"/>
    <dataField name="Sum of Meat and fish" fld="4" baseField="0" baseItem="2"/>
    <dataField name="Sum of Oils and fats" fld="7" baseField="0" baseItem="2"/>
    <dataField name="Sum of Egg" fld="5" baseField="0" baseItem="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6"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Z9:AE10" firstHeaderRow="0" firstDataRow="1" firstDataCol="0" rowPageCount="7" colPageCount="1"/>
  <pivotFields count="30">
    <pivotField showAll="0"/>
    <pivotField axis="axisPage" multipleItemSelectionAllowed="1" showAll="0">
      <items count="12">
        <item x="0"/>
        <item x="1"/>
        <item x="2"/>
        <item x="3"/>
        <item x="4"/>
        <item x="5"/>
        <item x="6"/>
        <item x="7"/>
        <item x="8"/>
        <item x="9"/>
        <item x="10"/>
        <item t="default"/>
      </items>
    </pivotField>
    <pivotField showAll="0"/>
    <pivotField showAll="0">
      <items count="254">
        <item x="0"/>
        <item x="2"/>
        <item x="3"/>
        <item x="6"/>
        <item x="5"/>
        <item x="1"/>
        <item x="11"/>
        <item x="8"/>
        <item x="10"/>
        <item x="13"/>
        <item x="4"/>
        <item x="16"/>
        <item x="15"/>
        <item x="7"/>
        <item x="19"/>
        <item x="9"/>
        <item x="18"/>
        <item x="12"/>
        <item x="21"/>
        <item x="24"/>
        <item x="23"/>
        <item x="14"/>
        <item x="26"/>
        <item x="27"/>
        <item x="17"/>
        <item x="29"/>
        <item x="20"/>
        <item x="30"/>
        <item x="22"/>
        <item x="25"/>
        <item x="32"/>
        <item x="35"/>
        <item x="34"/>
        <item x="28"/>
        <item x="38"/>
        <item x="37"/>
        <item x="43"/>
        <item x="31"/>
        <item x="40"/>
        <item x="42"/>
        <item x="45"/>
        <item x="33"/>
        <item x="47"/>
        <item x="48"/>
        <item x="51"/>
        <item x="36"/>
        <item x="39"/>
        <item x="53"/>
        <item x="50"/>
        <item x="41"/>
        <item x="56"/>
        <item x="44"/>
        <item x="55"/>
        <item x="46"/>
        <item x="58"/>
        <item x="60"/>
        <item x="62"/>
        <item x="65"/>
        <item x="66"/>
        <item x="64"/>
        <item x="49"/>
        <item x="68"/>
        <item x="61"/>
        <item x="67"/>
        <item x="54"/>
        <item x="63"/>
        <item x="59"/>
        <item x="57"/>
        <item x="69"/>
        <item x="52"/>
        <item x="83"/>
        <item x="72"/>
        <item x="70"/>
        <item x="74"/>
        <item x="71"/>
        <item x="76"/>
        <item x="87"/>
        <item x="73"/>
        <item x="75"/>
        <item x="79"/>
        <item x="81"/>
        <item x="84"/>
        <item x="77"/>
        <item x="78"/>
        <item x="80"/>
        <item x="82"/>
        <item x="85"/>
        <item x="88"/>
        <item x="93"/>
        <item x="90"/>
        <item x="86"/>
        <item x="96"/>
        <item x="89"/>
        <item x="94"/>
        <item x="91"/>
        <item x="99"/>
        <item x="97"/>
        <item x="92"/>
        <item x="95"/>
        <item x="100"/>
        <item x="102"/>
        <item x="98"/>
        <item x="105"/>
        <item x="103"/>
        <item x="101"/>
        <item x="109"/>
        <item x="106"/>
        <item x="112"/>
        <item x="111"/>
        <item x="104"/>
        <item x="110"/>
        <item x="107"/>
        <item x="113"/>
        <item x="108"/>
        <item x="120"/>
        <item x="114"/>
        <item x="116"/>
        <item x="125"/>
        <item x="128"/>
        <item x="118"/>
        <item x="115"/>
        <item x="131"/>
        <item x="117"/>
        <item x="121"/>
        <item x="138"/>
        <item x="123"/>
        <item x="126"/>
        <item x="119"/>
        <item x="129"/>
        <item x="132"/>
        <item x="122"/>
        <item x="124"/>
        <item x="141"/>
        <item x="127"/>
        <item x="130"/>
        <item x="136"/>
        <item x="144"/>
        <item x="133"/>
        <item x="134"/>
        <item x="139"/>
        <item x="135"/>
        <item x="150"/>
        <item x="147"/>
        <item x="142"/>
        <item x="137"/>
        <item x="148"/>
        <item x="145"/>
        <item x="153"/>
        <item x="140"/>
        <item x="146"/>
        <item x="143"/>
        <item x="149"/>
        <item x="156"/>
        <item x="151"/>
        <item x="152"/>
        <item x="158"/>
        <item x="159"/>
        <item x="154"/>
        <item x="161"/>
        <item x="155"/>
        <item x="163"/>
        <item x="157"/>
        <item x="164"/>
        <item x="196"/>
        <item x="160"/>
        <item x="166"/>
        <item x="162"/>
        <item x="169"/>
        <item x="168"/>
        <item x="172"/>
        <item x="194"/>
        <item x="171"/>
        <item x="165"/>
        <item x="174"/>
        <item x="191"/>
        <item x="167"/>
        <item x="188"/>
        <item x="206"/>
        <item x="170"/>
        <item x="199"/>
        <item x="203"/>
        <item x="173"/>
        <item x="205"/>
        <item x="201"/>
        <item x="193"/>
        <item x="185"/>
        <item x="175"/>
        <item x="208"/>
        <item x="190"/>
        <item x="182"/>
        <item x="197"/>
        <item x="179"/>
        <item x="210"/>
        <item x="187"/>
        <item x="177"/>
        <item x="198"/>
        <item x="184"/>
        <item x="195"/>
        <item x="202"/>
        <item x="200"/>
        <item x="204"/>
        <item x="212"/>
        <item x="181"/>
        <item x="192"/>
        <item x="214"/>
        <item x="207"/>
        <item x="215"/>
        <item x="189"/>
        <item x="209"/>
        <item x="217"/>
        <item x="186"/>
        <item x="183"/>
        <item x="176"/>
        <item x="211"/>
        <item x="213"/>
        <item x="180"/>
        <item x="219"/>
        <item x="216"/>
        <item x="222"/>
        <item x="221"/>
        <item x="224"/>
        <item x="225"/>
        <item x="218"/>
        <item x="227"/>
        <item x="220"/>
        <item x="223"/>
        <item x="226"/>
        <item x="228"/>
        <item x="230"/>
        <item x="229"/>
        <item x="231"/>
        <item x="233"/>
        <item x="234"/>
        <item x="232"/>
        <item x="236"/>
        <item x="235"/>
        <item x="237"/>
        <item x="239"/>
        <item x="238"/>
        <item x="240"/>
        <item x="242"/>
        <item x="241"/>
        <item x="251"/>
        <item x="244"/>
        <item x="252"/>
        <item x="245"/>
        <item x="243"/>
        <item x="246"/>
        <item x="249"/>
        <item x="248"/>
        <item x="247"/>
        <item x="250"/>
        <item x="178"/>
        <item t="default"/>
      </items>
    </pivotField>
    <pivotField showAll="0">
      <items count="292">
        <item x="0"/>
        <item x="2"/>
        <item x="3"/>
        <item x="6"/>
        <item x="1"/>
        <item x="9"/>
        <item x="8"/>
        <item x="12"/>
        <item x="5"/>
        <item x="11"/>
        <item x="14"/>
        <item x="7"/>
        <item x="15"/>
        <item x="4"/>
        <item x="10"/>
        <item x="13"/>
        <item x="17"/>
        <item x="20"/>
        <item x="23"/>
        <item x="28"/>
        <item x="27"/>
        <item x="19"/>
        <item x="29"/>
        <item x="25"/>
        <item x="30"/>
        <item x="22"/>
        <item x="33"/>
        <item x="26"/>
        <item x="32"/>
        <item x="36"/>
        <item x="24"/>
        <item x="18"/>
        <item x="35"/>
        <item x="38"/>
        <item x="16"/>
        <item x="39"/>
        <item x="21"/>
        <item x="34"/>
        <item x="41"/>
        <item x="37"/>
        <item x="31"/>
        <item x="50"/>
        <item x="44"/>
        <item x="55"/>
        <item x="47"/>
        <item x="43"/>
        <item x="59"/>
        <item x="52"/>
        <item x="57"/>
        <item x="54"/>
        <item x="46"/>
        <item x="40"/>
        <item x="49"/>
        <item x="58"/>
        <item x="62"/>
        <item x="51"/>
        <item x="60"/>
        <item x="56"/>
        <item x="42"/>
        <item x="53"/>
        <item x="45"/>
        <item x="61"/>
        <item x="63"/>
        <item x="65"/>
        <item x="48"/>
        <item x="67"/>
        <item x="64"/>
        <item x="79"/>
        <item x="78"/>
        <item x="66"/>
        <item x="80"/>
        <item x="82"/>
        <item x="68"/>
        <item x="81"/>
        <item x="77"/>
        <item x="74"/>
        <item x="76"/>
        <item x="71"/>
        <item x="75"/>
        <item x="70"/>
        <item x="73"/>
        <item x="83"/>
        <item x="86"/>
        <item x="85"/>
        <item x="88"/>
        <item x="72"/>
        <item x="69"/>
        <item x="87"/>
        <item x="90"/>
        <item x="84"/>
        <item x="89"/>
        <item x="92"/>
        <item x="113"/>
        <item x="110"/>
        <item x="93"/>
        <item x="107"/>
        <item x="105"/>
        <item x="112"/>
        <item x="109"/>
        <item x="106"/>
        <item x="104"/>
        <item x="115"/>
        <item x="108"/>
        <item x="111"/>
        <item x="96"/>
        <item x="119"/>
        <item x="102"/>
        <item x="114"/>
        <item x="118"/>
        <item x="95"/>
        <item x="91"/>
        <item x="117"/>
        <item x="99"/>
        <item x="116"/>
        <item x="103"/>
        <item x="98"/>
        <item x="120"/>
        <item x="101"/>
        <item x="122"/>
        <item x="133"/>
        <item x="130"/>
        <item x="94"/>
        <item x="135"/>
        <item x="132"/>
        <item x="136"/>
        <item x="137"/>
        <item x="134"/>
        <item x="131"/>
        <item x="128"/>
        <item x="138"/>
        <item x="129"/>
        <item x="140"/>
        <item x="142"/>
        <item x="123"/>
        <item x="141"/>
        <item x="97"/>
        <item x="121"/>
        <item x="100"/>
        <item x="144"/>
        <item x="139"/>
        <item x="143"/>
        <item x="158"/>
        <item x="125"/>
        <item x="127"/>
        <item x="156"/>
        <item x="161"/>
        <item x="153"/>
        <item x="146"/>
        <item x="155"/>
        <item x="157"/>
        <item x="164"/>
        <item x="154"/>
        <item x="147"/>
        <item x="145"/>
        <item x="126"/>
        <item x="150"/>
        <item x="124"/>
        <item x="152"/>
        <item x="151"/>
        <item x="162"/>
        <item x="149"/>
        <item x="167"/>
        <item x="159"/>
        <item x="148"/>
        <item x="170"/>
        <item x="165"/>
        <item x="160"/>
        <item x="173"/>
        <item x="168"/>
        <item x="163"/>
        <item x="171"/>
        <item x="166"/>
        <item x="169"/>
        <item x="172"/>
        <item x="175"/>
        <item x="184"/>
        <item x="176"/>
        <item x="186"/>
        <item x="174"/>
        <item x="178"/>
        <item x="189"/>
        <item x="181"/>
        <item x="185"/>
        <item x="187"/>
        <item x="190"/>
        <item x="188"/>
        <item x="183"/>
        <item x="179"/>
        <item x="192"/>
        <item x="182"/>
        <item x="193"/>
        <item x="177"/>
        <item x="191"/>
        <item x="180"/>
        <item x="195"/>
        <item x="196"/>
        <item x="194"/>
        <item x="201"/>
        <item x="202"/>
        <item x="197"/>
        <item x="199"/>
        <item x="200"/>
        <item x="198"/>
        <item x="210"/>
        <item x="224"/>
        <item x="213"/>
        <item x="226"/>
        <item x="212"/>
        <item x="207"/>
        <item x="221"/>
        <item x="219"/>
        <item x="216"/>
        <item x="215"/>
        <item x="227"/>
        <item x="223"/>
        <item x="204"/>
        <item x="209"/>
        <item x="218"/>
        <item x="225"/>
        <item x="229"/>
        <item x="206"/>
        <item x="211"/>
        <item x="214"/>
        <item x="222"/>
        <item x="217"/>
        <item x="220"/>
        <item x="252"/>
        <item x="205"/>
        <item x="228"/>
        <item x="208"/>
        <item x="231"/>
        <item x="254"/>
        <item x="232"/>
        <item x="253"/>
        <item x="251"/>
        <item x="247"/>
        <item x="235"/>
        <item x="234"/>
        <item x="256"/>
        <item x="249"/>
        <item x="237"/>
        <item x="244"/>
        <item x="250"/>
        <item x="241"/>
        <item x="230"/>
        <item x="243"/>
        <item x="271"/>
        <item x="233"/>
        <item x="238"/>
        <item x="246"/>
        <item x="248"/>
        <item x="255"/>
        <item x="236"/>
        <item x="272"/>
        <item x="273"/>
        <item x="240"/>
        <item x="281"/>
        <item x="278"/>
        <item x="242"/>
        <item x="287"/>
        <item x="257"/>
        <item x="284"/>
        <item x="245"/>
        <item x="276"/>
        <item x="283"/>
        <item x="275"/>
        <item x="288"/>
        <item x="280"/>
        <item x="260"/>
        <item x="259"/>
        <item x="268"/>
        <item x="239"/>
        <item x="289"/>
        <item x="261"/>
        <item x="286"/>
        <item x="282"/>
        <item x="270"/>
        <item x="279"/>
        <item x="274"/>
        <item x="290"/>
        <item x="262"/>
        <item x="277"/>
        <item x="285"/>
        <item x="258"/>
        <item x="264"/>
        <item x="269"/>
        <item x="265"/>
        <item x="267"/>
        <item x="263"/>
        <item x="266"/>
        <item x="203"/>
        <item t="default"/>
      </items>
    </pivotField>
    <pivotField showAll="0">
      <items count="284">
        <item x="13"/>
        <item x="14"/>
        <item x="12"/>
        <item x="10"/>
        <item x="11"/>
        <item x="9"/>
        <item x="0"/>
        <item x="16"/>
        <item x="6"/>
        <item x="2"/>
        <item x="3"/>
        <item x="17"/>
        <item x="20"/>
        <item x="8"/>
        <item x="69"/>
        <item x="22"/>
        <item x="19"/>
        <item x="23"/>
        <item x="15"/>
        <item x="24"/>
        <item x="21"/>
        <item x="5"/>
        <item x="1"/>
        <item x="7"/>
        <item x="26"/>
        <item x="65"/>
        <item x="18"/>
        <item x="43"/>
        <item x="68"/>
        <item x="25"/>
        <item x="70"/>
        <item x="46"/>
        <item x="76"/>
        <item x="47"/>
        <item x="44"/>
        <item x="45"/>
        <item x="27"/>
        <item x="53"/>
        <item x="51"/>
        <item x="66"/>
        <item x="4"/>
        <item x="67"/>
        <item x="52"/>
        <item x="48"/>
        <item x="50"/>
        <item x="49"/>
        <item x="42"/>
        <item x="54"/>
        <item x="29"/>
        <item x="64"/>
        <item x="62"/>
        <item x="55"/>
        <item x="75"/>
        <item x="30"/>
        <item x="33"/>
        <item x="39"/>
        <item x="77"/>
        <item x="71"/>
        <item x="41"/>
        <item x="63"/>
        <item x="36"/>
        <item x="74"/>
        <item x="40"/>
        <item x="72"/>
        <item x="78"/>
        <item x="57"/>
        <item x="73"/>
        <item x="59"/>
        <item x="38"/>
        <item x="28"/>
        <item x="56"/>
        <item x="79"/>
        <item x="91"/>
        <item x="32"/>
        <item x="89"/>
        <item x="61"/>
        <item x="35"/>
        <item x="92"/>
        <item x="37"/>
        <item x="90"/>
        <item x="81"/>
        <item x="88"/>
        <item x="94"/>
        <item x="117"/>
        <item x="115"/>
        <item x="58"/>
        <item x="82"/>
        <item x="60"/>
        <item x="116"/>
        <item x="93"/>
        <item x="80"/>
        <item x="85"/>
        <item x="118"/>
        <item x="119"/>
        <item x="96"/>
        <item x="114"/>
        <item x="31"/>
        <item x="84"/>
        <item x="87"/>
        <item x="113"/>
        <item x="112"/>
        <item x="121"/>
        <item x="97"/>
        <item x="123"/>
        <item x="120"/>
        <item x="34"/>
        <item x="122"/>
        <item x="104"/>
        <item x="105"/>
        <item x="86"/>
        <item x="102"/>
        <item x="103"/>
        <item x="143"/>
        <item x="95"/>
        <item x="124"/>
        <item x="126"/>
        <item x="125"/>
        <item x="101"/>
        <item x="109"/>
        <item x="83"/>
        <item x="111"/>
        <item x="99"/>
        <item x="110"/>
        <item x="152"/>
        <item x="108"/>
        <item x="155"/>
        <item x="145"/>
        <item x="100"/>
        <item x="144"/>
        <item x="106"/>
        <item x="168"/>
        <item x="154"/>
        <item x="107"/>
        <item x="153"/>
        <item x="140"/>
        <item x="147"/>
        <item x="142"/>
        <item x="169"/>
        <item x="170"/>
        <item x="98"/>
        <item x="146"/>
        <item x="158"/>
        <item x="156"/>
        <item x="159"/>
        <item x="157"/>
        <item x="151"/>
        <item x="162"/>
        <item x="141"/>
        <item x="172"/>
        <item x="175"/>
        <item x="167"/>
        <item x="161"/>
        <item x="149"/>
        <item x="150"/>
        <item x="148"/>
        <item x="177"/>
        <item x="137"/>
        <item x="139"/>
        <item x="164"/>
        <item x="138"/>
        <item x="171"/>
        <item x="127"/>
        <item x="136"/>
        <item x="174"/>
        <item x="160"/>
        <item x="178"/>
        <item x="166"/>
        <item x="176"/>
        <item x="173"/>
        <item x="180"/>
        <item x="129"/>
        <item x="163"/>
        <item x="134"/>
        <item x="135"/>
        <item x="133"/>
        <item x="179"/>
        <item x="130"/>
        <item x="132"/>
        <item x="165"/>
        <item x="182"/>
        <item x="131"/>
        <item x="128"/>
        <item x="195"/>
        <item x="192"/>
        <item x="194"/>
        <item x="181"/>
        <item x="197"/>
        <item x="193"/>
        <item x="199"/>
        <item x="183"/>
        <item x="203"/>
        <item x="189"/>
        <item x="185"/>
        <item x="201"/>
        <item x="191"/>
        <item x="196"/>
        <item x="205"/>
        <item x="190"/>
        <item x="186"/>
        <item x="184"/>
        <item x="202"/>
        <item x="200"/>
        <item x="188"/>
        <item x="187"/>
        <item x="204"/>
        <item x="206"/>
        <item x="208"/>
        <item x="255"/>
        <item x="219"/>
        <item x="222"/>
        <item x="221"/>
        <item x="254"/>
        <item x="253"/>
        <item x="224"/>
        <item x="220"/>
        <item x="207"/>
        <item x="223"/>
        <item x="251"/>
        <item x="252"/>
        <item x="250"/>
        <item x="216"/>
        <item x="261"/>
        <item x="225"/>
        <item x="218"/>
        <item x="264"/>
        <item x="263"/>
        <item x="256"/>
        <item x="266"/>
        <item x="217"/>
        <item x="238"/>
        <item x="227"/>
        <item x="262"/>
        <item x="257"/>
        <item x="265"/>
        <item x="280"/>
        <item x="239"/>
        <item x="240"/>
        <item x="209"/>
        <item x="267"/>
        <item x="237"/>
        <item x="279"/>
        <item x="236"/>
        <item x="226"/>
        <item x="282"/>
        <item x="212"/>
        <item x="211"/>
        <item x="277"/>
        <item x="235"/>
        <item x="258"/>
        <item x="260"/>
        <item x="214"/>
        <item x="241"/>
        <item x="247"/>
        <item x="249"/>
        <item x="248"/>
        <item x="234"/>
        <item x="259"/>
        <item x="281"/>
        <item x="210"/>
        <item x="278"/>
        <item x="243"/>
        <item x="244"/>
        <item x="213"/>
        <item x="215"/>
        <item x="246"/>
        <item x="228"/>
        <item x="242"/>
        <item x="245"/>
        <item x="268"/>
        <item x="231"/>
        <item x="230"/>
        <item x="270"/>
        <item x="233"/>
        <item x="229"/>
        <item x="269"/>
        <item x="232"/>
        <item x="271"/>
        <item x="273"/>
        <item x="272"/>
        <item x="274"/>
        <item x="276"/>
        <item x="275"/>
        <item x="198"/>
        <item t="default"/>
      </items>
    </pivotField>
    <pivotField showAll="0">
      <items count="270">
        <item x="1"/>
        <item x="4"/>
        <item x="6"/>
        <item x="2"/>
        <item x="9"/>
        <item x="0"/>
        <item x="7"/>
        <item x="3"/>
        <item x="12"/>
        <item x="5"/>
        <item x="10"/>
        <item x="8"/>
        <item x="13"/>
        <item x="15"/>
        <item x="11"/>
        <item x="16"/>
        <item x="14"/>
        <item x="18"/>
        <item x="17"/>
        <item x="20"/>
        <item x="19"/>
        <item x="24"/>
        <item x="22"/>
        <item x="21"/>
        <item x="25"/>
        <item x="23"/>
        <item x="27"/>
        <item x="28"/>
        <item x="26"/>
        <item x="30"/>
        <item x="32"/>
        <item x="29"/>
        <item x="33"/>
        <item x="31"/>
        <item x="34"/>
        <item x="36"/>
        <item x="35"/>
        <item x="37"/>
        <item x="38"/>
        <item x="39"/>
        <item x="40"/>
        <item x="42"/>
        <item x="41"/>
        <item x="43"/>
        <item x="45"/>
        <item x="44"/>
        <item x="46"/>
        <item x="48"/>
        <item x="47"/>
        <item x="49"/>
        <item x="51"/>
        <item x="50"/>
        <item x="52"/>
        <item x="54"/>
        <item x="53"/>
        <item x="55"/>
        <item x="57"/>
        <item x="59"/>
        <item x="56"/>
        <item x="58"/>
        <item x="61"/>
        <item x="60"/>
        <item x="63"/>
        <item x="64"/>
        <item x="62"/>
        <item x="66"/>
        <item x="65"/>
        <item x="68"/>
        <item x="69"/>
        <item x="67"/>
        <item x="71"/>
        <item x="70"/>
        <item x="76"/>
        <item x="73"/>
        <item x="74"/>
        <item x="77"/>
        <item x="83"/>
        <item x="72"/>
        <item x="75"/>
        <item x="79"/>
        <item x="81"/>
        <item x="78"/>
        <item x="80"/>
        <item x="82"/>
        <item x="88"/>
        <item x="90"/>
        <item x="84"/>
        <item x="86"/>
        <item x="91"/>
        <item x="85"/>
        <item x="95"/>
        <item x="89"/>
        <item x="87"/>
        <item x="93"/>
        <item x="98"/>
        <item x="92"/>
        <item x="96"/>
        <item x="101"/>
        <item x="104"/>
        <item x="94"/>
        <item x="99"/>
        <item x="109"/>
        <item x="112"/>
        <item x="115"/>
        <item x="102"/>
        <item x="97"/>
        <item x="105"/>
        <item x="107"/>
        <item x="100"/>
        <item x="110"/>
        <item x="121"/>
        <item x="113"/>
        <item x="116"/>
        <item x="103"/>
        <item x="118"/>
        <item x="106"/>
        <item x="120"/>
        <item x="108"/>
        <item x="111"/>
        <item x="114"/>
        <item x="117"/>
        <item x="124"/>
        <item x="119"/>
        <item x="126"/>
        <item x="122"/>
        <item x="127"/>
        <item x="123"/>
        <item x="131"/>
        <item x="129"/>
        <item x="125"/>
        <item x="133"/>
        <item x="128"/>
        <item x="136"/>
        <item x="130"/>
        <item x="138"/>
        <item x="134"/>
        <item x="144"/>
        <item x="132"/>
        <item x="148"/>
        <item x="137"/>
        <item x="151"/>
        <item x="139"/>
        <item x="145"/>
        <item x="141"/>
        <item x="143"/>
        <item x="146"/>
        <item x="135"/>
        <item x="149"/>
        <item x="161"/>
        <item x="160"/>
        <item x="140"/>
        <item x="142"/>
        <item x="152"/>
        <item x="162"/>
        <item x="154"/>
        <item x="147"/>
        <item x="156"/>
        <item x="158"/>
        <item x="150"/>
        <item x="153"/>
        <item x="163"/>
        <item x="155"/>
        <item x="157"/>
        <item x="159"/>
        <item x="164"/>
        <item x="166"/>
        <item x="165"/>
        <item x="167"/>
        <item x="169"/>
        <item x="168"/>
        <item x="171"/>
        <item x="173"/>
        <item x="170"/>
        <item x="176"/>
        <item x="174"/>
        <item x="172"/>
        <item x="177"/>
        <item x="175"/>
        <item x="179"/>
        <item x="180"/>
        <item x="178"/>
        <item x="182"/>
        <item x="183"/>
        <item x="181"/>
        <item x="185"/>
        <item x="186"/>
        <item x="184"/>
        <item x="188"/>
        <item x="189"/>
        <item x="187"/>
        <item x="193"/>
        <item x="194"/>
        <item x="196"/>
        <item x="197"/>
        <item x="198"/>
        <item x="195"/>
        <item x="199"/>
        <item x="201"/>
        <item x="200"/>
        <item x="202"/>
        <item x="205"/>
        <item x="204"/>
        <item x="206"/>
        <item x="207"/>
        <item x="203"/>
        <item x="209"/>
        <item x="191"/>
        <item x="190"/>
        <item x="210"/>
        <item x="208"/>
        <item x="212"/>
        <item x="213"/>
        <item x="211"/>
        <item x="214"/>
        <item x="216"/>
        <item x="219"/>
        <item x="215"/>
        <item x="218"/>
        <item x="221"/>
        <item x="220"/>
        <item x="217"/>
        <item x="223"/>
        <item x="222"/>
        <item x="224"/>
        <item x="226"/>
        <item x="225"/>
        <item x="228"/>
        <item x="227"/>
        <item x="230"/>
        <item x="229"/>
        <item x="231"/>
        <item x="233"/>
        <item x="232"/>
        <item x="234"/>
        <item x="236"/>
        <item x="235"/>
        <item x="237"/>
        <item x="239"/>
        <item x="238"/>
        <item x="241"/>
        <item x="242"/>
        <item x="240"/>
        <item x="244"/>
        <item x="243"/>
        <item x="245"/>
        <item x="247"/>
        <item x="246"/>
        <item x="248"/>
        <item x="250"/>
        <item x="249"/>
        <item x="251"/>
        <item x="252"/>
        <item x="253"/>
        <item x="254"/>
        <item x="256"/>
        <item x="255"/>
        <item x="257"/>
        <item x="259"/>
        <item x="258"/>
        <item x="260"/>
        <item x="262"/>
        <item x="261"/>
        <item x="263"/>
        <item x="265"/>
        <item x="264"/>
        <item x="267"/>
        <item x="268"/>
        <item x="266"/>
        <item x="192"/>
        <item t="default"/>
      </items>
    </pivotField>
    <pivotField showAll="0">
      <items count="258">
        <item x="18"/>
        <item x="16"/>
        <item x="13"/>
        <item x="23"/>
        <item x="10"/>
        <item x="25"/>
        <item x="33"/>
        <item x="7"/>
        <item x="36"/>
        <item x="32"/>
        <item x="50"/>
        <item x="39"/>
        <item x="27"/>
        <item x="1"/>
        <item x="4"/>
        <item x="46"/>
        <item x="14"/>
        <item x="17"/>
        <item x="19"/>
        <item x="11"/>
        <item x="21"/>
        <item x="57"/>
        <item x="8"/>
        <item x="2"/>
        <item x="61"/>
        <item x="12"/>
        <item x="5"/>
        <item x="9"/>
        <item x="15"/>
        <item x="64"/>
        <item x="0"/>
        <item x="6"/>
        <item x="67"/>
        <item x="20"/>
        <item x="34"/>
        <item x="3"/>
        <item x="28"/>
        <item x="37"/>
        <item x="72"/>
        <item x="30"/>
        <item x="22"/>
        <item x="51"/>
        <item x="24"/>
        <item x="42"/>
        <item x="44"/>
        <item x="47"/>
        <item x="83"/>
        <item x="53"/>
        <item x="26"/>
        <item x="31"/>
        <item x="55"/>
        <item x="58"/>
        <item x="35"/>
        <item x="29"/>
        <item x="87"/>
        <item x="38"/>
        <item x="62"/>
        <item x="76"/>
        <item x="40"/>
        <item x="49"/>
        <item x="41"/>
        <item x="43"/>
        <item x="48"/>
        <item x="45"/>
        <item x="68"/>
        <item x="52"/>
        <item x="65"/>
        <item x="70"/>
        <item x="54"/>
        <item x="56"/>
        <item x="59"/>
        <item x="60"/>
        <item x="98"/>
        <item x="74"/>
        <item x="109"/>
        <item x="66"/>
        <item x="69"/>
        <item x="63"/>
        <item x="104"/>
        <item x="85"/>
        <item x="71"/>
        <item x="84"/>
        <item x="77"/>
        <item x="88"/>
        <item x="116"/>
        <item x="79"/>
        <item x="81"/>
        <item x="73"/>
        <item x="118"/>
        <item x="121"/>
        <item x="91"/>
        <item x="123"/>
        <item x="125"/>
        <item x="130"/>
        <item x="93"/>
        <item x="95"/>
        <item x="132"/>
        <item x="75"/>
        <item x="99"/>
        <item x="110"/>
        <item x="86"/>
        <item x="78"/>
        <item x="108"/>
        <item x="82"/>
        <item x="89"/>
        <item x="106"/>
        <item x="80"/>
        <item x="115"/>
        <item x="102"/>
        <item x="105"/>
        <item x="141"/>
        <item x="90"/>
        <item x="92"/>
        <item x="94"/>
        <item x="122"/>
        <item x="112"/>
        <item x="113"/>
        <item x="96"/>
        <item x="111"/>
        <item x="126"/>
        <item x="97"/>
        <item x="107"/>
        <item x="114"/>
        <item x="147"/>
        <item x="100"/>
        <item x="138"/>
        <item x="101"/>
        <item x="103"/>
        <item x="133"/>
        <item x="142"/>
        <item x="149"/>
        <item x="135"/>
        <item x="120"/>
        <item x="117"/>
        <item x="119"/>
        <item x="124"/>
        <item x="127"/>
        <item x="137"/>
        <item x="128"/>
        <item x="129"/>
        <item x="136"/>
        <item x="139"/>
        <item x="140"/>
        <item x="134"/>
        <item x="143"/>
        <item x="131"/>
        <item x="144"/>
        <item x="145"/>
        <item x="150"/>
        <item x="146"/>
        <item x="152"/>
        <item x="155"/>
        <item x="148"/>
        <item x="153"/>
        <item x="158"/>
        <item x="156"/>
        <item x="160"/>
        <item x="151"/>
        <item x="164"/>
        <item x="157"/>
        <item x="167"/>
        <item x="154"/>
        <item x="170"/>
        <item x="161"/>
        <item x="172"/>
        <item x="165"/>
        <item x="159"/>
        <item x="168"/>
        <item x="175"/>
        <item x="163"/>
        <item x="166"/>
        <item x="173"/>
        <item x="169"/>
        <item x="178"/>
        <item x="171"/>
        <item x="176"/>
        <item x="181"/>
        <item x="174"/>
        <item x="179"/>
        <item x="177"/>
        <item x="182"/>
        <item x="184"/>
        <item x="180"/>
        <item x="187"/>
        <item x="185"/>
        <item x="190"/>
        <item x="183"/>
        <item x="188"/>
        <item x="255"/>
        <item x="186"/>
        <item x="252"/>
        <item x="193"/>
        <item x="256"/>
        <item x="191"/>
        <item x="199"/>
        <item x="215"/>
        <item x="217"/>
        <item x="196"/>
        <item x="254"/>
        <item x="212"/>
        <item x="253"/>
        <item x="202"/>
        <item x="189"/>
        <item x="209"/>
        <item x="206"/>
        <item x="239"/>
        <item x="246"/>
        <item x="251"/>
        <item x="194"/>
        <item x="244"/>
        <item x="250"/>
        <item x="237"/>
        <item x="220"/>
        <item x="200"/>
        <item x="234"/>
        <item x="249"/>
        <item x="248"/>
        <item x="197"/>
        <item x="192"/>
        <item x="216"/>
        <item x="232"/>
        <item x="218"/>
        <item x="223"/>
        <item x="240"/>
        <item x="247"/>
        <item x="213"/>
        <item x="203"/>
        <item x="245"/>
        <item x="229"/>
        <item x="198"/>
        <item x="242"/>
        <item x="226"/>
        <item x="210"/>
        <item x="195"/>
        <item x="207"/>
        <item x="201"/>
        <item x="238"/>
        <item x="235"/>
        <item x="214"/>
        <item x="243"/>
        <item x="241"/>
        <item x="236"/>
        <item x="221"/>
        <item x="204"/>
        <item x="211"/>
        <item x="233"/>
        <item x="208"/>
        <item x="205"/>
        <item x="224"/>
        <item x="230"/>
        <item x="231"/>
        <item x="227"/>
        <item x="219"/>
        <item x="222"/>
        <item x="228"/>
        <item x="225"/>
        <item x="162"/>
        <item t="default"/>
      </items>
    </pivotField>
    <pivotField showAll="0">
      <items count="282">
        <item x="1"/>
        <item x="4"/>
        <item x="2"/>
        <item x="5"/>
        <item x="0"/>
        <item x="3"/>
        <item x="7"/>
        <item x="8"/>
        <item x="6"/>
        <item x="26"/>
        <item x="25"/>
        <item x="12"/>
        <item x="9"/>
        <item x="22"/>
        <item x="11"/>
        <item x="15"/>
        <item x="14"/>
        <item x="10"/>
        <item x="23"/>
        <item x="27"/>
        <item x="29"/>
        <item x="18"/>
        <item x="13"/>
        <item x="17"/>
        <item x="21"/>
        <item x="24"/>
        <item x="20"/>
        <item x="33"/>
        <item x="16"/>
        <item x="19"/>
        <item x="32"/>
        <item x="30"/>
        <item x="34"/>
        <item x="35"/>
        <item x="36"/>
        <item x="31"/>
        <item x="28"/>
        <item x="38"/>
        <item x="96"/>
        <item x="39"/>
        <item x="95"/>
        <item x="37"/>
        <item x="99"/>
        <item x="93"/>
        <item x="66"/>
        <item x="69"/>
        <item x="61"/>
        <item x="64"/>
        <item x="58"/>
        <item x="90"/>
        <item x="71"/>
        <item x="85"/>
        <item x="87"/>
        <item x="55"/>
        <item x="97"/>
        <item x="40"/>
        <item x="62"/>
        <item x="46"/>
        <item x="42"/>
        <item x="67"/>
        <item x="43"/>
        <item x="59"/>
        <item x="94"/>
        <item x="41"/>
        <item x="56"/>
        <item x="72"/>
        <item x="45"/>
        <item x="91"/>
        <item x="48"/>
        <item x="86"/>
        <item x="63"/>
        <item x="60"/>
        <item x="57"/>
        <item x="88"/>
        <item x="49"/>
        <item x="44"/>
        <item x="118"/>
        <item x="68"/>
        <item x="119"/>
        <item x="51"/>
        <item x="54"/>
        <item x="84"/>
        <item x="65"/>
        <item x="74"/>
        <item x="77"/>
        <item x="70"/>
        <item x="53"/>
        <item x="47"/>
        <item x="122"/>
        <item x="92"/>
        <item x="98"/>
        <item x="89"/>
        <item x="80"/>
        <item x="75"/>
        <item x="78"/>
        <item x="52"/>
        <item x="81"/>
        <item x="120"/>
        <item x="83"/>
        <item x="79"/>
        <item x="82"/>
        <item x="102"/>
        <item x="50"/>
        <item x="150"/>
        <item x="76"/>
        <item x="73"/>
        <item x="115"/>
        <item x="101"/>
        <item x="148"/>
        <item x="130"/>
        <item x="123"/>
        <item x="177"/>
        <item x="105"/>
        <item x="117"/>
        <item x="111"/>
        <item x="103"/>
        <item x="113"/>
        <item x="145"/>
        <item x="106"/>
        <item x="125"/>
        <item x="116"/>
        <item x="108"/>
        <item x="133"/>
        <item x="104"/>
        <item x="140"/>
        <item x="178"/>
        <item x="128"/>
        <item x="109"/>
        <item x="131"/>
        <item x="100"/>
        <item x="126"/>
        <item x="114"/>
        <item x="107"/>
        <item x="121"/>
        <item x="112"/>
        <item x="135"/>
        <item x="174"/>
        <item x="124"/>
        <item x="129"/>
        <item x="171"/>
        <item x="110"/>
        <item x="197"/>
        <item x="132"/>
        <item x="151"/>
        <item x="143"/>
        <item x="127"/>
        <item x="146"/>
        <item x="175"/>
        <item x="137"/>
        <item x="176"/>
        <item x="153"/>
        <item x="141"/>
        <item x="198"/>
        <item x="196"/>
        <item x="181"/>
        <item x="179"/>
        <item x="188"/>
        <item x="134"/>
        <item x="194"/>
        <item x="195"/>
        <item x="173"/>
        <item x="172"/>
        <item x="138"/>
        <item x="191"/>
        <item x="211"/>
        <item x="155"/>
        <item x="169"/>
        <item x="184"/>
        <item x="180"/>
        <item x="190"/>
        <item x="142"/>
        <item x="183"/>
        <item x="202"/>
        <item x="205"/>
        <item x="147"/>
        <item x="144"/>
        <item x="193"/>
        <item x="212"/>
        <item x="139"/>
        <item x="149"/>
        <item x="136"/>
        <item x="210"/>
        <item x="192"/>
        <item x="152"/>
        <item x="214"/>
        <item x="166"/>
        <item x="189"/>
        <item x="199"/>
        <item x="157"/>
        <item x="186"/>
        <item x="204"/>
        <item x="209"/>
        <item x="170"/>
        <item x="216"/>
        <item x="182"/>
        <item x="208"/>
        <item x="160"/>
        <item x="242"/>
        <item x="167"/>
        <item x="201"/>
        <item x="239"/>
        <item x="163"/>
        <item x="213"/>
        <item x="233"/>
        <item x="154"/>
        <item x="164"/>
        <item x="165"/>
        <item x="158"/>
        <item x="218"/>
        <item x="187"/>
        <item x="215"/>
        <item x="162"/>
        <item x="168"/>
        <item x="203"/>
        <item x="161"/>
        <item x="185"/>
        <item x="241"/>
        <item x="206"/>
        <item x="207"/>
        <item x="243"/>
        <item x="270"/>
        <item x="156"/>
        <item x="238"/>
        <item x="235"/>
        <item x="232"/>
        <item x="217"/>
        <item x="159"/>
        <item x="245"/>
        <item x="228"/>
        <item x="269"/>
        <item x="240"/>
        <item x="225"/>
        <item x="265"/>
        <item x="236"/>
        <item x="268"/>
        <item x="244"/>
        <item x="237"/>
        <item x="271"/>
        <item x="219"/>
        <item x="267"/>
        <item x="234"/>
        <item x="231"/>
        <item x="263"/>
        <item x="222"/>
        <item x="266"/>
        <item x="264"/>
        <item x="230"/>
        <item x="260"/>
        <item x="221"/>
        <item x="227"/>
        <item x="262"/>
        <item x="252"/>
        <item x="224"/>
        <item x="272"/>
        <item x="261"/>
        <item x="249"/>
        <item x="220"/>
        <item x="278"/>
        <item x="257"/>
        <item x="274"/>
        <item x="254"/>
        <item x="246"/>
        <item x="229"/>
        <item x="251"/>
        <item x="226"/>
        <item x="273"/>
        <item x="280"/>
        <item x="223"/>
        <item x="248"/>
        <item x="259"/>
        <item x="275"/>
        <item x="253"/>
        <item x="256"/>
        <item x="250"/>
        <item x="279"/>
        <item x="247"/>
        <item x="277"/>
        <item x="258"/>
        <item x="276"/>
        <item x="255"/>
        <item x="200"/>
        <item t="default"/>
      </items>
    </pivotField>
    <pivotField showAll="0">
      <items count="313">
        <item x="6"/>
        <item x="0"/>
        <item x="2"/>
        <item x="3"/>
        <item x="1"/>
        <item x="5"/>
        <item x="8"/>
        <item x="7"/>
        <item x="4"/>
        <item x="10"/>
        <item x="11"/>
        <item x="9"/>
        <item x="38"/>
        <item x="13"/>
        <item x="41"/>
        <item x="39"/>
        <item x="37"/>
        <item x="42"/>
        <item x="40"/>
        <item x="14"/>
        <item x="134"/>
        <item x="35"/>
        <item x="136"/>
        <item x="135"/>
        <item x="138"/>
        <item x="139"/>
        <item x="133"/>
        <item x="137"/>
        <item x="43"/>
        <item x="45"/>
        <item x="131"/>
        <item x="44"/>
        <item x="140"/>
        <item x="36"/>
        <item x="142"/>
        <item x="12"/>
        <item x="143"/>
        <item x="34"/>
        <item x="47"/>
        <item x="132"/>
        <item x="144"/>
        <item x="16"/>
        <item x="46"/>
        <item x="141"/>
        <item x="77"/>
        <item x="173"/>
        <item x="75"/>
        <item x="107"/>
        <item x="72"/>
        <item x="80"/>
        <item x="79"/>
        <item x="196"/>
        <item x="145"/>
        <item x="17"/>
        <item x="48"/>
        <item x="74"/>
        <item x="198"/>
        <item x="108"/>
        <item x="105"/>
        <item x="194"/>
        <item x="106"/>
        <item x="78"/>
        <item x="82"/>
        <item x="195"/>
        <item x="76"/>
        <item x="197"/>
        <item x="193"/>
        <item x="73"/>
        <item x="50"/>
        <item x="69"/>
        <item x="192"/>
        <item x="174"/>
        <item x="71"/>
        <item x="147"/>
        <item x="200"/>
        <item x="109"/>
        <item x="70"/>
        <item x="171"/>
        <item x="111"/>
        <item x="172"/>
        <item x="83"/>
        <item x="81"/>
        <item x="191"/>
        <item x="110"/>
        <item x="169"/>
        <item x="49"/>
        <item x="175"/>
        <item x="170"/>
        <item x="254"/>
        <item x="20"/>
        <item x="85"/>
        <item x="19"/>
        <item x="102"/>
        <item x="66"/>
        <item x="68"/>
        <item x="203"/>
        <item x="86"/>
        <item x="304"/>
        <item x="67"/>
        <item x="199"/>
        <item x="104"/>
        <item x="112"/>
        <item x="130"/>
        <item x="129"/>
        <item x="146"/>
        <item x="168"/>
        <item x="308"/>
        <item x="302"/>
        <item x="202"/>
        <item x="176"/>
        <item x="15"/>
        <item x="178"/>
        <item x="177"/>
        <item x="103"/>
        <item x="257"/>
        <item x="32"/>
        <item x="88"/>
        <item x="190"/>
        <item x="33"/>
        <item x="100"/>
        <item x="31"/>
        <item x="84"/>
        <item x="189"/>
        <item x="187"/>
        <item x="256"/>
        <item x="310"/>
        <item x="232"/>
        <item x="101"/>
        <item x="126"/>
        <item x="184"/>
        <item x="123"/>
        <item x="250"/>
        <item x="186"/>
        <item x="51"/>
        <item x="299"/>
        <item x="166"/>
        <item x="125"/>
        <item x="128"/>
        <item x="185"/>
        <item x="113"/>
        <item x="148"/>
        <item x="167"/>
        <item x="22"/>
        <item x="63"/>
        <item x="165"/>
        <item x="227"/>
        <item x="65"/>
        <item x="114"/>
        <item x="306"/>
        <item x="260"/>
        <item x="124"/>
        <item x="188"/>
        <item x="64"/>
        <item x="87"/>
        <item x="89"/>
        <item x="263"/>
        <item x="23"/>
        <item x="179"/>
        <item x="153"/>
        <item x="127"/>
        <item x="97"/>
        <item x="60"/>
        <item x="259"/>
        <item x="278"/>
        <item x="181"/>
        <item x="207"/>
        <item x="182"/>
        <item x="233"/>
        <item x="155"/>
        <item x="62"/>
        <item x="120"/>
        <item x="156"/>
        <item x="183"/>
        <item x="91"/>
        <item x="53"/>
        <item x="117"/>
        <item x="99"/>
        <item x="57"/>
        <item x="92"/>
        <item x="122"/>
        <item x="180"/>
        <item x="150"/>
        <item x="61"/>
        <item x="116"/>
        <item x="301"/>
        <item x="252"/>
        <item x="206"/>
        <item x="96"/>
        <item x="154"/>
        <item x="18"/>
        <item x="162"/>
        <item x="54"/>
        <item x="201"/>
        <item x="164"/>
        <item x="59"/>
        <item x="94"/>
        <item x="265"/>
        <item x="158"/>
        <item x="229"/>
        <item x="151"/>
        <item x="163"/>
        <item x="210"/>
        <item x="121"/>
        <item x="262"/>
        <item x="98"/>
        <item x="25"/>
        <item x="224"/>
        <item x="119"/>
        <item x="90"/>
        <item x="95"/>
        <item x="253"/>
        <item x="281"/>
        <item x="255"/>
        <item x="279"/>
        <item x="228"/>
        <item x="284"/>
        <item x="209"/>
        <item x="159"/>
        <item x="56"/>
        <item x="93"/>
        <item x="58"/>
        <item x="277"/>
        <item x="204"/>
        <item x="266"/>
        <item x="226"/>
        <item x="234"/>
        <item x="27"/>
        <item x="297"/>
        <item x="272"/>
        <item x="52"/>
        <item x="289"/>
        <item x="157"/>
        <item x="115"/>
        <item x="161"/>
        <item x="24"/>
        <item x="283"/>
        <item x="149"/>
        <item x="303"/>
        <item x="305"/>
        <item x="307"/>
        <item x="258"/>
        <item x="291"/>
        <item x="21"/>
        <item x="28"/>
        <item x="300"/>
        <item x="212"/>
        <item x="118"/>
        <item x="152"/>
        <item x="309"/>
        <item x="230"/>
        <item x="205"/>
        <item x="251"/>
        <item x="225"/>
        <item x="55"/>
        <item x="288"/>
        <item x="286"/>
        <item x="30"/>
        <item x="264"/>
        <item x="26"/>
        <item x="269"/>
        <item x="294"/>
        <item x="311"/>
        <item x="160"/>
        <item x="268"/>
        <item x="261"/>
        <item x="237"/>
        <item x="247"/>
        <item x="274"/>
        <item x="214"/>
        <item x="208"/>
        <item x="280"/>
        <item x="215"/>
        <item x="221"/>
        <item x="293"/>
        <item x="235"/>
        <item x="211"/>
        <item x="29"/>
        <item x="249"/>
        <item x="223"/>
        <item x="276"/>
        <item x="271"/>
        <item x="217"/>
        <item x="296"/>
        <item x="238"/>
        <item x="236"/>
        <item x="282"/>
        <item x="275"/>
        <item x="298"/>
        <item x="248"/>
        <item x="213"/>
        <item x="222"/>
        <item x="287"/>
        <item x="240"/>
        <item x="218"/>
        <item x="285"/>
        <item x="290"/>
        <item x="267"/>
        <item x="216"/>
        <item x="220"/>
        <item x="273"/>
        <item x="292"/>
        <item x="241"/>
        <item x="244"/>
        <item x="239"/>
        <item x="295"/>
        <item x="270"/>
        <item x="243"/>
        <item x="246"/>
        <item x="219"/>
        <item x="245"/>
        <item x="242"/>
        <item x="231"/>
        <item t="default"/>
      </items>
    </pivotField>
    <pivotField showAll="0">
      <items count="266">
        <item x="7"/>
        <item x="4"/>
        <item x="9"/>
        <item x="18"/>
        <item x="8"/>
        <item x="15"/>
        <item x="10"/>
        <item x="5"/>
        <item x="12"/>
        <item x="6"/>
        <item x="1"/>
        <item x="3"/>
        <item x="2"/>
        <item x="0"/>
        <item x="13"/>
        <item x="16"/>
        <item x="19"/>
        <item x="11"/>
        <item x="14"/>
        <item x="22"/>
        <item x="17"/>
        <item x="28"/>
        <item x="20"/>
        <item x="24"/>
        <item x="21"/>
        <item x="26"/>
        <item x="29"/>
        <item x="23"/>
        <item x="31"/>
        <item x="25"/>
        <item x="27"/>
        <item x="30"/>
        <item x="32"/>
        <item x="33"/>
        <item x="34"/>
        <item x="36"/>
        <item x="37"/>
        <item x="169"/>
        <item x="39"/>
        <item x="35"/>
        <item x="38"/>
        <item x="41"/>
        <item x="40"/>
        <item x="176"/>
        <item x="174"/>
        <item x="166"/>
        <item x="42"/>
        <item x="44"/>
        <item x="45"/>
        <item x="43"/>
        <item x="178"/>
        <item x="48"/>
        <item x="47"/>
        <item x="50"/>
        <item x="51"/>
        <item x="54"/>
        <item x="46"/>
        <item x="161"/>
        <item x="53"/>
        <item x="49"/>
        <item x="179"/>
        <item x="56"/>
        <item x="181"/>
        <item x="158"/>
        <item x="59"/>
        <item x="58"/>
        <item x="52"/>
        <item x="155"/>
        <item x="62"/>
        <item x="55"/>
        <item x="182"/>
        <item x="183"/>
        <item x="61"/>
        <item x="177"/>
        <item x="180"/>
        <item x="170"/>
        <item x="65"/>
        <item x="172"/>
        <item x="184"/>
        <item x="153"/>
        <item x="167"/>
        <item x="64"/>
        <item x="57"/>
        <item x="145"/>
        <item x="151"/>
        <item x="68"/>
        <item x="185"/>
        <item x="148"/>
        <item x="164"/>
        <item x="143"/>
        <item x="67"/>
        <item x="186"/>
        <item x="60"/>
        <item x="175"/>
        <item x="162"/>
        <item x="168"/>
        <item x="171"/>
        <item x="173"/>
        <item x="63"/>
        <item x="159"/>
        <item x="188"/>
        <item x="140"/>
        <item x="189"/>
        <item x="165"/>
        <item x="187"/>
        <item x="191"/>
        <item x="156"/>
        <item x="163"/>
        <item x="193"/>
        <item x="192"/>
        <item x="160"/>
        <item x="196"/>
        <item x="70"/>
        <item x="190"/>
        <item x="194"/>
        <item x="154"/>
        <item x="66"/>
        <item x="137"/>
        <item x="197"/>
        <item x="157"/>
        <item x="71"/>
        <item x="195"/>
        <item x="152"/>
        <item x="199"/>
        <item x="146"/>
        <item x="149"/>
        <item x="198"/>
        <item x="144"/>
        <item x="74"/>
        <item x="200"/>
        <item x="201"/>
        <item x="132"/>
        <item x="141"/>
        <item x="150"/>
        <item x="147"/>
        <item x="203"/>
        <item x="73"/>
        <item x="77"/>
        <item x="142"/>
        <item x="138"/>
        <item x="202"/>
        <item x="76"/>
        <item x="206"/>
        <item x="207"/>
        <item x="139"/>
        <item x="205"/>
        <item x="135"/>
        <item x="204"/>
        <item x="136"/>
        <item x="80"/>
        <item x="69"/>
        <item x="129"/>
        <item x="133"/>
        <item x="79"/>
        <item x="134"/>
        <item x="131"/>
        <item x="72"/>
        <item x="217"/>
        <item x="75"/>
        <item x="218"/>
        <item x="215"/>
        <item x="82"/>
        <item x="208"/>
        <item x="212"/>
        <item x="210"/>
        <item x="209"/>
        <item x="214"/>
        <item x="216"/>
        <item x="213"/>
        <item x="130"/>
        <item x="83"/>
        <item x="126"/>
        <item x="219"/>
        <item x="78"/>
        <item x="221"/>
        <item x="128"/>
        <item x="225"/>
        <item x="220"/>
        <item x="227"/>
        <item x="228"/>
        <item x="127"/>
        <item x="226"/>
        <item x="223"/>
        <item x="224"/>
        <item x="86"/>
        <item x="229"/>
        <item x="98"/>
        <item x="222"/>
        <item x="125"/>
        <item x="89"/>
        <item x="101"/>
        <item x="95"/>
        <item x="243"/>
        <item x="245"/>
        <item x="234"/>
        <item x="244"/>
        <item x="92"/>
        <item x="239"/>
        <item x="236"/>
        <item x="238"/>
        <item x="241"/>
        <item x="100"/>
        <item x="242"/>
        <item x="237"/>
        <item x="247"/>
        <item x="235"/>
        <item x="246"/>
        <item x="230"/>
        <item x="240"/>
        <item x="85"/>
        <item x="81"/>
        <item x="232"/>
        <item x="231"/>
        <item x="104"/>
        <item x="233"/>
        <item x="248"/>
        <item x="250"/>
        <item x="249"/>
        <item x="97"/>
        <item x="103"/>
        <item x="123"/>
        <item x="124"/>
        <item x="251"/>
        <item x="252"/>
        <item x="107"/>
        <item x="253"/>
        <item x="255"/>
        <item x="254"/>
        <item x="121"/>
        <item x="118"/>
        <item x="99"/>
        <item x="116"/>
        <item x="257"/>
        <item x="94"/>
        <item x="259"/>
        <item x="260"/>
        <item x="256"/>
        <item x="261"/>
        <item x="88"/>
        <item x="258"/>
        <item x="91"/>
        <item x="106"/>
        <item x="110"/>
        <item x="120"/>
        <item x="113"/>
        <item x="262"/>
        <item x="264"/>
        <item x="117"/>
        <item x="109"/>
        <item x="263"/>
        <item x="122"/>
        <item x="115"/>
        <item x="119"/>
        <item x="96"/>
        <item x="102"/>
        <item x="112"/>
        <item x="114"/>
        <item x="105"/>
        <item x="93"/>
        <item x="108"/>
        <item x="84"/>
        <item x="111"/>
        <item x="90"/>
        <item x="87"/>
        <item x="211"/>
        <item t="default"/>
      </items>
    </pivotField>
    <pivotField showAll="0">
      <items count="206">
        <item x="66"/>
        <item x="63"/>
        <item x="69"/>
        <item x="72"/>
        <item x="61"/>
        <item x="70"/>
        <item x="67"/>
        <item x="59"/>
        <item x="64"/>
        <item x="56"/>
        <item x="73"/>
        <item x="68"/>
        <item x="76"/>
        <item x="65"/>
        <item x="54"/>
        <item x="75"/>
        <item x="71"/>
        <item x="62"/>
        <item x="74"/>
        <item x="51"/>
        <item x="60"/>
        <item x="33"/>
        <item x="57"/>
        <item x="48"/>
        <item x="36"/>
        <item x="78"/>
        <item x="31"/>
        <item x="55"/>
        <item x="79"/>
        <item x="58"/>
        <item x="77"/>
        <item x="45"/>
        <item x="52"/>
        <item x="28"/>
        <item x="80"/>
        <item x="82"/>
        <item x="53"/>
        <item x="49"/>
        <item x="81"/>
        <item x="34"/>
        <item x="25"/>
        <item x="37"/>
        <item x="43"/>
        <item x="50"/>
        <item x="22"/>
        <item x="38"/>
        <item x="83"/>
        <item x="47"/>
        <item x="46"/>
        <item x="20"/>
        <item x="84"/>
        <item x="19"/>
        <item x="32"/>
        <item x="35"/>
        <item x="17"/>
        <item x="14"/>
        <item x="29"/>
        <item x="30"/>
        <item x="11"/>
        <item x="8"/>
        <item x="44"/>
        <item x="26"/>
        <item x="6"/>
        <item x="23"/>
        <item x="39"/>
        <item x="27"/>
        <item x="12"/>
        <item x="15"/>
        <item x="18"/>
        <item x="9"/>
        <item x="24"/>
        <item x="10"/>
        <item x="4"/>
        <item x="21"/>
        <item x="42"/>
        <item x="13"/>
        <item x="7"/>
        <item x="16"/>
        <item x="41"/>
        <item x="40"/>
        <item x="5"/>
        <item x="1"/>
        <item x="147"/>
        <item x="3"/>
        <item x="2"/>
        <item x="86"/>
        <item x="0"/>
        <item x="87"/>
        <item x="161"/>
        <item x="150"/>
        <item x="89"/>
        <item x="90"/>
        <item x="162"/>
        <item x="85"/>
        <item x="163"/>
        <item x="148"/>
        <item x="92"/>
        <item x="93"/>
        <item x="160"/>
        <item x="144"/>
        <item x="165"/>
        <item x="159"/>
        <item x="88"/>
        <item x="164"/>
        <item x="95"/>
        <item x="157"/>
        <item x="166"/>
        <item x="146"/>
        <item x="156"/>
        <item x="91"/>
        <item x="96"/>
        <item x="183"/>
        <item x="154"/>
        <item x="149"/>
        <item x="158"/>
        <item x="172"/>
        <item x="167"/>
        <item x="155"/>
        <item x="98"/>
        <item x="99"/>
        <item x="169"/>
        <item x="94"/>
        <item x="102"/>
        <item x="152"/>
        <item x="170"/>
        <item x="145"/>
        <item x="101"/>
        <item x="185"/>
        <item x="168"/>
        <item x="104"/>
        <item x="141"/>
        <item x="151"/>
        <item x="107"/>
        <item x="186"/>
        <item x="97"/>
        <item x="153"/>
        <item x="108"/>
        <item x="180"/>
        <item x="171"/>
        <item x="100"/>
        <item x="143"/>
        <item x="178"/>
        <item x="103"/>
        <item x="106"/>
        <item x="105"/>
        <item x="182"/>
        <item x="184"/>
        <item x="142"/>
        <item x="110"/>
        <item x="175"/>
        <item x="177"/>
        <item x="176"/>
        <item x="112"/>
        <item x="140"/>
        <item x="181"/>
        <item x="109"/>
        <item x="115"/>
        <item x="139"/>
        <item x="114"/>
        <item x="179"/>
        <item x="194"/>
        <item x="117"/>
        <item x="118"/>
        <item x="138"/>
        <item x="121"/>
        <item x="195"/>
        <item x="196"/>
        <item x="198"/>
        <item x="189"/>
        <item x="120"/>
        <item x="111"/>
        <item x="123"/>
        <item x="188"/>
        <item x="173"/>
        <item x="197"/>
        <item x="124"/>
        <item x="199"/>
        <item x="113"/>
        <item x="187"/>
        <item x="126"/>
        <item x="192"/>
        <item x="137"/>
        <item x="116"/>
        <item x="122"/>
        <item x="119"/>
        <item x="201"/>
        <item x="128"/>
        <item x="193"/>
        <item x="130"/>
        <item x="125"/>
        <item x="190"/>
        <item x="132"/>
        <item x="136"/>
        <item x="127"/>
        <item x="200"/>
        <item x="129"/>
        <item x="133"/>
        <item x="131"/>
        <item x="203"/>
        <item x="135"/>
        <item x="191"/>
        <item x="202"/>
        <item x="134"/>
        <item x="204"/>
        <item x="174"/>
        <item t="default"/>
      </items>
    </pivotField>
    <pivotField showAll="0">
      <items count="283">
        <item x="1"/>
        <item x="3"/>
        <item x="6"/>
        <item x="2"/>
        <item x="4"/>
        <item x="7"/>
        <item x="0"/>
        <item x="8"/>
        <item x="5"/>
        <item x="9"/>
        <item x="10"/>
        <item x="12"/>
        <item x="11"/>
        <item x="13"/>
        <item x="15"/>
        <item x="14"/>
        <item x="17"/>
        <item x="18"/>
        <item x="20"/>
        <item x="16"/>
        <item x="21"/>
        <item x="24"/>
        <item x="23"/>
        <item x="19"/>
        <item x="26"/>
        <item x="27"/>
        <item x="22"/>
        <item x="29"/>
        <item x="25"/>
        <item x="30"/>
        <item x="33"/>
        <item x="28"/>
        <item x="36"/>
        <item x="32"/>
        <item x="39"/>
        <item x="35"/>
        <item x="42"/>
        <item x="38"/>
        <item x="45"/>
        <item x="41"/>
        <item x="31"/>
        <item x="48"/>
        <item x="44"/>
        <item x="34"/>
        <item x="51"/>
        <item x="47"/>
        <item x="37"/>
        <item x="40"/>
        <item x="50"/>
        <item x="54"/>
        <item x="57"/>
        <item x="43"/>
        <item x="53"/>
        <item x="62"/>
        <item x="65"/>
        <item x="46"/>
        <item x="56"/>
        <item x="68"/>
        <item x="59"/>
        <item x="61"/>
        <item x="49"/>
        <item x="71"/>
        <item x="64"/>
        <item x="67"/>
        <item x="74"/>
        <item x="76"/>
        <item x="52"/>
        <item x="70"/>
        <item x="78"/>
        <item x="73"/>
        <item x="55"/>
        <item x="77"/>
        <item x="58"/>
        <item x="81"/>
        <item x="80"/>
        <item x="60"/>
        <item x="86"/>
        <item x="63"/>
        <item x="66"/>
        <item x="83"/>
        <item x="85"/>
        <item x="69"/>
        <item x="88"/>
        <item x="75"/>
        <item x="72"/>
        <item x="93"/>
        <item x="90"/>
        <item x="79"/>
        <item x="96"/>
        <item x="99"/>
        <item x="92"/>
        <item x="82"/>
        <item x="102"/>
        <item x="105"/>
        <item x="95"/>
        <item x="108"/>
        <item x="84"/>
        <item x="98"/>
        <item x="110"/>
        <item x="87"/>
        <item x="101"/>
        <item x="113"/>
        <item x="144"/>
        <item x="104"/>
        <item x="107"/>
        <item x="142"/>
        <item x="139"/>
        <item x="116"/>
        <item x="89"/>
        <item x="147"/>
        <item x="119"/>
        <item x="146"/>
        <item x="112"/>
        <item x="136"/>
        <item x="91"/>
        <item x="133"/>
        <item x="115"/>
        <item x="141"/>
        <item x="126"/>
        <item x="130"/>
        <item x="94"/>
        <item x="152"/>
        <item x="148"/>
        <item x="154"/>
        <item x="118"/>
        <item x="155"/>
        <item x="145"/>
        <item x="138"/>
        <item x="121"/>
        <item x="153"/>
        <item x="149"/>
        <item x="157"/>
        <item x="97"/>
        <item x="135"/>
        <item x="123"/>
        <item x="159"/>
        <item x="167"/>
        <item x="125"/>
        <item x="161"/>
        <item x="100"/>
        <item x="132"/>
        <item x="103"/>
        <item x="143"/>
        <item x="156"/>
        <item x="106"/>
        <item x="129"/>
        <item x="158"/>
        <item x="109"/>
        <item x="150"/>
        <item x="164"/>
        <item x="151"/>
        <item x="168"/>
        <item x="166"/>
        <item x="163"/>
        <item x="160"/>
        <item x="162"/>
        <item x="140"/>
        <item x="165"/>
        <item x="111"/>
        <item x="170"/>
        <item x="169"/>
        <item x="172"/>
        <item x="137"/>
        <item x="171"/>
        <item x="114"/>
        <item x="174"/>
        <item x="117"/>
        <item x="134"/>
        <item x="175"/>
        <item x="173"/>
        <item x="120"/>
        <item x="122"/>
        <item x="131"/>
        <item x="176"/>
        <item x="124"/>
        <item x="127"/>
        <item x="128"/>
        <item x="178"/>
        <item x="179"/>
        <item x="177"/>
        <item x="181"/>
        <item x="182"/>
        <item x="180"/>
        <item x="184"/>
        <item x="187"/>
        <item x="185"/>
        <item x="190"/>
        <item x="183"/>
        <item x="188"/>
        <item x="186"/>
        <item x="191"/>
        <item x="189"/>
        <item x="193"/>
        <item x="192"/>
        <item x="196"/>
        <item x="197"/>
        <item x="195"/>
        <item x="198"/>
        <item x="200"/>
        <item x="199"/>
        <item x="202"/>
        <item x="201"/>
        <item x="204"/>
        <item x="205"/>
        <item x="207"/>
        <item x="203"/>
        <item x="212"/>
        <item x="214"/>
        <item x="216"/>
        <item x="208"/>
        <item x="206"/>
        <item x="217"/>
        <item x="210"/>
        <item x="213"/>
        <item x="215"/>
        <item x="209"/>
        <item x="211"/>
        <item x="219"/>
        <item x="222"/>
        <item x="226"/>
        <item x="230"/>
        <item x="233"/>
        <item x="220"/>
        <item x="224"/>
        <item x="223"/>
        <item x="227"/>
        <item x="231"/>
        <item x="234"/>
        <item x="218"/>
        <item x="225"/>
        <item x="221"/>
        <item x="228"/>
        <item x="236"/>
        <item x="229"/>
        <item x="232"/>
        <item x="235"/>
        <item x="238"/>
        <item x="240"/>
        <item x="237"/>
        <item x="241"/>
        <item x="243"/>
        <item x="239"/>
        <item x="244"/>
        <item x="246"/>
        <item x="242"/>
        <item x="247"/>
        <item x="249"/>
        <item x="245"/>
        <item x="252"/>
        <item x="250"/>
        <item x="255"/>
        <item x="248"/>
        <item x="253"/>
        <item x="251"/>
        <item x="258"/>
        <item x="256"/>
        <item x="254"/>
        <item x="259"/>
        <item x="257"/>
        <item x="263"/>
        <item x="261"/>
        <item x="266"/>
        <item x="260"/>
        <item x="264"/>
        <item x="269"/>
        <item x="262"/>
        <item x="267"/>
        <item x="272"/>
        <item x="265"/>
        <item x="270"/>
        <item x="268"/>
        <item x="277"/>
        <item x="273"/>
        <item x="275"/>
        <item x="271"/>
        <item x="280"/>
        <item x="274"/>
        <item x="278"/>
        <item x="276"/>
        <item x="281"/>
        <item x="279"/>
        <item x="194"/>
        <item t="default"/>
      </items>
    </pivotField>
    <pivotField showAll="0">
      <items count="269">
        <item x="0"/>
        <item x="2"/>
        <item x="1"/>
        <item x="4"/>
        <item x="5"/>
        <item x="3"/>
        <item x="7"/>
        <item x="8"/>
        <item x="6"/>
        <item x="10"/>
        <item x="11"/>
        <item x="13"/>
        <item x="9"/>
        <item x="15"/>
        <item x="12"/>
        <item x="17"/>
        <item x="18"/>
        <item x="14"/>
        <item x="20"/>
        <item x="16"/>
        <item x="22"/>
        <item x="19"/>
        <item x="21"/>
        <item x="24"/>
        <item x="23"/>
        <item x="25"/>
        <item x="26"/>
        <item x="32"/>
        <item x="28"/>
        <item x="27"/>
        <item x="30"/>
        <item x="33"/>
        <item x="29"/>
        <item x="31"/>
        <item x="35"/>
        <item x="34"/>
        <item x="37"/>
        <item x="40"/>
        <item x="36"/>
        <item x="43"/>
        <item x="41"/>
        <item x="38"/>
        <item x="44"/>
        <item x="39"/>
        <item x="42"/>
        <item x="47"/>
        <item x="48"/>
        <item x="45"/>
        <item x="46"/>
        <item x="54"/>
        <item x="57"/>
        <item x="49"/>
        <item x="60"/>
        <item x="50"/>
        <item x="52"/>
        <item x="55"/>
        <item x="65"/>
        <item x="58"/>
        <item x="51"/>
        <item x="53"/>
        <item x="70"/>
        <item x="61"/>
        <item x="56"/>
        <item x="63"/>
        <item x="66"/>
        <item x="59"/>
        <item x="68"/>
        <item x="78"/>
        <item x="81"/>
        <item x="71"/>
        <item x="64"/>
        <item x="62"/>
        <item x="67"/>
        <item x="89"/>
        <item x="74"/>
        <item x="69"/>
        <item x="76"/>
        <item x="96"/>
        <item x="72"/>
        <item x="99"/>
        <item x="79"/>
        <item x="82"/>
        <item x="73"/>
        <item x="104"/>
        <item x="75"/>
        <item x="106"/>
        <item x="85"/>
        <item x="111"/>
        <item x="87"/>
        <item x="77"/>
        <item x="90"/>
        <item x="120"/>
        <item x="80"/>
        <item x="83"/>
        <item x="92"/>
        <item x="123"/>
        <item x="84"/>
        <item x="94"/>
        <item x="127"/>
        <item x="129"/>
        <item x="97"/>
        <item x="86"/>
        <item x="100"/>
        <item x="88"/>
        <item x="132"/>
        <item x="102"/>
        <item x="137"/>
        <item x="138"/>
        <item x="107"/>
        <item x="109"/>
        <item x="91"/>
        <item x="112"/>
        <item x="114"/>
        <item x="141"/>
        <item x="116"/>
        <item x="146"/>
        <item x="93"/>
        <item x="152"/>
        <item x="118"/>
        <item x="131"/>
        <item x="98"/>
        <item x="95"/>
        <item x="155"/>
        <item x="103"/>
        <item x="101"/>
        <item x="125"/>
        <item x="105"/>
        <item x="160"/>
        <item x="133"/>
        <item x="108"/>
        <item x="135"/>
        <item x="110"/>
        <item x="165"/>
        <item x="113"/>
        <item x="115"/>
        <item x="130"/>
        <item x="142"/>
        <item x="126"/>
        <item x="128"/>
        <item x="122"/>
        <item x="117"/>
        <item x="174"/>
        <item x="119"/>
        <item x="121"/>
        <item x="124"/>
        <item x="134"/>
        <item x="136"/>
        <item x="140"/>
        <item x="150"/>
        <item x="147"/>
        <item x="144"/>
        <item x="153"/>
        <item x="139"/>
        <item x="156"/>
        <item x="158"/>
        <item x="143"/>
        <item x="161"/>
        <item x="162"/>
        <item x="163"/>
        <item x="166"/>
        <item x="168"/>
        <item x="181"/>
        <item x="170"/>
        <item x="172"/>
        <item x="175"/>
        <item x="176"/>
        <item x="178"/>
        <item x="149"/>
        <item x="151"/>
        <item x="145"/>
        <item x="154"/>
        <item x="148"/>
        <item x="157"/>
        <item x="159"/>
        <item x="164"/>
        <item x="167"/>
        <item x="177"/>
        <item x="169"/>
        <item x="182"/>
        <item x="171"/>
        <item x="173"/>
        <item x="184"/>
        <item x="190"/>
        <item x="180"/>
        <item x="186"/>
        <item x="193"/>
        <item x="183"/>
        <item x="188"/>
        <item x="185"/>
        <item x="196"/>
        <item x="191"/>
        <item x="187"/>
        <item x="194"/>
        <item x="189"/>
        <item x="201"/>
        <item x="204"/>
        <item x="197"/>
        <item x="207"/>
        <item x="210"/>
        <item x="192"/>
        <item x="214"/>
        <item x="218"/>
        <item x="199"/>
        <item x="195"/>
        <item x="202"/>
        <item x="225"/>
        <item x="228"/>
        <item x="231"/>
        <item x="234"/>
        <item x="205"/>
        <item x="236"/>
        <item x="239"/>
        <item x="208"/>
        <item x="242"/>
        <item x="198"/>
        <item x="245"/>
        <item x="200"/>
        <item x="212"/>
        <item x="247"/>
        <item x="250"/>
        <item x="203"/>
        <item x="253"/>
        <item x="215"/>
        <item x="256"/>
        <item x="219"/>
        <item x="221"/>
        <item x="223"/>
        <item x="226"/>
        <item x="206"/>
        <item x="229"/>
        <item x="261"/>
        <item x="232"/>
        <item x="209"/>
        <item x="266"/>
        <item x="211"/>
        <item x="237"/>
        <item x="213"/>
        <item x="240"/>
        <item x="216"/>
        <item x="243"/>
        <item x="217"/>
        <item x="220"/>
        <item x="248"/>
        <item x="222"/>
        <item x="224"/>
        <item x="251"/>
        <item x="254"/>
        <item x="227"/>
        <item x="257"/>
        <item x="230"/>
        <item x="259"/>
        <item x="262"/>
        <item x="233"/>
        <item x="264"/>
        <item x="235"/>
        <item x="267"/>
        <item x="238"/>
        <item x="241"/>
        <item x="244"/>
        <item x="246"/>
        <item x="249"/>
        <item x="252"/>
        <item x="255"/>
        <item x="258"/>
        <item x="260"/>
        <item x="263"/>
        <item x="265"/>
        <item x="179"/>
        <item t="default"/>
      </items>
    </pivotField>
    <pivotField showAll="0">
      <items count="308">
        <item x="0"/>
        <item x="2"/>
        <item x="3"/>
        <item x="1"/>
        <item x="6"/>
        <item x="5"/>
        <item x="9"/>
        <item x="8"/>
        <item x="4"/>
        <item x="11"/>
        <item x="7"/>
        <item x="12"/>
        <item x="14"/>
        <item x="10"/>
        <item x="15"/>
        <item x="13"/>
        <item x="17"/>
        <item x="18"/>
        <item x="16"/>
        <item x="20"/>
        <item x="19"/>
        <item x="22"/>
        <item x="23"/>
        <item x="21"/>
        <item x="25"/>
        <item x="26"/>
        <item x="24"/>
        <item x="27"/>
        <item x="29"/>
        <item x="30"/>
        <item x="28"/>
        <item x="33"/>
        <item x="32"/>
        <item x="35"/>
        <item x="31"/>
        <item x="38"/>
        <item x="41"/>
        <item x="37"/>
        <item x="34"/>
        <item x="44"/>
        <item x="40"/>
        <item x="43"/>
        <item x="36"/>
        <item x="47"/>
        <item x="46"/>
        <item x="39"/>
        <item x="50"/>
        <item x="42"/>
        <item x="49"/>
        <item x="45"/>
        <item x="52"/>
        <item x="48"/>
        <item x="55"/>
        <item x="54"/>
        <item x="58"/>
        <item x="51"/>
        <item x="57"/>
        <item x="60"/>
        <item x="53"/>
        <item x="63"/>
        <item x="56"/>
        <item x="62"/>
        <item x="59"/>
        <item x="65"/>
        <item x="67"/>
        <item x="68"/>
        <item x="61"/>
        <item x="64"/>
        <item x="70"/>
        <item x="66"/>
        <item x="72"/>
        <item x="69"/>
        <item x="73"/>
        <item x="75"/>
        <item x="71"/>
        <item x="74"/>
        <item x="76"/>
        <item x="77"/>
        <item x="79"/>
        <item x="80"/>
        <item x="82"/>
        <item x="78"/>
        <item x="83"/>
        <item x="81"/>
        <item x="85"/>
        <item x="87"/>
        <item x="84"/>
        <item x="86"/>
        <item x="89"/>
        <item x="90"/>
        <item x="88"/>
        <item x="92"/>
        <item x="93"/>
        <item x="91"/>
        <item x="95"/>
        <item x="94"/>
        <item x="99"/>
        <item x="97"/>
        <item x="102"/>
        <item x="100"/>
        <item x="96"/>
        <item x="103"/>
        <item x="98"/>
        <item x="105"/>
        <item x="108"/>
        <item x="101"/>
        <item x="104"/>
        <item x="111"/>
        <item x="109"/>
        <item x="106"/>
        <item x="112"/>
        <item x="107"/>
        <item x="114"/>
        <item x="118"/>
        <item x="110"/>
        <item x="116"/>
        <item x="121"/>
        <item x="113"/>
        <item x="124"/>
        <item x="119"/>
        <item x="115"/>
        <item x="127"/>
        <item x="122"/>
        <item x="130"/>
        <item x="125"/>
        <item x="117"/>
        <item x="135"/>
        <item x="128"/>
        <item x="138"/>
        <item x="120"/>
        <item x="131"/>
        <item x="123"/>
        <item x="143"/>
        <item x="126"/>
        <item x="133"/>
        <item x="136"/>
        <item x="129"/>
        <item x="139"/>
        <item x="141"/>
        <item x="147"/>
        <item x="132"/>
        <item x="134"/>
        <item x="137"/>
        <item x="152"/>
        <item x="154"/>
        <item x="140"/>
        <item x="145"/>
        <item x="159"/>
        <item x="148"/>
        <item x="162"/>
        <item x="142"/>
        <item x="150"/>
        <item x="165"/>
        <item x="144"/>
        <item x="153"/>
        <item x="155"/>
        <item x="146"/>
        <item x="169"/>
        <item x="157"/>
        <item x="160"/>
        <item x="149"/>
        <item x="163"/>
        <item x="166"/>
        <item x="174"/>
        <item x="151"/>
        <item x="158"/>
        <item x="156"/>
        <item x="175"/>
        <item x="170"/>
        <item x="178"/>
        <item x="161"/>
        <item x="180"/>
        <item x="172"/>
        <item x="183"/>
        <item x="185"/>
        <item x="164"/>
        <item x="188"/>
        <item x="167"/>
        <item x="176"/>
        <item x="181"/>
        <item x="168"/>
        <item x="186"/>
        <item x="191"/>
        <item x="171"/>
        <item x="189"/>
        <item x="193"/>
        <item x="182"/>
        <item x="173"/>
        <item x="179"/>
        <item x="177"/>
        <item x="184"/>
        <item x="187"/>
        <item x="190"/>
        <item x="192"/>
        <item x="196"/>
        <item x="194"/>
        <item x="198"/>
        <item x="195"/>
        <item x="197"/>
        <item x="200"/>
        <item x="199"/>
        <item x="202"/>
        <item x="201"/>
        <item x="204"/>
        <item x="205"/>
        <item x="203"/>
        <item x="207"/>
        <item x="208"/>
        <item x="206"/>
        <item x="210"/>
        <item x="209"/>
        <item x="214"/>
        <item x="217"/>
        <item x="213"/>
        <item x="212"/>
        <item x="220"/>
        <item x="216"/>
        <item x="223"/>
        <item x="219"/>
        <item x="222"/>
        <item x="215"/>
        <item x="226"/>
        <item x="225"/>
        <item x="228"/>
        <item x="218"/>
        <item x="221"/>
        <item x="224"/>
        <item x="230"/>
        <item x="231"/>
        <item x="227"/>
        <item x="234"/>
        <item x="237"/>
        <item x="229"/>
        <item x="233"/>
        <item x="236"/>
        <item x="239"/>
        <item x="232"/>
        <item x="240"/>
        <item x="235"/>
        <item x="242"/>
        <item x="246"/>
        <item x="241"/>
        <item x="238"/>
        <item x="243"/>
        <item x="249"/>
        <item x="248"/>
        <item x="245"/>
        <item x="252"/>
        <item x="244"/>
        <item x="247"/>
        <item x="253"/>
        <item x="251"/>
        <item x="256"/>
        <item x="255"/>
        <item x="250"/>
        <item x="258"/>
        <item x="261"/>
        <item x="254"/>
        <item x="264"/>
        <item x="260"/>
        <item x="257"/>
        <item x="263"/>
        <item x="267"/>
        <item x="266"/>
        <item x="259"/>
        <item x="270"/>
        <item x="262"/>
        <item x="269"/>
        <item x="265"/>
        <item x="273"/>
        <item x="272"/>
        <item x="268"/>
        <item x="276"/>
        <item x="275"/>
        <item x="279"/>
        <item x="271"/>
        <item x="278"/>
        <item x="282"/>
        <item x="284"/>
        <item x="274"/>
        <item x="281"/>
        <item x="287"/>
        <item x="277"/>
        <item x="290"/>
        <item x="286"/>
        <item x="280"/>
        <item x="289"/>
        <item x="295"/>
        <item x="283"/>
        <item x="292"/>
        <item x="298"/>
        <item x="294"/>
        <item x="285"/>
        <item x="301"/>
        <item x="304"/>
        <item x="297"/>
        <item x="288"/>
        <item x="291"/>
        <item x="300"/>
        <item x="293"/>
        <item x="303"/>
        <item x="306"/>
        <item x="296"/>
        <item x="299"/>
        <item x="302"/>
        <item x="305"/>
        <item x="211"/>
        <item t="default"/>
      </items>
    </pivotField>
    <pivotField showAll="0"/>
    <pivotField showAll="0">
      <items count="310">
        <item x="0"/>
        <item x="1"/>
        <item x="2"/>
        <item x="4"/>
        <item x="3"/>
        <item x="5"/>
        <item x="7"/>
        <item x="6"/>
        <item x="8"/>
        <item x="10"/>
        <item x="11"/>
        <item x="9"/>
        <item x="13"/>
        <item x="14"/>
        <item x="16"/>
        <item x="12"/>
        <item x="18"/>
        <item x="19"/>
        <item x="15"/>
        <item x="21"/>
        <item x="17"/>
        <item x="23"/>
        <item x="24"/>
        <item x="20"/>
        <item x="26"/>
        <item x="27"/>
        <item x="22"/>
        <item x="29"/>
        <item x="25"/>
        <item x="30"/>
        <item x="32"/>
        <item x="28"/>
        <item x="35"/>
        <item x="34"/>
        <item x="38"/>
        <item x="37"/>
        <item x="31"/>
        <item x="40"/>
        <item x="41"/>
        <item x="33"/>
        <item x="43"/>
        <item x="36"/>
        <item x="44"/>
        <item x="39"/>
        <item x="46"/>
        <item x="47"/>
        <item x="42"/>
        <item x="49"/>
        <item x="50"/>
        <item x="45"/>
        <item x="52"/>
        <item x="48"/>
        <item x="55"/>
        <item x="54"/>
        <item x="58"/>
        <item x="57"/>
        <item x="51"/>
        <item x="59"/>
        <item x="62"/>
        <item x="61"/>
        <item x="64"/>
        <item x="53"/>
        <item x="66"/>
        <item x="67"/>
        <item x="56"/>
        <item x="70"/>
        <item x="69"/>
        <item x="72"/>
        <item x="60"/>
        <item x="63"/>
        <item x="75"/>
        <item x="74"/>
        <item x="65"/>
        <item x="77"/>
        <item x="68"/>
        <item x="78"/>
        <item x="71"/>
        <item x="80"/>
        <item x="81"/>
        <item x="73"/>
        <item x="83"/>
        <item x="86"/>
        <item x="85"/>
        <item x="76"/>
        <item x="89"/>
        <item x="88"/>
        <item x="79"/>
        <item x="92"/>
        <item x="91"/>
        <item x="82"/>
        <item x="94"/>
        <item x="84"/>
        <item x="99"/>
        <item x="96"/>
        <item x="87"/>
        <item x="102"/>
        <item x="98"/>
        <item x="90"/>
        <item x="105"/>
        <item x="101"/>
        <item x="108"/>
        <item x="104"/>
        <item x="107"/>
        <item x="111"/>
        <item x="93"/>
        <item x="110"/>
        <item x="114"/>
        <item x="95"/>
        <item x="113"/>
        <item x="117"/>
        <item x="116"/>
        <item x="97"/>
        <item x="120"/>
        <item x="100"/>
        <item x="119"/>
        <item x="103"/>
        <item x="123"/>
        <item x="122"/>
        <item x="126"/>
        <item x="106"/>
        <item x="125"/>
        <item x="127"/>
        <item x="109"/>
        <item x="128"/>
        <item x="112"/>
        <item x="115"/>
        <item x="130"/>
        <item x="118"/>
        <item x="133"/>
        <item x="132"/>
        <item x="121"/>
        <item x="136"/>
        <item x="124"/>
        <item x="135"/>
        <item x="129"/>
        <item x="138"/>
        <item x="140"/>
        <item x="141"/>
        <item x="131"/>
        <item x="144"/>
        <item x="143"/>
        <item x="134"/>
        <item x="146"/>
        <item x="147"/>
        <item x="137"/>
        <item x="139"/>
        <item x="149"/>
        <item x="142"/>
        <item x="145"/>
        <item x="150"/>
        <item x="152"/>
        <item x="148"/>
        <item x="154"/>
        <item x="156"/>
        <item x="151"/>
        <item x="158"/>
        <item x="163"/>
        <item x="153"/>
        <item x="160"/>
        <item x="155"/>
        <item x="162"/>
        <item x="165"/>
        <item x="166"/>
        <item x="169"/>
        <item x="157"/>
        <item x="168"/>
        <item x="179"/>
        <item x="171"/>
        <item x="159"/>
        <item x="174"/>
        <item x="178"/>
        <item x="161"/>
        <item x="173"/>
        <item x="176"/>
        <item x="170"/>
        <item x="164"/>
        <item x="182"/>
        <item x="167"/>
        <item x="172"/>
        <item x="175"/>
        <item x="177"/>
        <item x="185"/>
        <item x="180"/>
        <item x="187"/>
        <item x="184"/>
        <item x="190"/>
        <item x="193"/>
        <item x="196"/>
        <item x="189"/>
        <item x="192"/>
        <item x="181"/>
        <item x="195"/>
        <item x="198"/>
        <item x="183"/>
        <item x="200"/>
        <item x="201"/>
        <item x="186"/>
        <item x="203"/>
        <item x="188"/>
        <item x="191"/>
        <item x="194"/>
        <item x="206"/>
        <item x="205"/>
        <item x="197"/>
        <item x="209"/>
        <item x="208"/>
        <item x="199"/>
        <item x="212"/>
        <item x="211"/>
        <item x="202"/>
        <item x="214"/>
        <item x="204"/>
        <item x="216"/>
        <item x="207"/>
        <item x="218"/>
        <item x="210"/>
        <item x="220"/>
        <item x="213"/>
        <item x="221"/>
        <item x="215"/>
        <item x="223"/>
        <item x="217"/>
        <item x="224"/>
        <item x="219"/>
        <item x="226"/>
        <item x="222"/>
        <item x="225"/>
        <item x="231"/>
        <item x="228"/>
        <item x="233"/>
        <item x="237"/>
        <item x="234"/>
        <item x="239"/>
        <item x="230"/>
        <item x="242"/>
        <item x="238"/>
        <item x="236"/>
        <item x="245"/>
        <item x="241"/>
        <item x="244"/>
        <item x="250"/>
        <item x="247"/>
        <item x="229"/>
        <item x="253"/>
        <item x="232"/>
        <item x="252"/>
        <item x="249"/>
        <item x="235"/>
        <item x="240"/>
        <item x="258"/>
        <item x="255"/>
        <item x="261"/>
        <item x="243"/>
        <item x="266"/>
        <item x="273"/>
        <item x="260"/>
        <item x="263"/>
        <item x="269"/>
        <item x="276"/>
        <item x="246"/>
        <item x="257"/>
        <item x="265"/>
        <item x="275"/>
        <item x="278"/>
        <item x="272"/>
        <item x="268"/>
        <item x="277"/>
        <item x="270"/>
        <item x="286"/>
        <item x="248"/>
        <item x="251"/>
        <item x="280"/>
        <item x="282"/>
        <item x="283"/>
        <item x="285"/>
        <item x="254"/>
        <item x="291"/>
        <item x="288"/>
        <item x="294"/>
        <item x="290"/>
        <item x="262"/>
        <item x="259"/>
        <item x="293"/>
        <item x="296"/>
        <item x="274"/>
        <item x="264"/>
        <item x="271"/>
        <item x="298"/>
        <item x="267"/>
        <item x="281"/>
        <item x="300"/>
        <item x="279"/>
        <item x="256"/>
        <item x="284"/>
        <item x="304"/>
        <item x="287"/>
        <item x="289"/>
        <item x="303"/>
        <item x="292"/>
        <item x="306"/>
        <item x="295"/>
        <item x="297"/>
        <item x="308"/>
        <item x="299"/>
        <item x="301"/>
        <item x="302"/>
        <item x="305"/>
        <item x="307"/>
        <item x="227"/>
        <item t="default"/>
      </items>
    </pivotField>
    <pivotField showAll="0"/>
    <pivotField showAll="0"/>
    <pivotField showAll="0">
      <items count="304">
        <item x="1"/>
        <item x="2"/>
        <item x="0"/>
        <item x="4"/>
        <item x="3"/>
        <item x="6"/>
        <item x="5"/>
        <item x="8"/>
        <item x="9"/>
        <item x="7"/>
        <item x="11"/>
        <item x="12"/>
        <item x="10"/>
        <item x="14"/>
        <item x="15"/>
        <item x="13"/>
        <item x="17"/>
        <item x="19"/>
        <item x="16"/>
        <item x="20"/>
        <item x="18"/>
        <item x="22"/>
        <item x="24"/>
        <item x="21"/>
        <item x="25"/>
        <item x="27"/>
        <item x="23"/>
        <item x="30"/>
        <item x="28"/>
        <item x="33"/>
        <item x="26"/>
        <item x="36"/>
        <item x="31"/>
        <item x="39"/>
        <item x="34"/>
        <item x="29"/>
        <item x="42"/>
        <item x="37"/>
        <item x="32"/>
        <item x="40"/>
        <item x="35"/>
        <item x="43"/>
        <item x="38"/>
        <item x="49"/>
        <item x="45"/>
        <item x="41"/>
        <item x="52"/>
        <item x="47"/>
        <item x="55"/>
        <item x="44"/>
        <item x="58"/>
        <item x="50"/>
        <item x="46"/>
        <item x="61"/>
        <item x="53"/>
        <item x="64"/>
        <item x="56"/>
        <item x="67"/>
        <item x="48"/>
        <item x="70"/>
        <item x="51"/>
        <item x="72"/>
        <item x="59"/>
        <item x="54"/>
        <item x="62"/>
        <item x="65"/>
        <item x="57"/>
        <item x="68"/>
        <item x="81"/>
        <item x="60"/>
        <item x="86"/>
        <item x="63"/>
        <item x="89"/>
        <item x="73"/>
        <item x="66"/>
        <item x="75"/>
        <item x="92"/>
        <item x="95"/>
        <item x="77"/>
        <item x="97"/>
        <item x="69"/>
        <item x="100"/>
        <item x="71"/>
        <item x="79"/>
        <item x="105"/>
        <item x="74"/>
        <item x="82"/>
        <item x="108"/>
        <item x="84"/>
        <item x="76"/>
        <item x="113"/>
        <item x="87"/>
        <item x="116"/>
        <item x="119"/>
        <item x="90"/>
        <item x="78"/>
        <item x="80"/>
        <item x="123"/>
        <item x="93"/>
        <item x="126"/>
        <item x="83"/>
        <item x="130"/>
        <item x="98"/>
        <item x="133"/>
        <item x="85"/>
        <item x="136"/>
        <item x="101"/>
        <item x="143"/>
        <item x="103"/>
        <item x="88"/>
        <item x="106"/>
        <item x="109"/>
        <item x="91"/>
        <item x="94"/>
        <item x="111"/>
        <item x="96"/>
        <item x="114"/>
        <item x="117"/>
        <item x="99"/>
        <item x="150"/>
        <item x="102"/>
        <item x="152"/>
        <item x="104"/>
        <item x="121"/>
        <item x="156"/>
        <item x="107"/>
        <item x="124"/>
        <item x="159"/>
        <item x="127"/>
        <item x="110"/>
        <item x="131"/>
        <item x="162"/>
        <item x="134"/>
        <item x="112"/>
        <item x="137"/>
        <item x="115"/>
        <item x="139"/>
        <item x="167"/>
        <item x="141"/>
        <item x="118"/>
        <item x="169"/>
        <item x="144"/>
        <item x="120"/>
        <item x="173"/>
        <item x="122"/>
        <item x="146"/>
        <item x="125"/>
        <item x="128"/>
        <item x="129"/>
        <item x="177"/>
        <item x="132"/>
        <item x="180"/>
        <item x="182"/>
        <item x="135"/>
        <item x="138"/>
        <item x="153"/>
        <item x="185"/>
        <item x="140"/>
        <item x="186"/>
        <item x="157"/>
        <item x="189"/>
        <item x="192"/>
        <item x="160"/>
        <item x="195"/>
        <item x="142"/>
        <item x="196"/>
        <item x="163"/>
        <item x="199"/>
        <item x="145"/>
        <item x="202"/>
        <item x="165"/>
        <item x="205"/>
        <item x="147"/>
        <item x="170"/>
        <item x="172"/>
        <item x="148"/>
        <item x="181"/>
        <item x="174"/>
        <item x="178"/>
        <item x="175"/>
        <item x="151"/>
        <item x="149"/>
        <item x="187"/>
        <item x="154"/>
        <item x="190"/>
        <item x="155"/>
        <item x="193"/>
        <item x="216"/>
        <item x="197"/>
        <item x="158"/>
        <item x="200"/>
        <item x="220"/>
        <item x="203"/>
        <item x="161"/>
        <item x="206"/>
        <item x="208"/>
        <item x="223"/>
        <item x="164"/>
        <item x="179"/>
        <item x="183"/>
        <item x="226"/>
        <item x="166"/>
        <item x="168"/>
        <item x="184"/>
        <item x="176"/>
        <item x="188"/>
        <item x="194"/>
        <item x="191"/>
        <item x="171"/>
        <item x="212"/>
        <item x="198"/>
        <item x="214"/>
        <item x="229"/>
        <item x="201"/>
        <item x="217"/>
        <item x="204"/>
        <item x="207"/>
        <item x="209"/>
        <item x="232"/>
        <item x="221"/>
        <item x="235"/>
        <item x="224"/>
        <item x="211"/>
        <item x="227"/>
        <item x="213"/>
        <item x="215"/>
        <item x="240"/>
        <item x="218"/>
        <item x="219"/>
        <item x="230"/>
        <item x="222"/>
        <item x="233"/>
        <item x="225"/>
        <item x="236"/>
        <item x="247"/>
        <item x="250"/>
        <item x="228"/>
        <item x="231"/>
        <item x="253"/>
        <item x="234"/>
        <item x="238"/>
        <item x="241"/>
        <item x="243"/>
        <item x="258"/>
        <item x="245"/>
        <item x="248"/>
        <item x="261"/>
        <item x="251"/>
        <item x="237"/>
        <item x="239"/>
        <item x="264"/>
        <item x="242"/>
        <item x="254"/>
        <item x="244"/>
        <item x="256"/>
        <item x="246"/>
        <item x="269"/>
        <item x="249"/>
        <item x="259"/>
        <item x="272"/>
        <item x="262"/>
        <item x="252"/>
        <item x="275"/>
        <item x="265"/>
        <item x="255"/>
        <item x="278"/>
        <item x="257"/>
        <item x="267"/>
        <item x="281"/>
        <item x="284"/>
        <item x="260"/>
        <item x="270"/>
        <item x="287"/>
        <item x="263"/>
        <item x="290"/>
        <item x="273"/>
        <item x="292"/>
        <item x="266"/>
        <item x="276"/>
        <item x="295"/>
        <item x="279"/>
        <item x="298"/>
        <item x="268"/>
        <item x="301"/>
        <item x="282"/>
        <item x="271"/>
        <item x="285"/>
        <item x="274"/>
        <item x="288"/>
        <item x="277"/>
        <item x="293"/>
        <item x="280"/>
        <item x="296"/>
        <item x="299"/>
        <item x="283"/>
        <item x="302"/>
        <item x="286"/>
        <item x="289"/>
        <item x="291"/>
        <item x="294"/>
        <item x="297"/>
        <item x="300"/>
        <item x="210"/>
        <item t="default"/>
      </items>
    </pivotField>
    <pivotField showAll="0">
      <items count="119">
        <item x="1"/>
        <item x="2"/>
        <item x="3"/>
        <item x="4"/>
        <item x="5"/>
        <item x="6"/>
        <item x="7"/>
        <item x="8"/>
        <item x="10"/>
        <item x="9"/>
        <item x="11"/>
        <item x="12"/>
        <item x="13"/>
        <item x="14"/>
        <item x="15"/>
        <item x="16"/>
        <item x="17"/>
        <item x="18"/>
        <item x="21"/>
        <item x="19"/>
        <item x="20"/>
        <item x="22"/>
        <item x="23"/>
        <item x="24"/>
        <item x="27"/>
        <item x="25"/>
        <item x="26"/>
        <item x="28"/>
        <item x="29"/>
        <item x="30"/>
        <item x="31"/>
        <item x="32"/>
        <item x="33"/>
        <item x="34"/>
        <item x="35"/>
        <item x="38"/>
        <item x="36"/>
        <item x="37"/>
        <item x="39"/>
        <item x="40"/>
        <item x="41"/>
        <item x="44"/>
        <item x="42"/>
        <item x="43"/>
        <item x="45"/>
        <item x="46"/>
        <item x="47"/>
        <item x="50"/>
        <item x="48"/>
        <item x="49"/>
        <item x="51"/>
        <item x="52"/>
        <item x="53"/>
        <item x="54"/>
        <item x="55"/>
        <item x="56"/>
        <item x="57"/>
        <item x="58"/>
        <item x="59"/>
        <item x="62"/>
        <item x="60"/>
        <item x="61"/>
        <item x="63"/>
        <item x="64"/>
        <item x="65"/>
        <item x="66"/>
        <item x="68"/>
        <item x="67"/>
        <item x="69"/>
        <item x="70"/>
        <item x="71"/>
        <item x="73"/>
        <item x="72"/>
        <item x="74"/>
        <item x="75"/>
        <item x="76"/>
        <item x="79"/>
        <item x="77"/>
        <item x="78"/>
        <item x="80"/>
        <item x="82"/>
        <item x="84"/>
        <item x="81"/>
        <item x="85"/>
        <item x="83"/>
        <item x="86"/>
        <item x="87"/>
        <item x="90"/>
        <item x="88"/>
        <item x="89"/>
        <item x="91"/>
        <item x="93"/>
        <item x="96"/>
        <item x="94"/>
        <item x="97"/>
        <item x="95"/>
        <item x="98"/>
        <item x="101"/>
        <item x="99"/>
        <item x="100"/>
        <item x="102"/>
        <item x="104"/>
        <item x="103"/>
        <item x="107"/>
        <item x="105"/>
        <item x="106"/>
        <item x="108"/>
        <item x="109"/>
        <item x="110"/>
        <item x="113"/>
        <item x="111"/>
        <item x="112"/>
        <item x="114"/>
        <item x="115"/>
        <item x="116"/>
        <item x="117"/>
        <item x="92"/>
        <item x="0"/>
        <item t="default"/>
      </items>
    </pivotField>
    <pivotField showAll="0">
      <items count="275">
        <item x="1"/>
        <item x="0"/>
        <item x="3"/>
        <item x="4"/>
        <item x="5"/>
        <item x="2"/>
        <item x="7"/>
        <item x="6"/>
        <item x="9"/>
        <item x="10"/>
        <item x="8"/>
        <item x="12"/>
        <item x="13"/>
        <item x="11"/>
        <item x="15"/>
        <item x="16"/>
        <item x="18"/>
        <item x="14"/>
        <item x="19"/>
        <item x="17"/>
        <item x="25"/>
        <item x="27"/>
        <item x="21"/>
        <item x="23"/>
        <item x="30"/>
        <item x="20"/>
        <item x="37"/>
        <item x="22"/>
        <item x="41"/>
        <item x="28"/>
        <item x="46"/>
        <item x="31"/>
        <item x="33"/>
        <item x="35"/>
        <item x="24"/>
        <item x="26"/>
        <item x="29"/>
        <item x="32"/>
        <item x="34"/>
        <item x="39"/>
        <item x="42"/>
        <item x="44"/>
        <item x="36"/>
        <item x="86"/>
        <item x="47"/>
        <item x="84"/>
        <item x="61"/>
        <item x="89"/>
        <item x="64"/>
        <item x="99"/>
        <item x="38"/>
        <item x="40"/>
        <item x="49"/>
        <item x="51"/>
        <item x="43"/>
        <item x="76"/>
        <item x="102"/>
        <item x="45"/>
        <item x="53"/>
        <item x="79"/>
        <item x="48"/>
        <item x="50"/>
        <item x="55"/>
        <item x="105"/>
        <item x="108"/>
        <item x="57"/>
        <item x="52"/>
        <item x="59"/>
        <item x="122"/>
        <item x="117"/>
        <item x="62"/>
        <item x="120"/>
        <item x="65"/>
        <item x="54"/>
        <item x="67"/>
        <item x="70"/>
        <item x="56"/>
        <item x="72"/>
        <item x="58"/>
        <item x="114"/>
        <item x="74"/>
        <item x="60"/>
        <item x="77"/>
        <item x="87"/>
        <item x="85"/>
        <item x="63"/>
        <item x="80"/>
        <item x="66"/>
        <item x="82"/>
        <item x="91"/>
        <item x="93"/>
        <item x="95"/>
        <item x="69"/>
        <item x="68"/>
        <item x="97"/>
        <item x="100"/>
        <item x="71"/>
        <item x="137"/>
        <item x="139"/>
        <item x="103"/>
        <item x="168"/>
        <item x="73"/>
        <item x="75"/>
        <item x="78"/>
        <item x="134"/>
        <item x="142"/>
        <item x="106"/>
        <item x="109"/>
        <item x="83"/>
        <item x="159"/>
        <item x="131"/>
        <item x="88"/>
        <item x="81"/>
        <item x="111"/>
        <item x="90"/>
        <item x="144"/>
        <item x="92"/>
        <item x="157"/>
        <item x="118"/>
        <item x="171"/>
        <item x="94"/>
        <item x="115"/>
        <item x="96"/>
        <item x="98"/>
        <item x="101"/>
        <item x="165"/>
        <item x="124"/>
        <item x="149"/>
        <item x="104"/>
        <item x="107"/>
        <item x="126"/>
        <item x="154"/>
        <item x="110"/>
        <item x="151"/>
        <item x="175"/>
        <item x="112"/>
        <item x="116"/>
        <item x="113"/>
        <item x="178"/>
        <item x="119"/>
        <item x="121"/>
        <item x="135"/>
        <item x="129"/>
        <item x="133"/>
        <item x="140"/>
        <item x="186"/>
        <item x="194"/>
        <item x="198"/>
        <item x="123"/>
        <item x="201"/>
        <item x="125"/>
        <item x="192"/>
        <item x="160"/>
        <item x="169"/>
        <item x="181"/>
        <item x="170"/>
        <item x="167"/>
        <item x="158"/>
        <item x="145"/>
        <item x="163"/>
        <item x="172"/>
        <item x="147"/>
        <item x="127"/>
        <item x="166"/>
        <item x="184"/>
        <item x="190"/>
        <item x="130"/>
        <item x="132"/>
        <item x="128"/>
        <item x="155"/>
        <item x="195"/>
        <item x="193"/>
        <item x="196"/>
        <item x="199"/>
        <item x="176"/>
        <item x="136"/>
        <item x="187"/>
        <item x="138"/>
        <item x="179"/>
        <item x="189"/>
        <item x="141"/>
        <item x="152"/>
        <item x="191"/>
        <item x="156"/>
        <item x="161"/>
        <item x="143"/>
        <item x="162"/>
        <item x="182"/>
        <item x="197"/>
        <item x="146"/>
        <item x="164"/>
        <item x="203"/>
        <item x="173"/>
        <item x="200"/>
        <item x="185"/>
        <item x="148"/>
        <item x="205"/>
        <item x="150"/>
        <item x="174"/>
        <item x="153"/>
        <item x="177"/>
        <item x="202"/>
        <item x="180"/>
        <item x="206"/>
        <item x="183"/>
        <item x="204"/>
        <item x="208"/>
        <item x="210"/>
        <item x="209"/>
        <item x="211"/>
        <item x="207"/>
        <item x="215"/>
        <item x="218"/>
        <item x="213"/>
        <item x="216"/>
        <item x="219"/>
        <item x="223"/>
        <item x="228"/>
        <item x="212"/>
        <item x="214"/>
        <item x="225"/>
        <item x="217"/>
        <item x="221"/>
        <item x="234"/>
        <item x="220"/>
        <item x="222"/>
        <item x="229"/>
        <item x="231"/>
        <item x="226"/>
        <item x="237"/>
        <item x="227"/>
        <item x="224"/>
        <item x="230"/>
        <item x="235"/>
        <item x="232"/>
        <item x="238"/>
        <item x="233"/>
        <item x="236"/>
        <item x="240"/>
        <item x="241"/>
        <item x="239"/>
        <item x="243"/>
        <item x="244"/>
        <item x="246"/>
        <item x="242"/>
        <item x="247"/>
        <item x="245"/>
        <item x="251"/>
        <item x="252"/>
        <item x="250"/>
        <item x="254"/>
        <item x="249"/>
        <item x="248"/>
        <item x="253"/>
        <item x="256"/>
        <item x="265"/>
        <item x="259"/>
        <item x="257"/>
        <item x="262"/>
        <item x="255"/>
        <item x="260"/>
        <item x="268"/>
        <item x="270"/>
        <item x="266"/>
        <item x="271"/>
        <item x="258"/>
        <item x="263"/>
        <item x="267"/>
        <item x="272"/>
        <item x="269"/>
        <item x="261"/>
        <item x="264"/>
        <item x="273"/>
        <item x="188"/>
        <item t="default"/>
      </items>
    </pivotField>
    <pivotField axis="axisPage" dataField="1" showAll="0">
      <items count="292">
        <item x="0"/>
        <item x="1"/>
        <item x="2"/>
        <item x="3"/>
        <item x="4"/>
        <item x="6"/>
        <item x="5"/>
        <item x="7"/>
        <item x="9"/>
        <item x="8"/>
        <item x="10"/>
        <item x="12"/>
        <item x="11"/>
        <item x="14"/>
        <item x="15"/>
        <item x="13"/>
        <item x="16"/>
        <item x="17"/>
        <item x="19"/>
        <item x="20"/>
        <item x="18"/>
        <item x="22"/>
        <item x="23"/>
        <item x="21"/>
        <item x="25"/>
        <item x="27"/>
        <item x="24"/>
        <item x="28"/>
        <item x="26"/>
        <item x="30"/>
        <item x="29"/>
        <item x="32"/>
        <item x="33"/>
        <item x="31"/>
        <item x="35"/>
        <item x="34"/>
        <item x="36"/>
        <item x="38"/>
        <item x="39"/>
        <item x="37"/>
        <item x="41"/>
        <item x="43"/>
        <item x="40"/>
        <item x="46"/>
        <item x="44"/>
        <item x="49"/>
        <item x="42"/>
        <item x="47"/>
        <item x="51"/>
        <item x="45"/>
        <item x="54"/>
        <item x="56"/>
        <item x="52"/>
        <item x="48"/>
        <item x="58"/>
        <item x="61"/>
        <item x="50"/>
        <item x="53"/>
        <item x="64"/>
        <item x="59"/>
        <item x="55"/>
        <item x="62"/>
        <item x="70"/>
        <item x="57"/>
        <item x="65"/>
        <item x="73"/>
        <item x="60"/>
        <item x="76"/>
        <item x="79"/>
        <item x="63"/>
        <item x="81"/>
        <item x="68"/>
        <item x="71"/>
        <item x="66"/>
        <item x="86"/>
        <item x="89"/>
        <item x="74"/>
        <item x="92"/>
        <item x="77"/>
        <item x="67"/>
        <item x="69"/>
        <item x="96"/>
        <item x="82"/>
        <item x="100"/>
        <item x="84"/>
        <item x="72"/>
        <item x="103"/>
        <item x="87"/>
        <item x="106"/>
        <item x="75"/>
        <item x="90"/>
        <item x="111"/>
        <item x="114"/>
        <item x="78"/>
        <item x="119"/>
        <item x="94"/>
        <item x="80"/>
        <item x="83"/>
        <item x="98"/>
        <item x="126"/>
        <item x="85"/>
        <item x="129"/>
        <item x="101"/>
        <item x="88"/>
        <item x="132"/>
        <item x="104"/>
        <item x="91"/>
        <item x="107"/>
        <item x="93"/>
        <item x="137"/>
        <item x="140"/>
        <item x="109"/>
        <item x="95"/>
        <item x="112"/>
        <item x="142"/>
        <item x="115"/>
        <item x="97"/>
        <item x="117"/>
        <item x="147"/>
        <item x="120"/>
        <item x="149"/>
        <item x="99"/>
        <item x="122"/>
        <item x="124"/>
        <item x="102"/>
        <item x="150"/>
        <item x="127"/>
        <item x="105"/>
        <item x="130"/>
        <item x="108"/>
        <item x="133"/>
        <item x="110"/>
        <item x="155"/>
        <item x="135"/>
        <item x="113"/>
        <item x="158"/>
        <item x="116"/>
        <item x="138"/>
        <item x="118"/>
        <item x="121"/>
        <item x="123"/>
        <item x="143"/>
        <item x="145"/>
        <item x="125"/>
        <item x="165"/>
        <item x="128"/>
        <item x="151"/>
        <item x="167"/>
        <item x="131"/>
        <item x="169"/>
        <item x="172"/>
        <item x="153"/>
        <item x="176"/>
        <item x="177"/>
        <item x="134"/>
        <item x="156"/>
        <item x="179"/>
        <item x="136"/>
        <item x="182"/>
        <item x="185"/>
        <item x="139"/>
        <item x="160"/>
        <item x="188"/>
        <item x="191"/>
        <item x="141"/>
        <item x="144"/>
        <item x="163"/>
        <item x="146"/>
        <item x="148"/>
        <item x="196"/>
        <item x="199"/>
        <item x="202"/>
        <item x="152"/>
        <item x="154"/>
        <item x="157"/>
        <item x="159"/>
        <item x="170"/>
        <item x="173"/>
        <item x="174"/>
        <item x="161"/>
        <item x="162"/>
        <item x="180"/>
        <item x="183"/>
        <item x="186"/>
        <item x="189"/>
        <item x="210"/>
        <item x="192"/>
        <item x="207"/>
        <item x="214"/>
        <item x="217"/>
        <item x="194"/>
        <item x="197"/>
        <item x="200"/>
        <item x="219"/>
        <item x="220"/>
        <item x="164"/>
        <item x="222"/>
        <item x="166"/>
        <item x="205"/>
        <item x="208"/>
        <item x="212"/>
        <item x="168"/>
        <item x="178"/>
        <item x="215"/>
        <item x="226"/>
        <item x="175"/>
        <item x="171"/>
        <item x="181"/>
        <item x="184"/>
        <item x="187"/>
        <item x="228"/>
        <item x="190"/>
        <item x="193"/>
        <item x="201"/>
        <item x="206"/>
        <item x="195"/>
        <item x="198"/>
        <item x="204"/>
        <item x="209"/>
        <item x="211"/>
        <item x="231"/>
        <item x="234"/>
        <item x="213"/>
        <item x="216"/>
        <item x="236"/>
        <item x="224"/>
        <item x="218"/>
        <item x="239"/>
        <item x="221"/>
        <item x="229"/>
        <item x="242"/>
        <item x="245"/>
        <item x="248"/>
        <item x="232"/>
        <item x="237"/>
        <item x="251"/>
        <item x="223"/>
        <item x="225"/>
        <item x="240"/>
        <item x="254"/>
        <item x="243"/>
        <item x="227"/>
        <item x="230"/>
        <item x="246"/>
        <item x="233"/>
        <item x="249"/>
        <item x="235"/>
        <item x="259"/>
        <item x="252"/>
        <item x="238"/>
        <item x="262"/>
        <item x="241"/>
        <item x="255"/>
        <item x="265"/>
        <item x="244"/>
        <item x="268"/>
        <item x="257"/>
        <item x="247"/>
        <item x="271"/>
        <item x="260"/>
        <item x="250"/>
        <item x="274"/>
        <item x="277"/>
        <item x="263"/>
        <item x="253"/>
        <item x="280"/>
        <item x="266"/>
        <item x="256"/>
        <item x="283"/>
        <item x="269"/>
        <item x="286"/>
        <item x="289"/>
        <item x="258"/>
        <item x="272"/>
        <item x="261"/>
        <item x="275"/>
        <item x="278"/>
        <item x="264"/>
        <item x="281"/>
        <item x="267"/>
        <item x="284"/>
        <item x="270"/>
        <item x="287"/>
        <item x="290"/>
        <item x="273"/>
        <item x="276"/>
        <item x="279"/>
        <item x="282"/>
        <item x="285"/>
        <item x="288"/>
        <item x="203"/>
        <item t="default"/>
      </items>
    </pivotField>
    <pivotField axis="axisPage" dataField="1" showAll="0">
      <items count="308">
        <item x="0"/>
        <item x="1"/>
        <item x="2"/>
        <item x="4"/>
        <item x="3"/>
        <item x="6"/>
        <item x="7"/>
        <item x="5"/>
        <item x="9"/>
        <item x="8"/>
        <item x="11"/>
        <item x="10"/>
        <item x="12"/>
        <item x="14"/>
        <item x="13"/>
        <item x="15"/>
        <item x="17"/>
        <item x="16"/>
        <item x="18"/>
        <item x="19"/>
        <item x="21"/>
        <item x="22"/>
        <item x="24"/>
        <item x="20"/>
        <item x="25"/>
        <item x="23"/>
        <item x="29"/>
        <item x="27"/>
        <item x="26"/>
        <item x="28"/>
        <item x="31"/>
        <item x="33"/>
        <item x="30"/>
        <item x="34"/>
        <item x="36"/>
        <item x="32"/>
        <item x="39"/>
        <item x="37"/>
        <item x="35"/>
        <item x="40"/>
        <item x="38"/>
        <item x="41"/>
        <item x="47"/>
        <item x="43"/>
        <item x="52"/>
        <item x="45"/>
        <item x="42"/>
        <item x="55"/>
        <item x="58"/>
        <item x="48"/>
        <item x="44"/>
        <item x="50"/>
        <item x="46"/>
        <item x="63"/>
        <item x="53"/>
        <item x="49"/>
        <item x="68"/>
        <item x="56"/>
        <item x="71"/>
        <item x="59"/>
        <item x="51"/>
        <item x="73"/>
        <item x="61"/>
        <item x="54"/>
        <item x="76"/>
        <item x="57"/>
        <item x="64"/>
        <item x="60"/>
        <item x="66"/>
        <item x="69"/>
        <item x="62"/>
        <item x="83"/>
        <item x="65"/>
        <item x="74"/>
        <item x="67"/>
        <item x="77"/>
        <item x="87"/>
        <item x="70"/>
        <item x="89"/>
        <item x="92"/>
        <item x="80"/>
        <item x="95"/>
        <item x="98"/>
        <item x="72"/>
        <item x="100"/>
        <item x="75"/>
        <item x="84"/>
        <item x="78"/>
        <item x="105"/>
        <item x="79"/>
        <item x="109"/>
        <item x="81"/>
        <item x="112"/>
        <item x="115"/>
        <item x="90"/>
        <item x="82"/>
        <item x="93"/>
        <item x="85"/>
        <item x="96"/>
        <item x="123"/>
        <item x="126"/>
        <item x="86"/>
        <item x="129"/>
        <item x="101"/>
        <item x="88"/>
        <item x="103"/>
        <item x="91"/>
        <item x="132"/>
        <item x="94"/>
        <item x="107"/>
        <item x="135"/>
        <item x="97"/>
        <item x="110"/>
        <item x="99"/>
        <item x="113"/>
        <item x="139"/>
        <item x="102"/>
        <item x="116"/>
        <item x="104"/>
        <item x="118"/>
        <item x="120"/>
        <item x="106"/>
        <item x="124"/>
        <item x="143"/>
        <item x="127"/>
        <item x="130"/>
        <item x="108"/>
        <item x="146"/>
        <item x="111"/>
        <item x="133"/>
        <item x="114"/>
        <item x="149"/>
        <item x="117"/>
        <item x="119"/>
        <item x="136"/>
        <item x="152"/>
        <item x="121"/>
        <item x="122"/>
        <item x="128"/>
        <item x="125"/>
        <item x="157"/>
        <item x="131"/>
        <item x="141"/>
        <item x="134"/>
        <item x="144"/>
        <item x="147"/>
        <item x="137"/>
        <item x="159"/>
        <item x="150"/>
        <item x="138"/>
        <item x="153"/>
        <item x="162"/>
        <item x="155"/>
        <item x="165"/>
        <item x="140"/>
        <item x="145"/>
        <item x="142"/>
        <item x="148"/>
        <item x="151"/>
        <item x="169"/>
        <item x="160"/>
        <item x="171"/>
        <item x="154"/>
        <item x="163"/>
        <item x="173"/>
        <item x="156"/>
        <item x="176"/>
        <item x="158"/>
        <item x="179"/>
        <item x="161"/>
        <item x="182"/>
        <item x="164"/>
        <item x="185"/>
        <item x="188"/>
        <item x="191"/>
        <item x="194"/>
        <item x="167"/>
        <item x="197"/>
        <item x="200"/>
        <item x="202"/>
        <item x="204"/>
        <item x="207"/>
        <item x="166"/>
        <item x="172"/>
        <item x="209"/>
        <item x="174"/>
        <item x="168"/>
        <item x="177"/>
        <item x="180"/>
        <item x="183"/>
        <item x="186"/>
        <item x="189"/>
        <item x="214"/>
        <item x="192"/>
        <item x="217"/>
        <item x="195"/>
        <item x="198"/>
        <item x="170"/>
        <item x="175"/>
        <item x="220"/>
        <item x="178"/>
        <item x="211"/>
        <item x="223"/>
        <item x="205"/>
        <item x="181"/>
        <item x="184"/>
        <item x="226"/>
        <item x="187"/>
        <item x="210"/>
        <item x="190"/>
        <item x="229"/>
        <item x="193"/>
        <item x="196"/>
        <item x="232"/>
        <item x="199"/>
        <item x="215"/>
        <item x="201"/>
        <item x="218"/>
        <item x="221"/>
        <item x="203"/>
        <item x="206"/>
        <item x="224"/>
        <item x="208"/>
        <item x="237"/>
        <item x="227"/>
        <item x="240"/>
        <item x="213"/>
        <item x="230"/>
        <item x="216"/>
        <item x="219"/>
        <item x="233"/>
        <item x="222"/>
        <item x="225"/>
        <item x="245"/>
        <item x="235"/>
        <item x="248"/>
        <item x="228"/>
        <item x="238"/>
        <item x="241"/>
        <item x="231"/>
        <item x="251"/>
        <item x="255"/>
        <item x="257"/>
        <item x="234"/>
        <item x="236"/>
        <item x="260"/>
        <item x="239"/>
        <item x="243"/>
        <item x="263"/>
        <item x="246"/>
        <item x="249"/>
        <item x="266"/>
        <item x="269"/>
        <item x="252"/>
        <item x="272"/>
        <item x="242"/>
        <item x="244"/>
        <item x="258"/>
        <item x="274"/>
        <item x="247"/>
        <item x="261"/>
        <item x="277"/>
        <item x="250"/>
        <item x="264"/>
        <item x="280"/>
        <item x="253"/>
        <item x="267"/>
        <item x="254"/>
        <item x="283"/>
        <item x="270"/>
        <item x="256"/>
        <item x="286"/>
        <item x="259"/>
        <item x="262"/>
        <item x="275"/>
        <item x="265"/>
        <item x="278"/>
        <item x="291"/>
        <item x="268"/>
        <item x="281"/>
        <item x="284"/>
        <item x="271"/>
        <item x="294"/>
        <item x="273"/>
        <item x="287"/>
        <item x="276"/>
        <item x="297"/>
        <item x="289"/>
        <item x="279"/>
        <item x="282"/>
        <item x="292"/>
        <item x="285"/>
        <item x="299"/>
        <item x="295"/>
        <item x="288"/>
        <item x="302"/>
        <item x="305"/>
        <item x="290"/>
        <item x="293"/>
        <item x="300"/>
        <item x="296"/>
        <item x="303"/>
        <item x="306"/>
        <item x="298"/>
        <item x="301"/>
        <item x="304"/>
        <item x="212"/>
        <item t="default"/>
      </items>
    </pivotField>
    <pivotField axis="axisPage" dataField="1" showAll="0">
      <items count="252">
        <item x="1"/>
        <item x="0"/>
        <item x="2"/>
        <item x="11"/>
        <item x="10"/>
        <item x="4"/>
        <item x="3"/>
        <item x="5"/>
        <item x="9"/>
        <item x="8"/>
        <item x="7"/>
        <item x="12"/>
        <item x="6"/>
        <item x="13"/>
        <item x="15"/>
        <item x="14"/>
        <item x="16"/>
        <item x="47"/>
        <item x="18"/>
        <item x="17"/>
        <item x="51"/>
        <item x="65"/>
        <item x="50"/>
        <item x="45"/>
        <item x="63"/>
        <item x="61"/>
        <item x="19"/>
        <item x="48"/>
        <item x="23"/>
        <item x="24"/>
        <item x="22"/>
        <item x="25"/>
        <item x="21"/>
        <item x="67"/>
        <item x="46"/>
        <item x="20"/>
        <item x="26"/>
        <item x="28"/>
        <item x="27"/>
        <item x="49"/>
        <item x="44"/>
        <item x="30"/>
        <item x="31"/>
        <item x="29"/>
        <item x="33"/>
        <item x="35"/>
        <item x="32"/>
        <item x="55"/>
        <item x="36"/>
        <item x="52"/>
        <item x="42"/>
        <item x="68"/>
        <item x="34"/>
        <item x="71"/>
        <item x="40"/>
        <item x="43"/>
        <item x="58"/>
        <item x="41"/>
        <item x="56"/>
        <item x="38"/>
        <item x="39"/>
        <item x="37"/>
        <item x="53"/>
        <item x="79"/>
        <item x="59"/>
        <item x="82"/>
        <item x="60"/>
        <item x="64"/>
        <item x="62"/>
        <item x="57"/>
        <item x="54"/>
        <item x="75"/>
        <item x="66"/>
        <item x="96"/>
        <item x="101"/>
        <item x="69"/>
        <item x="77"/>
        <item x="103"/>
        <item x="85"/>
        <item x="88"/>
        <item x="80"/>
        <item x="73"/>
        <item x="70"/>
        <item x="72"/>
        <item x="94"/>
        <item x="91"/>
        <item x="93"/>
        <item x="74"/>
        <item x="97"/>
        <item x="86"/>
        <item x="89"/>
        <item x="76"/>
        <item x="78"/>
        <item x="99"/>
        <item x="105"/>
        <item x="81"/>
        <item x="132"/>
        <item x="112"/>
        <item x="83"/>
        <item x="90"/>
        <item x="107"/>
        <item x="92"/>
        <item x="84"/>
        <item x="139"/>
        <item x="87"/>
        <item x="136"/>
        <item x="120"/>
        <item x="109"/>
        <item x="95"/>
        <item x="117"/>
        <item x="141"/>
        <item x="123"/>
        <item x="144"/>
        <item x="100"/>
        <item x="98"/>
        <item x="149"/>
        <item x="102"/>
        <item x="152"/>
        <item x="113"/>
        <item x="104"/>
        <item x="126"/>
        <item x="106"/>
        <item x="115"/>
        <item x="108"/>
        <item x="121"/>
        <item x="118"/>
        <item x="135"/>
        <item x="124"/>
        <item x="110"/>
        <item x="138"/>
        <item x="155"/>
        <item x="111"/>
        <item x="129"/>
        <item x="142"/>
        <item x="145"/>
        <item x="127"/>
        <item x="147"/>
        <item x="150"/>
        <item x="114"/>
        <item x="153"/>
        <item x="116"/>
        <item x="119"/>
        <item x="122"/>
        <item x="133"/>
        <item x="131"/>
        <item x="134"/>
        <item x="163"/>
        <item x="156"/>
        <item x="125"/>
        <item x="137"/>
        <item x="130"/>
        <item x="128"/>
        <item x="158"/>
        <item x="140"/>
        <item x="143"/>
        <item x="146"/>
        <item x="148"/>
        <item x="151"/>
        <item x="165"/>
        <item x="154"/>
        <item x="168"/>
        <item x="174"/>
        <item x="171"/>
        <item x="176"/>
        <item x="160"/>
        <item x="159"/>
        <item x="157"/>
        <item x="179"/>
        <item x="166"/>
        <item x="169"/>
        <item x="175"/>
        <item x="182"/>
        <item x="172"/>
        <item x="177"/>
        <item x="162"/>
        <item x="185"/>
        <item x="180"/>
        <item x="188"/>
        <item x="164"/>
        <item x="167"/>
        <item x="191"/>
        <item x="183"/>
        <item x="173"/>
        <item x="186"/>
        <item x="170"/>
        <item x="189"/>
        <item x="178"/>
        <item x="192"/>
        <item x="196"/>
        <item x="181"/>
        <item x="199"/>
        <item x="202"/>
        <item x="194"/>
        <item x="207"/>
        <item x="184"/>
        <item x="187"/>
        <item x="210"/>
        <item x="204"/>
        <item x="212"/>
        <item x="197"/>
        <item x="190"/>
        <item x="200"/>
        <item x="193"/>
        <item x="208"/>
        <item x="205"/>
        <item x="213"/>
        <item x="215"/>
        <item x="195"/>
        <item x="225"/>
        <item x="228"/>
        <item x="198"/>
        <item x="201"/>
        <item x="217"/>
        <item x="233"/>
        <item x="236"/>
        <item x="206"/>
        <item x="219"/>
        <item x="222"/>
        <item x="203"/>
        <item x="244"/>
        <item x="209"/>
        <item x="249"/>
        <item x="211"/>
        <item x="226"/>
        <item x="214"/>
        <item x="229"/>
        <item x="231"/>
        <item x="216"/>
        <item x="234"/>
        <item x="220"/>
        <item x="237"/>
        <item x="223"/>
        <item x="240"/>
        <item x="242"/>
        <item x="245"/>
        <item x="247"/>
        <item x="250"/>
        <item x="224"/>
        <item x="218"/>
        <item x="227"/>
        <item x="230"/>
        <item x="232"/>
        <item x="221"/>
        <item x="235"/>
        <item x="238"/>
        <item x="239"/>
        <item x="241"/>
        <item x="243"/>
        <item x="246"/>
        <item x="248"/>
        <item x="161"/>
        <item t="default"/>
      </items>
    </pivotField>
    <pivotField axis="axisPage" dataField="1" showAll="0">
      <items count="304">
        <item x="1"/>
        <item x="2"/>
        <item x="4"/>
        <item x="0"/>
        <item x="6"/>
        <item x="5"/>
        <item x="7"/>
        <item x="3"/>
        <item x="9"/>
        <item x="8"/>
        <item x="11"/>
        <item x="12"/>
        <item x="10"/>
        <item x="14"/>
        <item x="15"/>
        <item x="13"/>
        <item x="17"/>
        <item x="18"/>
        <item x="16"/>
        <item x="20"/>
        <item x="21"/>
        <item x="19"/>
        <item x="23"/>
        <item x="24"/>
        <item x="22"/>
        <item x="26"/>
        <item x="27"/>
        <item x="25"/>
        <item x="29"/>
        <item x="30"/>
        <item x="28"/>
        <item x="32"/>
        <item x="33"/>
        <item x="31"/>
        <item x="34"/>
        <item x="36"/>
        <item x="35"/>
        <item x="37"/>
        <item x="39"/>
        <item x="40"/>
        <item x="38"/>
        <item x="43"/>
        <item x="42"/>
        <item x="41"/>
        <item x="44"/>
        <item x="46"/>
        <item x="45"/>
        <item x="48"/>
        <item x="47"/>
        <item x="50"/>
        <item x="51"/>
        <item x="49"/>
        <item x="53"/>
        <item x="52"/>
        <item x="56"/>
        <item x="55"/>
        <item x="58"/>
        <item x="54"/>
        <item x="57"/>
        <item x="60"/>
        <item x="62"/>
        <item x="59"/>
        <item x="61"/>
        <item x="63"/>
        <item x="64"/>
        <item x="65"/>
        <item x="67"/>
        <item x="66"/>
        <item x="69"/>
        <item x="70"/>
        <item x="72"/>
        <item x="68"/>
        <item x="73"/>
        <item x="77"/>
        <item x="71"/>
        <item x="75"/>
        <item x="78"/>
        <item x="82"/>
        <item x="85"/>
        <item x="80"/>
        <item x="74"/>
        <item x="76"/>
        <item x="90"/>
        <item x="83"/>
        <item x="79"/>
        <item x="86"/>
        <item x="94"/>
        <item x="97"/>
        <item x="88"/>
        <item x="100"/>
        <item x="81"/>
        <item x="92"/>
        <item x="105"/>
        <item x="84"/>
        <item x="95"/>
        <item x="98"/>
        <item x="112"/>
        <item x="87"/>
        <item x="101"/>
        <item x="115"/>
        <item x="91"/>
        <item x="103"/>
        <item x="89"/>
        <item x="106"/>
        <item x="120"/>
        <item x="123"/>
        <item x="125"/>
        <item x="93"/>
        <item x="108"/>
        <item x="96"/>
        <item x="129"/>
        <item x="110"/>
        <item x="132"/>
        <item x="113"/>
        <item x="99"/>
        <item x="116"/>
        <item x="102"/>
        <item x="118"/>
        <item x="104"/>
        <item x="121"/>
        <item x="139"/>
        <item x="126"/>
        <item x="142"/>
        <item x="128"/>
        <item x="130"/>
        <item x="107"/>
        <item x="109"/>
        <item x="147"/>
        <item x="111"/>
        <item x="134"/>
        <item x="150"/>
        <item x="114"/>
        <item x="136"/>
        <item x="154"/>
        <item x="117"/>
        <item x="122"/>
        <item x="119"/>
        <item x="157"/>
        <item x="124"/>
        <item x="140"/>
        <item x="160"/>
        <item x="127"/>
        <item x="143"/>
        <item x="163"/>
        <item x="145"/>
        <item x="148"/>
        <item x="131"/>
        <item x="151"/>
        <item x="133"/>
        <item x="152"/>
        <item x="170"/>
        <item x="155"/>
        <item x="135"/>
        <item x="173"/>
        <item x="158"/>
        <item x="137"/>
        <item x="177"/>
        <item x="161"/>
        <item x="179"/>
        <item x="182"/>
        <item x="138"/>
        <item x="164"/>
        <item x="141"/>
        <item x="166"/>
        <item x="146"/>
        <item x="168"/>
        <item x="144"/>
        <item x="187"/>
        <item x="149"/>
        <item x="171"/>
        <item x="192"/>
        <item x="153"/>
        <item x="195"/>
        <item x="198"/>
        <item x="156"/>
        <item x="201"/>
        <item x="174"/>
        <item x="180"/>
        <item x="159"/>
        <item x="183"/>
        <item x="208"/>
        <item x="185"/>
        <item x="162"/>
        <item x="213"/>
        <item x="165"/>
        <item x="167"/>
        <item x="188"/>
        <item x="190"/>
        <item x="169"/>
        <item x="172"/>
        <item x="193"/>
        <item x="196"/>
        <item x="219"/>
        <item x="199"/>
        <item x="202"/>
        <item x="222"/>
        <item x="225"/>
        <item x="204"/>
        <item x="206"/>
        <item x="209"/>
        <item x="178"/>
        <item x="175"/>
        <item x="211"/>
        <item x="176"/>
        <item x="181"/>
        <item x="214"/>
        <item x="184"/>
        <item x="231"/>
        <item x="228"/>
        <item x="217"/>
        <item x="234"/>
        <item x="186"/>
        <item x="220"/>
        <item x="189"/>
        <item x="226"/>
        <item x="223"/>
        <item x="237"/>
        <item x="191"/>
        <item x="194"/>
        <item x="197"/>
        <item x="229"/>
        <item x="232"/>
        <item x="240"/>
        <item x="200"/>
        <item x="203"/>
        <item x="205"/>
        <item x="235"/>
        <item x="207"/>
        <item x="210"/>
        <item x="246"/>
        <item x="212"/>
        <item x="238"/>
        <item x="218"/>
        <item x="224"/>
        <item x="241"/>
        <item x="221"/>
        <item x="216"/>
        <item x="227"/>
        <item x="251"/>
        <item x="230"/>
        <item x="247"/>
        <item x="233"/>
        <item x="249"/>
        <item x="244"/>
        <item x="257"/>
        <item x="236"/>
        <item x="252"/>
        <item x="254"/>
        <item x="239"/>
        <item x="262"/>
        <item x="242"/>
        <item x="265"/>
        <item x="258"/>
        <item x="243"/>
        <item x="245"/>
        <item x="260"/>
        <item x="248"/>
        <item x="268"/>
        <item x="250"/>
        <item x="263"/>
        <item x="266"/>
        <item x="271"/>
        <item x="253"/>
        <item x="255"/>
        <item x="269"/>
        <item x="256"/>
        <item x="276"/>
        <item x="272"/>
        <item x="259"/>
        <item x="279"/>
        <item x="261"/>
        <item x="274"/>
        <item x="264"/>
        <item x="277"/>
        <item x="280"/>
        <item x="267"/>
        <item x="287"/>
        <item x="282"/>
        <item x="290"/>
        <item x="270"/>
        <item x="273"/>
        <item x="293"/>
        <item x="275"/>
        <item x="285"/>
        <item x="296"/>
        <item x="288"/>
        <item x="278"/>
        <item x="299"/>
        <item x="291"/>
        <item x="302"/>
        <item x="281"/>
        <item x="294"/>
        <item x="283"/>
        <item x="297"/>
        <item x="284"/>
        <item x="300"/>
        <item x="286"/>
        <item x="289"/>
        <item x="292"/>
        <item x="295"/>
        <item x="298"/>
        <item x="301"/>
        <item x="215"/>
        <item t="default"/>
      </items>
    </pivotField>
    <pivotField axis="axisPage" dataField="1" showAll="0">
      <items count="293">
        <item x="1"/>
        <item x="2"/>
        <item x="4"/>
        <item x="0"/>
        <item x="5"/>
        <item x="7"/>
        <item x="3"/>
        <item x="6"/>
        <item x="8"/>
        <item x="10"/>
        <item x="9"/>
        <item x="11"/>
        <item x="13"/>
        <item x="12"/>
        <item x="14"/>
        <item x="16"/>
        <item x="17"/>
        <item x="15"/>
        <item x="20"/>
        <item x="19"/>
        <item x="23"/>
        <item x="22"/>
        <item x="18"/>
        <item x="26"/>
        <item x="25"/>
        <item x="21"/>
        <item x="28"/>
        <item x="24"/>
        <item x="27"/>
        <item x="30"/>
        <item x="31"/>
        <item x="29"/>
        <item x="32"/>
        <item x="33"/>
        <item x="34"/>
        <item x="36"/>
        <item x="37"/>
        <item x="39"/>
        <item x="35"/>
        <item x="38"/>
        <item x="40"/>
        <item x="42"/>
        <item x="41"/>
        <item x="43"/>
        <item x="46"/>
        <item x="49"/>
        <item x="45"/>
        <item x="52"/>
        <item x="55"/>
        <item x="58"/>
        <item x="44"/>
        <item x="48"/>
        <item x="61"/>
        <item x="51"/>
        <item x="64"/>
        <item x="54"/>
        <item x="57"/>
        <item x="47"/>
        <item x="66"/>
        <item x="60"/>
        <item x="63"/>
        <item x="69"/>
        <item x="50"/>
        <item x="68"/>
        <item x="53"/>
        <item x="56"/>
        <item x="65"/>
        <item x="72"/>
        <item x="67"/>
        <item x="59"/>
        <item x="62"/>
        <item x="71"/>
        <item x="74"/>
        <item x="70"/>
        <item x="73"/>
        <item x="77"/>
        <item x="76"/>
        <item x="80"/>
        <item x="75"/>
        <item x="79"/>
        <item x="83"/>
        <item x="82"/>
        <item x="78"/>
        <item x="90"/>
        <item x="85"/>
        <item x="87"/>
        <item x="86"/>
        <item x="81"/>
        <item x="89"/>
        <item x="91"/>
        <item x="84"/>
        <item x="88"/>
        <item x="94"/>
        <item x="92"/>
        <item x="93"/>
        <item x="96"/>
        <item x="97"/>
        <item x="95"/>
        <item x="99"/>
        <item x="100"/>
        <item x="98"/>
        <item x="102"/>
        <item x="103"/>
        <item x="101"/>
        <item x="104"/>
        <item x="106"/>
        <item x="109"/>
        <item x="107"/>
        <item x="110"/>
        <item x="105"/>
        <item x="114"/>
        <item x="108"/>
        <item x="117"/>
        <item x="112"/>
        <item x="115"/>
        <item x="111"/>
        <item x="118"/>
        <item x="120"/>
        <item x="122"/>
        <item x="126"/>
        <item x="113"/>
        <item x="124"/>
        <item x="116"/>
        <item x="131"/>
        <item x="127"/>
        <item x="119"/>
        <item x="129"/>
        <item x="121"/>
        <item x="123"/>
        <item x="132"/>
        <item x="134"/>
        <item x="125"/>
        <item x="139"/>
        <item x="128"/>
        <item x="144"/>
        <item x="146"/>
        <item x="135"/>
        <item x="130"/>
        <item x="149"/>
        <item x="151"/>
        <item x="140"/>
        <item x="137"/>
        <item x="153"/>
        <item x="142"/>
        <item x="147"/>
        <item x="133"/>
        <item x="150"/>
        <item x="138"/>
        <item x="156"/>
        <item x="154"/>
        <item x="141"/>
        <item x="136"/>
        <item x="159"/>
        <item x="145"/>
        <item x="162"/>
        <item x="157"/>
        <item x="143"/>
        <item x="148"/>
        <item x="160"/>
        <item x="152"/>
        <item x="163"/>
        <item x="155"/>
        <item x="165"/>
        <item x="158"/>
        <item x="166"/>
        <item x="161"/>
        <item x="171"/>
        <item x="168"/>
        <item x="174"/>
        <item x="164"/>
        <item x="169"/>
        <item x="177"/>
        <item x="172"/>
        <item x="179"/>
        <item x="182"/>
        <item x="185"/>
        <item x="167"/>
        <item x="170"/>
        <item x="175"/>
        <item x="173"/>
        <item x="189"/>
        <item x="180"/>
        <item x="176"/>
        <item x="184"/>
        <item x="192"/>
        <item x="195"/>
        <item x="187"/>
        <item x="199"/>
        <item x="202"/>
        <item x="204"/>
        <item x="207"/>
        <item x="210"/>
        <item x="190"/>
        <item x="193"/>
        <item x="196"/>
        <item x="178"/>
        <item x="181"/>
        <item x="200"/>
        <item x="183"/>
        <item x="205"/>
        <item x="208"/>
        <item x="211"/>
        <item x="215"/>
        <item x="228"/>
        <item x="186"/>
        <item x="223"/>
        <item x="218"/>
        <item x="231"/>
        <item x="188"/>
        <item x="236"/>
        <item x="217"/>
        <item x="221"/>
        <item x="191"/>
        <item x="226"/>
        <item x="224"/>
        <item x="229"/>
        <item x="194"/>
        <item x="197"/>
        <item x="233"/>
        <item x="240"/>
        <item x="248"/>
        <item x="198"/>
        <item x="201"/>
        <item x="251"/>
        <item x="203"/>
        <item x="212"/>
        <item x="220"/>
        <item x="206"/>
        <item x="214"/>
        <item x="209"/>
        <item x="254"/>
        <item x="219"/>
        <item x="216"/>
        <item x="222"/>
        <item x="238"/>
        <item x="225"/>
        <item x="227"/>
        <item x="242"/>
        <item x="230"/>
        <item x="244"/>
        <item x="259"/>
        <item x="232"/>
        <item x="246"/>
        <item x="249"/>
        <item x="252"/>
        <item x="262"/>
        <item x="255"/>
        <item x="257"/>
        <item x="265"/>
        <item x="235"/>
        <item x="260"/>
        <item x="237"/>
        <item x="239"/>
        <item x="234"/>
        <item x="263"/>
        <item x="241"/>
        <item x="243"/>
        <item x="267"/>
        <item x="245"/>
        <item x="247"/>
        <item x="250"/>
        <item x="253"/>
        <item x="256"/>
        <item x="258"/>
        <item x="274"/>
        <item x="268"/>
        <item x="277"/>
        <item x="261"/>
        <item x="270"/>
        <item x="284"/>
        <item x="264"/>
        <item x="272"/>
        <item x="275"/>
        <item x="278"/>
        <item x="280"/>
        <item x="287"/>
        <item x="282"/>
        <item x="266"/>
        <item x="290"/>
        <item x="285"/>
        <item x="269"/>
        <item x="271"/>
        <item x="288"/>
        <item x="273"/>
        <item x="276"/>
        <item x="291"/>
        <item x="279"/>
        <item x="281"/>
        <item x="283"/>
        <item x="286"/>
        <item x="289"/>
        <item x="213"/>
        <item t="default"/>
      </items>
    </pivotField>
    <pivotField axis="axisPage" dataField="1" showAll="0">
      <items count="283">
        <item x="8"/>
        <item x="10"/>
        <item x="11"/>
        <item x="9"/>
        <item x="5"/>
        <item x="13"/>
        <item x="7"/>
        <item x="6"/>
        <item x="12"/>
        <item x="4"/>
        <item x="1"/>
        <item x="2"/>
        <item x="3"/>
        <item x="0"/>
        <item x="14"/>
        <item x="16"/>
        <item x="15"/>
        <item x="17"/>
        <item x="19"/>
        <item x="18"/>
        <item x="21"/>
        <item x="22"/>
        <item x="20"/>
        <item x="26"/>
        <item x="24"/>
        <item x="28"/>
        <item x="25"/>
        <item x="23"/>
        <item x="27"/>
        <item x="29"/>
        <item x="35"/>
        <item x="30"/>
        <item x="32"/>
        <item x="33"/>
        <item x="31"/>
        <item x="34"/>
        <item x="37"/>
        <item x="41"/>
        <item x="43"/>
        <item x="36"/>
        <item x="45"/>
        <item x="39"/>
        <item x="40"/>
        <item x="42"/>
        <item x="46"/>
        <item x="44"/>
        <item x="38"/>
        <item x="48"/>
        <item x="49"/>
        <item x="53"/>
        <item x="51"/>
        <item x="52"/>
        <item x="47"/>
        <item x="54"/>
        <item x="50"/>
        <item x="55"/>
        <item x="62"/>
        <item x="56"/>
        <item x="57"/>
        <item x="59"/>
        <item x="61"/>
        <item x="60"/>
        <item x="64"/>
        <item x="58"/>
        <item x="72"/>
        <item x="69"/>
        <item x="65"/>
        <item x="67"/>
        <item x="63"/>
        <item x="70"/>
        <item x="68"/>
        <item x="74"/>
        <item x="71"/>
        <item x="66"/>
        <item x="75"/>
        <item x="73"/>
        <item x="77"/>
        <item x="78"/>
        <item x="76"/>
        <item x="80"/>
        <item x="81"/>
        <item x="79"/>
        <item x="83"/>
        <item x="84"/>
        <item x="82"/>
        <item x="86"/>
        <item x="89"/>
        <item x="87"/>
        <item x="90"/>
        <item x="85"/>
        <item x="88"/>
        <item x="92"/>
        <item x="93"/>
        <item x="100"/>
        <item x="91"/>
        <item x="105"/>
        <item x="97"/>
        <item x="102"/>
        <item x="95"/>
        <item x="107"/>
        <item x="104"/>
        <item x="94"/>
        <item x="98"/>
        <item x="111"/>
        <item x="106"/>
        <item x="117"/>
        <item x="114"/>
        <item x="103"/>
        <item x="96"/>
        <item x="99"/>
        <item x="112"/>
        <item x="108"/>
        <item x="109"/>
        <item x="115"/>
        <item x="101"/>
        <item x="118"/>
        <item x="110"/>
        <item x="113"/>
        <item x="116"/>
        <item x="120"/>
        <item x="124"/>
        <item x="127"/>
        <item x="119"/>
        <item x="132"/>
        <item x="122"/>
        <item x="125"/>
        <item x="130"/>
        <item x="121"/>
        <item x="128"/>
        <item x="133"/>
        <item x="123"/>
        <item x="139"/>
        <item x="135"/>
        <item x="129"/>
        <item x="126"/>
        <item x="137"/>
        <item x="146"/>
        <item x="131"/>
        <item x="134"/>
        <item x="140"/>
        <item x="136"/>
        <item x="142"/>
        <item x="144"/>
        <item x="138"/>
        <item x="151"/>
        <item x="153"/>
        <item x="148"/>
        <item x="141"/>
        <item x="145"/>
        <item x="143"/>
        <item x="156"/>
        <item x="147"/>
        <item x="154"/>
        <item x="162"/>
        <item x="165"/>
        <item x="157"/>
        <item x="159"/>
        <item x="150"/>
        <item x="152"/>
        <item x="163"/>
        <item x="155"/>
        <item x="167"/>
        <item x="164"/>
        <item x="161"/>
        <item x="160"/>
        <item x="168"/>
        <item x="149"/>
        <item x="166"/>
        <item x="158"/>
        <item x="170"/>
        <item x="171"/>
        <item x="169"/>
        <item x="173"/>
        <item x="174"/>
        <item x="172"/>
        <item x="176"/>
        <item x="179"/>
        <item x="177"/>
        <item x="182"/>
        <item x="180"/>
        <item x="175"/>
        <item x="178"/>
        <item x="183"/>
        <item x="181"/>
        <item x="185"/>
        <item x="186"/>
        <item x="184"/>
        <item x="187"/>
        <item x="188"/>
        <item x="189"/>
        <item x="191"/>
        <item x="190"/>
        <item x="193"/>
        <item x="195"/>
        <item x="194"/>
        <item x="213"/>
        <item x="196"/>
        <item x="215"/>
        <item x="198"/>
        <item x="216"/>
        <item x="214"/>
        <item x="197"/>
        <item x="217"/>
        <item x="212"/>
        <item x="202"/>
        <item x="207"/>
        <item x="211"/>
        <item x="210"/>
        <item x="206"/>
        <item x="204"/>
        <item x="208"/>
        <item x="199"/>
        <item x="219"/>
        <item x="209"/>
        <item x="205"/>
        <item x="222"/>
        <item x="203"/>
        <item x="201"/>
        <item x="220"/>
        <item x="223"/>
        <item x="218"/>
        <item x="221"/>
        <item x="225"/>
        <item x="200"/>
        <item x="228"/>
        <item x="226"/>
        <item x="229"/>
        <item x="227"/>
        <item x="224"/>
        <item x="231"/>
        <item x="230"/>
        <item x="233"/>
        <item x="234"/>
        <item x="232"/>
        <item x="236"/>
        <item x="235"/>
        <item x="238"/>
        <item x="237"/>
        <item x="240"/>
        <item x="241"/>
        <item x="239"/>
        <item x="243"/>
        <item x="244"/>
        <item x="242"/>
        <item x="249"/>
        <item x="246"/>
        <item x="248"/>
        <item x="247"/>
        <item x="245"/>
        <item x="251"/>
        <item x="252"/>
        <item x="250"/>
        <item x="253"/>
        <item x="254"/>
        <item x="258"/>
        <item x="259"/>
        <item x="255"/>
        <item x="257"/>
        <item x="256"/>
        <item x="260"/>
        <item x="262"/>
        <item x="261"/>
        <item x="263"/>
        <item x="265"/>
        <item x="264"/>
        <item x="266"/>
        <item x="268"/>
        <item x="267"/>
        <item x="269"/>
        <item x="271"/>
        <item x="270"/>
        <item x="272"/>
        <item x="274"/>
        <item x="273"/>
        <item x="275"/>
        <item x="276"/>
        <item x="278"/>
        <item x="277"/>
        <item x="279"/>
        <item x="281"/>
        <item x="280"/>
        <item x="192"/>
        <item t="default"/>
      </items>
    </pivotField>
    <pivotField showAll="0"/>
    <pivotField showAll="0"/>
  </pivotFields>
  <rowItems count="1">
    <i/>
  </rowItems>
  <colFields count="1">
    <field x="-2"/>
  </colFields>
  <colItems count="6">
    <i>
      <x/>
    </i>
    <i i="1">
      <x v="1"/>
    </i>
    <i i="2">
      <x v="2"/>
    </i>
    <i i="3">
      <x v="3"/>
    </i>
    <i i="4">
      <x v="4"/>
    </i>
    <i i="5">
      <x v="5"/>
    </i>
  </colItems>
  <pageFields count="7">
    <pageField fld="1" hier="-1"/>
    <pageField fld="22" hier="-1"/>
    <pageField fld="23" hier="-1"/>
    <pageField fld="25" hier="-1"/>
    <pageField fld="24" hier="-1"/>
    <pageField fld="26" hier="-1"/>
    <pageField fld="27" hier="-1"/>
  </pageFields>
  <dataFields count="6">
    <dataField name="Sum of Household goods and services" fld="22" baseField="0" baseItem="1"/>
    <dataField name="Sum of Health" fld="23" baseField="0" baseItem="1"/>
    <dataField name="Sum of Transport and communication" fld="24" baseField="0" baseItem="1"/>
    <dataField name="Sum of Recreation and amusement" fld="25" baseField="0" baseItem="1"/>
    <dataField name="Sum of Education" fld="26" baseField="0" baseItem="1"/>
    <dataField name="Sum of Personal care and effects" fld="27" baseField="0"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W4:W5" firstHeaderRow="1" firstDataRow="1" firstDataCol="0" rowPageCount="2" colPageCount="1"/>
  <pivotFields count="30">
    <pivotField showAll="0"/>
    <pivotField axis="axisPage" multipleItemSelectionAllowed="1" showAll="0">
      <items count="12">
        <item x="0"/>
        <item x="1"/>
        <item x="2"/>
        <item x="3"/>
        <item x="4"/>
        <item x="5"/>
        <item x="6"/>
        <item x="7"/>
        <item x="8"/>
        <item x="9"/>
        <item x="10"/>
        <item t="default"/>
      </items>
    </pivotField>
    <pivotField showAll="0"/>
    <pivotField showAll="0">
      <items count="254">
        <item x="0"/>
        <item x="2"/>
        <item x="3"/>
        <item x="6"/>
        <item x="5"/>
        <item x="1"/>
        <item x="11"/>
        <item x="8"/>
        <item x="10"/>
        <item x="13"/>
        <item x="4"/>
        <item x="16"/>
        <item x="15"/>
        <item x="7"/>
        <item x="19"/>
        <item x="9"/>
        <item x="18"/>
        <item x="12"/>
        <item x="21"/>
        <item x="24"/>
        <item x="23"/>
        <item x="14"/>
        <item x="26"/>
        <item x="27"/>
        <item x="17"/>
        <item x="29"/>
        <item x="20"/>
        <item x="30"/>
        <item x="22"/>
        <item x="25"/>
        <item x="32"/>
        <item x="35"/>
        <item x="34"/>
        <item x="28"/>
        <item x="38"/>
        <item x="37"/>
        <item x="43"/>
        <item x="31"/>
        <item x="40"/>
        <item x="42"/>
        <item x="45"/>
        <item x="33"/>
        <item x="47"/>
        <item x="48"/>
        <item x="51"/>
        <item x="36"/>
        <item x="39"/>
        <item x="53"/>
        <item x="50"/>
        <item x="41"/>
        <item x="56"/>
        <item x="44"/>
        <item x="55"/>
        <item x="46"/>
        <item x="58"/>
        <item x="60"/>
        <item x="62"/>
        <item x="65"/>
        <item x="66"/>
        <item x="64"/>
        <item x="49"/>
        <item x="68"/>
        <item x="61"/>
        <item x="67"/>
        <item x="54"/>
        <item x="63"/>
        <item x="59"/>
        <item x="57"/>
        <item x="69"/>
        <item x="52"/>
        <item x="83"/>
        <item x="72"/>
        <item x="70"/>
        <item x="74"/>
        <item x="71"/>
        <item x="76"/>
        <item x="87"/>
        <item x="73"/>
        <item x="75"/>
        <item x="79"/>
        <item x="81"/>
        <item x="84"/>
        <item x="77"/>
        <item x="78"/>
        <item x="80"/>
        <item x="82"/>
        <item x="85"/>
        <item x="88"/>
        <item x="93"/>
        <item x="90"/>
        <item x="86"/>
        <item x="96"/>
        <item x="89"/>
        <item x="94"/>
        <item x="91"/>
        <item x="99"/>
        <item x="97"/>
        <item x="92"/>
        <item x="95"/>
        <item x="100"/>
        <item x="102"/>
        <item x="98"/>
        <item x="105"/>
        <item x="103"/>
        <item x="101"/>
        <item x="109"/>
        <item x="106"/>
        <item x="112"/>
        <item x="111"/>
        <item x="104"/>
        <item x="110"/>
        <item x="107"/>
        <item x="113"/>
        <item x="108"/>
        <item x="120"/>
        <item x="114"/>
        <item x="116"/>
        <item x="125"/>
        <item x="128"/>
        <item x="118"/>
        <item x="115"/>
        <item x="131"/>
        <item x="117"/>
        <item x="121"/>
        <item x="138"/>
        <item x="123"/>
        <item x="126"/>
        <item x="119"/>
        <item x="129"/>
        <item x="132"/>
        <item x="122"/>
        <item x="124"/>
        <item x="141"/>
        <item x="127"/>
        <item x="130"/>
        <item x="136"/>
        <item x="144"/>
        <item x="133"/>
        <item x="134"/>
        <item x="139"/>
        <item x="135"/>
        <item x="150"/>
        <item x="147"/>
        <item x="142"/>
        <item x="137"/>
        <item x="148"/>
        <item x="145"/>
        <item x="153"/>
        <item x="140"/>
        <item x="146"/>
        <item x="143"/>
        <item x="149"/>
        <item x="156"/>
        <item x="151"/>
        <item x="152"/>
        <item x="158"/>
        <item x="159"/>
        <item x="154"/>
        <item x="161"/>
        <item x="155"/>
        <item x="163"/>
        <item x="157"/>
        <item x="164"/>
        <item x="196"/>
        <item x="160"/>
        <item x="166"/>
        <item x="162"/>
        <item x="169"/>
        <item x="168"/>
        <item x="172"/>
        <item x="194"/>
        <item x="171"/>
        <item x="165"/>
        <item x="174"/>
        <item x="191"/>
        <item x="167"/>
        <item x="188"/>
        <item x="206"/>
        <item x="170"/>
        <item x="199"/>
        <item x="203"/>
        <item x="173"/>
        <item x="205"/>
        <item x="201"/>
        <item x="193"/>
        <item x="185"/>
        <item x="175"/>
        <item x="208"/>
        <item x="190"/>
        <item x="182"/>
        <item x="197"/>
        <item x="179"/>
        <item x="210"/>
        <item x="187"/>
        <item x="177"/>
        <item x="198"/>
        <item x="184"/>
        <item x="195"/>
        <item x="202"/>
        <item x="200"/>
        <item x="204"/>
        <item x="212"/>
        <item x="181"/>
        <item x="192"/>
        <item x="214"/>
        <item x="207"/>
        <item x="215"/>
        <item x="189"/>
        <item x="209"/>
        <item x="217"/>
        <item x="186"/>
        <item x="183"/>
        <item x="176"/>
        <item x="211"/>
        <item x="213"/>
        <item x="180"/>
        <item x="219"/>
        <item x="216"/>
        <item x="222"/>
        <item x="221"/>
        <item x="224"/>
        <item x="225"/>
        <item x="218"/>
        <item x="227"/>
        <item x="220"/>
        <item x="223"/>
        <item x="226"/>
        <item x="228"/>
        <item x="230"/>
        <item x="229"/>
        <item x="231"/>
        <item x="233"/>
        <item x="234"/>
        <item x="232"/>
        <item x="236"/>
        <item x="235"/>
        <item x="237"/>
        <item x="239"/>
        <item x="238"/>
        <item x="240"/>
        <item x="242"/>
        <item x="241"/>
        <item x="251"/>
        <item x="244"/>
        <item x="252"/>
        <item x="245"/>
        <item x="243"/>
        <item x="246"/>
        <item x="249"/>
        <item x="248"/>
        <item x="247"/>
        <item x="250"/>
        <item x="178"/>
        <item t="default"/>
      </items>
    </pivotField>
    <pivotField showAll="0">
      <items count="292">
        <item x="0"/>
        <item x="2"/>
        <item x="3"/>
        <item x="6"/>
        <item x="1"/>
        <item x="9"/>
        <item x="8"/>
        <item x="12"/>
        <item x="5"/>
        <item x="11"/>
        <item x="14"/>
        <item x="7"/>
        <item x="15"/>
        <item x="4"/>
        <item x="10"/>
        <item x="13"/>
        <item x="17"/>
        <item x="20"/>
        <item x="23"/>
        <item x="28"/>
        <item x="27"/>
        <item x="19"/>
        <item x="29"/>
        <item x="25"/>
        <item x="30"/>
        <item x="22"/>
        <item x="33"/>
        <item x="26"/>
        <item x="32"/>
        <item x="36"/>
        <item x="24"/>
        <item x="18"/>
        <item x="35"/>
        <item x="38"/>
        <item x="16"/>
        <item x="39"/>
        <item x="21"/>
        <item x="34"/>
        <item x="41"/>
        <item x="37"/>
        <item x="31"/>
        <item x="50"/>
        <item x="44"/>
        <item x="55"/>
        <item x="47"/>
        <item x="43"/>
        <item x="59"/>
        <item x="52"/>
        <item x="57"/>
        <item x="54"/>
        <item x="46"/>
        <item x="40"/>
        <item x="49"/>
        <item x="58"/>
        <item x="62"/>
        <item x="51"/>
        <item x="60"/>
        <item x="56"/>
        <item x="42"/>
        <item x="53"/>
        <item x="45"/>
        <item x="61"/>
        <item x="63"/>
        <item x="65"/>
        <item x="48"/>
        <item x="67"/>
        <item x="64"/>
        <item x="79"/>
        <item x="78"/>
        <item x="66"/>
        <item x="80"/>
        <item x="82"/>
        <item x="68"/>
        <item x="81"/>
        <item x="77"/>
        <item x="74"/>
        <item x="76"/>
        <item x="71"/>
        <item x="75"/>
        <item x="70"/>
        <item x="73"/>
        <item x="83"/>
        <item x="86"/>
        <item x="85"/>
        <item x="88"/>
        <item x="72"/>
        <item x="69"/>
        <item x="87"/>
        <item x="90"/>
        <item x="84"/>
        <item x="89"/>
        <item x="92"/>
        <item x="113"/>
        <item x="110"/>
        <item x="93"/>
        <item x="107"/>
        <item x="105"/>
        <item x="112"/>
        <item x="109"/>
        <item x="106"/>
        <item x="104"/>
        <item x="115"/>
        <item x="108"/>
        <item x="111"/>
        <item x="96"/>
        <item x="119"/>
        <item x="102"/>
        <item x="114"/>
        <item x="118"/>
        <item x="95"/>
        <item x="91"/>
        <item x="117"/>
        <item x="99"/>
        <item x="116"/>
        <item x="103"/>
        <item x="98"/>
        <item x="120"/>
        <item x="101"/>
        <item x="122"/>
        <item x="133"/>
        <item x="130"/>
        <item x="94"/>
        <item x="135"/>
        <item x="132"/>
        <item x="136"/>
        <item x="137"/>
        <item x="134"/>
        <item x="131"/>
        <item x="128"/>
        <item x="138"/>
        <item x="129"/>
        <item x="140"/>
        <item x="142"/>
        <item x="123"/>
        <item x="141"/>
        <item x="97"/>
        <item x="121"/>
        <item x="100"/>
        <item x="144"/>
        <item x="139"/>
        <item x="143"/>
        <item x="158"/>
        <item x="125"/>
        <item x="127"/>
        <item x="156"/>
        <item x="161"/>
        <item x="153"/>
        <item x="146"/>
        <item x="155"/>
        <item x="157"/>
        <item x="164"/>
        <item x="154"/>
        <item x="147"/>
        <item x="145"/>
        <item x="126"/>
        <item x="150"/>
        <item x="124"/>
        <item x="152"/>
        <item x="151"/>
        <item x="162"/>
        <item x="149"/>
        <item x="167"/>
        <item x="159"/>
        <item x="148"/>
        <item x="170"/>
        <item x="165"/>
        <item x="160"/>
        <item x="173"/>
        <item x="168"/>
        <item x="163"/>
        <item x="171"/>
        <item x="166"/>
        <item x="169"/>
        <item x="172"/>
        <item x="175"/>
        <item x="184"/>
        <item x="176"/>
        <item x="186"/>
        <item x="174"/>
        <item x="178"/>
        <item x="189"/>
        <item x="181"/>
        <item x="185"/>
        <item x="187"/>
        <item x="190"/>
        <item x="188"/>
        <item x="183"/>
        <item x="179"/>
        <item x="192"/>
        <item x="182"/>
        <item x="193"/>
        <item x="177"/>
        <item x="191"/>
        <item x="180"/>
        <item x="195"/>
        <item x="196"/>
        <item x="194"/>
        <item x="201"/>
        <item x="202"/>
        <item x="197"/>
        <item x="199"/>
        <item x="200"/>
        <item x="198"/>
        <item x="210"/>
        <item x="224"/>
        <item x="213"/>
        <item x="226"/>
        <item x="212"/>
        <item x="207"/>
        <item x="221"/>
        <item x="219"/>
        <item x="216"/>
        <item x="215"/>
        <item x="227"/>
        <item x="223"/>
        <item x="204"/>
        <item x="209"/>
        <item x="218"/>
        <item x="225"/>
        <item x="229"/>
        <item x="206"/>
        <item x="211"/>
        <item x="214"/>
        <item x="222"/>
        <item x="217"/>
        <item x="220"/>
        <item x="252"/>
        <item x="205"/>
        <item x="228"/>
        <item x="208"/>
        <item x="231"/>
        <item x="254"/>
        <item x="232"/>
        <item x="253"/>
        <item x="251"/>
        <item x="247"/>
        <item x="235"/>
        <item x="234"/>
        <item x="256"/>
        <item x="249"/>
        <item x="237"/>
        <item x="244"/>
        <item x="250"/>
        <item x="241"/>
        <item x="230"/>
        <item x="243"/>
        <item x="271"/>
        <item x="233"/>
        <item x="238"/>
        <item x="246"/>
        <item x="248"/>
        <item x="255"/>
        <item x="236"/>
        <item x="272"/>
        <item x="273"/>
        <item x="240"/>
        <item x="281"/>
        <item x="278"/>
        <item x="242"/>
        <item x="287"/>
        <item x="257"/>
        <item x="284"/>
        <item x="245"/>
        <item x="276"/>
        <item x="283"/>
        <item x="275"/>
        <item x="288"/>
        <item x="280"/>
        <item x="260"/>
        <item x="259"/>
        <item x="268"/>
        <item x="239"/>
        <item x="289"/>
        <item x="261"/>
        <item x="286"/>
        <item x="282"/>
        <item x="270"/>
        <item x="279"/>
        <item x="274"/>
        <item x="290"/>
        <item x="262"/>
        <item x="277"/>
        <item x="285"/>
        <item x="258"/>
        <item x="264"/>
        <item x="269"/>
        <item x="265"/>
        <item x="267"/>
        <item x="263"/>
        <item x="266"/>
        <item x="203"/>
        <item t="default"/>
      </items>
    </pivotField>
    <pivotField showAll="0">
      <items count="284">
        <item x="13"/>
        <item x="14"/>
        <item x="12"/>
        <item x="10"/>
        <item x="11"/>
        <item x="9"/>
        <item x="0"/>
        <item x="16"/>
        <item x="6"/>
        <item x="2"/>
        <item x="3"/>
        <item x="17"/>
        <item x="20"/>
        <item x="8"/>
        <item x="69"/>
        <item x="22"/>
        <item x="19"/>
        <item x="23"/>
        <item x="15"/>
        <item x="24"/>
        <item x="21"/>
        <item x="5"/>
        <item x="1"/>
        <item x="7"/>
        <item x="26"/>
        <item x="65"/>
        <item x="18"/>
        <item x="43"/>
        <item x="68"/>
        <item x="25"/>
        <item x="70"/>
        <item x="46"/>
        <item x="76"/>
        <item x="47"/>
        <item x="44"/>
        <item x="45"/>
        <item x="27"/>
        <item x="53"/>
        <item x="51"/>
        <item x="66"/>
        <item x="4"/>
        <item x="67"/>
        <item x="52"/>
        <item x="48"/>
        <item x="50"/>
        <item x="49"/>
        <item x="42"/>
        <item x="54"/>
        <item x="29"/>
        <item x="64"/>
        <item x="62"/>
        <item x="55"/>
        <item x="75"/>
        <item x="30"/>
        <item x="33"/>
        <item x="39"/>
        <item x="77"/>
        <item x="71"/>
        <item x="41"/>
        <item x="63"/>
        <item x="36"/>
        <item x="74"/>
        <item x="40"/>
        <item x="72"/>
        <item x="78"/>
        <item x="57"/>
        <item x="73"/>
        <item x="59"/>
        <item x="38"/>
        <item x="28"/>
        <item x="56"/>
        <item x="79"/>
        <item x="91"/>
        <item x="32"/>
        <item x="89"/>
        <item x="61"/>
        <item x="35"/>
        <item x="92"/>
        <item x="37"/>
        <item x="90"/>
        <item x="81"/>
        <item x="88"/>
        <item x="94"/>
        <item x="117"/>
        <item x="115"/>
        <item x="58"/>
        <item x="82"/>
        <item x="60"/>
        <item x="116"/>
        <item x="93"/>
        <item x="80"/>
        <item x="85"/>
        <item x="118"/>
        <item x="119"/>
        <item x="96"/>
        <item x="114"/>
        <item x="31"/>
        <item x="84"/>
        <item x="87"/>
        <item x="113"/>
        <item x="112"/>
        <item x="121"/>
        <item x="97"/>
        <item x="123"/>
        <item x="120"/>
        <item x="34"/>
        <item x="122"/>
        <item x="104"/>
        <item x="105"/>
        <item x="86"/>
        <item x="102"/>
        <item x="103"/>
        <item x="143"/>
        <item x="95"/>
        <item x="124"/>
        <item x="126"/>
        <item x="125"/>
        <item x="101"/>
        <item x="109"/>
        <item x="83"/>
        <item x="111"/>
        <item x="99"/>
        <item x="110"/>
        <item x="152"/>
        <item x="108"/>
        <item x="155"/>
        <item x="145"/>
        <item x="100"/>
        <item x="144"/>
        <item x="106"/>
        <item x="168"/>
        <item x="154"/>
        <item x="107"/>
        <item x="153"/>
        <item x="140"/>
        <item x="147"/>
        <item x="142"/>
        <item x="169"/>
        <item x="170"/>
        <item x="98"/>
        <item x="146"/>
        <item x="158"/>
        <item x="156"/>
        <item x="159"/>
        <item x="157"/>
        <item x="151"/>
        <item x="162"/>
        <item x="141"/>
        <item x="172"/>
        <item x="175"/>
        <item x="167"/>
        <item x="161"/>
        <item x="149"/>
        <item x="150"/>
        <item x="148"/>
        <item x="177"/>
        <item x="137"/>
        <item x="139"/>
        <item x="164"/>
        <item x="138"/>
        <item x="171"/>
        <item x="127"/>
        <item x="136"/>
        <item x="174"/>
        <item x="160"/>
        <item x="178"/>
        <item x="166"/>
        <item x="176"/>
        <item x="173"/>
        <item x="180"/>
        <item x="129"/>
        <item x="163"/>
        <item x="134"/>
        <item x="135"/>
        <item x="133"/>
        <item x="179"/>
        <item x="130"/>
        <item x="132"/>
        <item x="165"/>
        <item x="182"/>
        <item x="131"/>
        <item x="128"/>
        <item x="195"/>
        <item x="192"/>
        <item x="194"/>
        <item x="181"/>
        <item x="197"/>
        <item x="193"/>
        <item x="199"/>
        <item x="183"/>
        <item x="203"/>
        <item x="189"/>
        <item x="185"/>
        <item x="201"/>
        <item x="191"/>
        <item x="196"/>
        <item x="205"/>
        <item x="190"/>
        <item x="186"/>
        <item x="184"/>
        <item x="202"/>
        <item x="200"/>
        <item x="188"/>
        <item x="187"/>
        <item x="204"/>
        <item x="206"/>
        <item x="208"/>
        <item x="255"/>
        <item x="219"/>
        <item x="222"/>
        <item x="221"/>
        <item x="254"/>
        <item x="253"/>
        <item x="224"/>
        <item x="220"/>
        <item x="207"/>
        <item x="223"/>
        <item x="251"/>
        <item x="252"/>
        <item x="250"/>
        <item x="216"/>
        <item x="261"/>
        <item x="225"/>
        <item x="218"/>
        <item x="264"/>
        <item x="263"/>
        <item x="256"/>
        <item x="266"/>
        <item x="217"/>
        <item x="238"/>
        <item x="227"/>
        <item x="262"/>
        <item x="257"/>
        <item x="265"/>
        <item x="280"/>
        <item x="239"/>
        <item x="240"/>
        <item x="209"/>
        <item x="267"/>
        <item x="237"/>
        <item x="279"/>
        <item x="236"/>
        <item x="226"/>
        <item x="282"/>
        <item x="212"/>
        <item x="211"/>
        <item x="277"/>
        <item x="235"/>
        <item x="258"/>
        <item x="260"/>
        <item x="214"/>
        <item x="241"/>
        <item x="247"/>
        <item x="249"/>
        <item x="248"/>
        <item x="234"/>
        <item x="259"/>
        <item x="281"/>
        <item x="210"/>
        <item x="278"/>
        <item x="243"/>
        <item x="244"/>
        <item x="213"/>
        <item x="215"/>
        <item x="246"/>
        <item x="228"/>
        <item x="242"/>
        <item x="245"/>
        <item x="268"/>
        <item x="231"/>
        <item x="230"/>
        <item x="270"/>
        <item x="233"/>
        <item x="229"/>
        <item x="269"/>
        <item x="232"/>
        <item x="271"/>
        <item x="273"/>
        <item x="272"/>
        <item x="274"/>
        <item x="276"/>
        <item x="275"/>
        <item x="198"/>
        <item t="default"/>
      </items>
    </pivotField>
    <pivotField showAll="0">
      <items count="270">
        <item x="1"/>
        <item x="4"/>
        <item x="6"/>
        <item x="2"/>
        <item x="9"/>
        <item x="0"/>
        <item x="7"/>
        <item x="3"/>
        <item x="12"/>
        <item x="5"/>
        <item x="10"/>
        <item x="8"/>
        <item x="13"/>
        <item x="15"/>
        <item x="11"/>
        <item x="16"/>
        <item x="14"/>
        <item x="18"/>
        <item x="17"/>
        <item x="20"/>
        <item x="19"/>
        <item x="24"/>
        <item x="22"/>
        <item x="21"/>
        <item x="25"/>
        <item x="23"/>
        <item x="27"/>
        <item x="28"/>
        <item x="26"/>
        <item x="30"/>
        <item x="32"/>
        <item x="29"/>
        <item x="33"/>
        <item x="31"/>
        <item x="34"/>
        <item x="36"/>
        <item x="35"/>
        <item x="37"/>
        <item x="38"/>
        <item x="39"/>
        <item x="40"/>
        <item x="42"/>
        <item x="41"/>
        <item x="43"/>
        <item x="45"/>
        <item x="44"/>
        <item x="46"/>
        <item x="48"/>
        <item x="47"/>
        <item x="49"/>
        <item x="51"/>
        <item x="50"/>
        <item x="52"/>
        <item x="54"/>
        <item x="53"/>
        <item x="55"/>
        <item x="57"/>
        <item x="59"/>
        <item x="56"/>
        <item x="58"/>
        <item x="61"/>
        <item x="60"/>
        <item x="63"/>
        <item x="64"/>
        <item x="62"/>
        <item x="66"/>
        <item x="65"/>
        <item x="68"/>
        <item x="69"/>
        <item x="67"/>
        <item x="71"/>
        <item x="70"/>
        <item x="76"/>
        <item x="73"/>
        <item x="74"/>
        <item x="77"/>
        <item x="83"/>
        <item x="72"/>
        <item x="75"/>
        <item x="79"/>
        <item x="81"/>
        <item x="78"/>
        <item x="80"/>
        <item x="82"/>
        <item x="88"/>
        <item x="90"/>
        <item x="84"/>
        <item x="86"/>
        <item x="91"/>
        <item x="85"/>
        <item x="95"/>
        <item x="89"/>
        <item x="87"/>
        <item x="93"/>
        <item x="98"/>
        <item x="92"/>
        <item x="96"/>
        <item x="101"/>
        <item x="104"/>
        <item x="94"/>
        <item x="99"/>
        <item x="109"/>
        <item x="112"/>
        <item x="115"/>
        <item x="102"/>
        <item x="97"/>
        <item x="105"/>
        <item x="107"/>
        <item x="100"/>
        <item x="110"/>
        <item x="121"/>
        <item x="113"/>
        <item x="116"/>
        <item x="103"/>
        <item x="118"/>
        <item x="106"/>
        <item x="120"/>
        <item x="108"/>
        <item x="111"/>
        <item x="114"/>
        <item x="117"/>
        <item x="124"/>
        <item x="119"/>
        <item x="126"/>
        <item x="122"/>
        <item x="127"/>
        <item x="123"/>
        <item x="131"/>
        <item x="129"/>
        <item x="125"/>
        <item x="133"/>
        <item x="128"/>
        <item x="136"/>
        <item x="130"/>
        <item x="138"/>
        <item x="134"/>
        <item x="144"/>
        <item x="132"/>
        <item x="148"/>
        <item x="137"/>
        <item x="151"/>
        <item x="139"/>
        <item x="145"/>
        <item x="141"/>
        <item x="143"/>
        <item x="146"/>
        <item x="135"/>
        <item x="149"/>
        <item x="161"/>
        <item x="160"/>
        <item x="140"/>
        <item x="142"/>
        <item x="152"/>
        <item x="162"/>
        <item x="154"/>
        <item x="147"/>
        <item x="156"/>
        <item x="158"/>
        <item x="150"/>
        <item x="153"/>
        <item x="163"/>
        <item x="155"/>
        <item x="157"/>
        <item x="159"/>
        <item x="164"/>
        <item x="166"/>
        <item x="165"/>
        <item x="167"/>
        <item x="169"/>
        <item x="168"/>
        <item x="171"/>
        <item x="173"/>
        <item x="170"/>
        <item x="176"/>
        <item x="174"/>
        <item x="172"/>
        <item x="177"/>
        <item x="175"/>
        <item x="179"/>
        <item x="180"/>
        <item x="178"/>
        <item x="182"/>
        <item x="183"/>
        <item x="181"/>
        <item x="185"/>
        <item x="186"/>
        <item x="184"/>
        <item x="188"/>
        <item x="189"/>
        <item x="187"/>
        <item x="193"/>
        <item x="194"/>
        <item x="196"/>
        <item x="197"/>
        <item x="198"/>
        <item x="195"/>
        <item x="199"/>
        <item x="201"/>
        <item x="200"/>
        <item x="202"/>
        <item x="205"/>
        <item x="204"/>
        <item x="206"/>
        <item x="207"/>
        <item x="203"/>
        <item x="209"/>
        <item x="191"/>
        <item x="190"/>
        <item x="210"/>
        <item x="208"/>
        <item x="212"/>
        <item x="213"/>
        <item x="211"/>
        <item x="214"/>
        <item x="216"/>
        <item x="219"/>
        <item x="215"/>
        <item x="218"/>
        <item x="221"/>
        <item x="220"/>
        <item x="217"/>
        <item x="223"/>
        <item x="222"/>
        <item x="224"/>
        <item x="226"/>
        <item x="225"/>
        <item x="228"/>
        <item x="227"/>
        <item x="230"/>
        <item x="229"/>
        <item x="231"/>
        <item x="233"/>
        <item x="232"/>
        <item x="234"/>
        <item x="236"/>
        <item x="235"/>
        <item x="237"/>
        <item x="239"/>
        <item x="238"/>
        <item x="241"/>
        <item x="242"/>
        <item x="240"/>
        <item x="244"/>
        <item x="243"/>
        <item x="245"/>
        <item x="247"/>
        <item x="246"/>
        <item x="248"/>
        <item x="250"/>
        <item x="249"/>
        <item x="251"/>
        <item x="252"/>
        <item x="253"/>
        <item x="254"/>
        <item x="256"/>
        <item x="255"/>
        <item x="257"/>
        <item x="259"/>
        <item x="258"/>
        <item x="260"/>
        <item x="262"/>
        <item x="261"/>
        <item x="263"/>
        <item x="265"/>
        <item x="264"/>
        <item x="267"/>
        <item x="268"/>
        <item x="266"/>
        <item x="192"/>
        <item t="default"/>
      </items>
    </pivotField>
    <pivotField showAll="0">
      <items count="258">
        <item x="18"/>
        <item x="16"/>
        <item x="13"/>
        <item x="23"/>
        <item x="10"/>
        <item x="25"/>
        <item x="33"/>
        <item x="7"/>
        <item x="36"/>
        <item x="32"/>
        <item x="50"/>
        <item x="39"/>
        <item x="27"/>
        <item x="1"/>
        <item x="4"/>
        <item x="46"/>
        <item x="14"/>
        <item x="17"/>
        <item x="19"/>
        <item x="11"/>
        <item x="21"/>
        <item x="57"/>
        <item x="8"/>
        <item x="2"/>
        <item x="61"/>
        <item x="12"/>
        <item x="5"/>
        <item x="9"/>
        <item x="15"/>
        <item x="64"/>
        <item x="0"/>
        <item x="6"/>
        <item x="67"/>
        <item x="20"/>
        <item x="34"/>
        <item x="3"/>
        <item x="28"/>
        <item x="37"/>
        <item x="72"/>
        <item x="30"/>
        <item x="22"/>
        <item x="51"/>
        <item x="24"/>
        <item x="42"/>
        <item x="44"/>
        <item x="47"/>
        <item x="83"/>
        <item x="53"/>
        <item x="26"/>
        <item x="31"/>
        <item x="55"/>
        <item x="58"/>
        <item x="35"/>
        <item x="29"/>
        <item x="87"/>
        <item x="38"/>
        <item x="62"/>
        <item x="76"/>
        <item x="40"/>
        <item x="49"/>
        <item x="41"/>
        <item x="43"/>
        <item x="48"/>
        <item x="45"/>
        <item x="68"/>
        <item x="52"/>
        <item x="65"/>
        <item x="70"/>
        <item x="54"/>
        <item x="56"/>
        <item x="59"/>
        <item x="60"/>
        <item x="98"/>
        <item x="74"/>
        <item x="109"/>
        <item x="66"/>
        <item x="69"/>
        <item x="63"/>
        <item x="104"/>
        <item x="85"/>
        <item x="71"/>
        <item x="84"/>
        <item x="77"/>
        <item x="88"/>
        <item x="116"/>
        <item x="79"/>
        <item x="81"/>
        <item x="73"/>
        <item x="118"/>
        <item x="121"/>
        <item x="91"/>
        <item x="123"/>
        <item x="125"/>
        <item x="130"/>
        <item x="93"/>
        <item x="95"/>
        <item x="132"/>
        <item x="75"/>
        <item x="99"/>
        <item x="110"/>
        <item x="86"/>
        <item x="78"/>
        <item x="108"/>
        <item x="82"/>
        <item x="89"/>
        <item x="106"/>
        <item x="80"/>
        <item x="115"/>
        <item x="102"/>
        <item x="105"/>
        <item x="141"/>
        <item x="90"/>
        <item x="92"/>
        <item x="94"/>
        <item x="122"/>
        <item x="112"/>
        <item x="113"/>
        <item x="96"/>
        <item x="111"/>
        <item x="126"/>
        <item x="97"/>
        <item x="107"/>
        <item x="114"/>
        <item x="147"/>
        <item x="100"/>
        <item x="138"/>
        <item x="101"/>
        <item x="103"/>
        <item x="133"/>
        <item x="142"/>
        <item x="149"/>
        <item x="135"/>
        <item x="120"/>
        <item x="117"/>
        <item x="119"/>
        <item x="124"/>
        <item x="127"/>
        <item x="137"/>
        <item x="128"/>
        <item x="129"/>
        <item x="136"/>
        <item x="139"/>
        <item x="140"/>
        <item x="134"/>
        <item x="143"/>
        <item x="131"/>
        <item x="144"/>
        <item x="145"/>
        <item x="150"/>
        <item x="146"/>
        <item x="152"/>
        <item x="155"/>
        <item x="148"/>
        <item x="153"/>
        <item x="158"/>
        <item x="156"/>
        <item x="160"/>
        <item x="151"/>
        <item x="164"/>
        <item x="157"/>
        <item x="167"/>
        <item x="154"/>
        <item x="170"/>
        <item x="161"/>
        <item x="172"/>
        <item x="165"/>
        <item x="159"/>
        <item x="168"/>
        <item x="175"/>
        <item x="163"/>
        <item x="166"/>
        <item x="173"/>
        <item x="169"/>
        <item x="178"/>
        <item x="171"/>
        <item x="176"/>
        <item x="181"/>
        <item x="174"/>
        <item x="179"/>
        <item x="177"/>
        <item x="182"/>
        <item x="184"/>
        <item x="180"/>
        <item x="187"/>
        <item x="185"/>
        <item x="190"/>
        <item x="183"/>
        <item x="188"/>
        <item x="255"/>
        <item x="186"/>
        <item x="252"/>
        <item x="193"/>
        <item x="256"/>
        <item x="191"/>
        <item x="199"/>
        <item x="215"/>
        <item x="217"/>
        <item x="196"/>
        <item x="254"/>
        <item x="212"/>
        <item x="253"/>
        <item x="202"/>
        <item x="189"/>
        <item x="209"/>
        <item x="206"/>
        <item x="239"/>
        <item x="246"/>
        <item x="251"/>
        <item x="194"/>
        <item x="244"/>
        <item x="250"/>
        <item x="237"/>
        <item x="220"/>
        <item x="200"/>
        <item x="234"/>
        <item x="249"/>
        <item x="248"/>
        <item x="197"/>
        <item x="192"/>
        <item x="216"/>
        <item x="232"/>
        <item x="218"/>
        <item x="223"/>
        <item x="240"/>
        <item x="247"/>
        <item x="213"/>
        <item x="203"/>
        <item x="245"/>
        <item x="229"/>
        <item x="198"/>
        <item x="242"/>
        <item x="226"/>
        <item x="210"/>
        <item x="195"/>
        <item x="207"/>
        <item x="201"/>
        <item x="238"/>
        <item x="235"/>
        <item x="214"/>
        <item x="243"/>
        <item x="241"/>
        <item x="236"/>
        <item x="221"/>
        <item x="204"/>
        <item x="211"/>
        <item x="233"/>
        <item x="208"/>
        <item x="205"/>
        <item x="224"/>
        <item x="230"/>
        <item x="231"/>
        <item x="227"/>
        <item x="219"/>
        <item x="222"/>
        <item x="228"/>
        <item x="225"/>
        <item x="162"/>
        <item t="default"/>
      </items>
    </pivotField>
    <pivotField showAll="0">
      <items count="282">
        <item x="1"/>
        <item x="4"/>
        <item x="2"/>
        <item x="5"/>
        <item x="0"/>
        <item x="3"/>
        <item x="7"/>
        <item x="8"/>
        <item x="6"/>
        <item x="26"/>
        <item x="25"/>
        <item x="12"/>
        <item x="9"/>
        <item x="22"/>
        <item x="11"/>
        <item x="15"/>
        <item x="14"/>
        <item x="10"/>
        <item x="23"/>
        <item x="27"/>
        <item x="29"/>
        <item x="18"/>
        <item x="13"/>
        <item x="17"/>
        <item x="21"/>
        <item x="24"/>
        <item x="20"/>
        <item x="33"/>
        <item x="16"/>
        <item x="19"/>
        <item x="32"/>
        <item x="30"/>
        <item x="34"/>
        <item x="35"/>
        <item x="36"/>
        <item x="31"/>
        <item x="28"/>
        <item x="38"/>
        <item x="96"/>
        <item x="39"/>
        <item x="95"/>
        <item x="37"/>
        <item x="99"/>
        <item x="93"/>
        <item x="66"/>
        <item x="69"/>
        <item x="61"/>
        <item x="64"/>
        <item x="58"/>
        <item x="90"/>
        <item x="71"/>
        <item x="85"/>
        <item x="87"/>
        <item x="55"/>
        <item x="97"/>
        <item x="40"/>
        <item x="62"/>
        <item x="46"/>
        <item x="42"/>
        <item x="67"/>
        <item x="43"/>
        <item x="59"/>
        <item x="94"/>
        <item x="41"/>
        <item x="56"/>
        <item x="72"/>
        <item x="45"/>
        <item x="91"/>
        <item x="48"/>
        <item x="86"/>
        <item x="63"/>
        <item x="60"/>
        <item x="57"/>
        <item x="88"/>
        <item x="49"/>
        <item x="44"/>
        <item x="118"/>
        <item x="68"/>
        <item x="119"/>
        <item x="51"/>
        <item x="54"/>
        <item x="84"/>
        <item x="65"/>
        <item x="74"/>
        <item x="77"/>
        <item x="70"/>
        <item x="53"/>
        <item x="47"/>
        <item x="122"/>
        <item x="92"/>
        <item x="98"/>
        <item x="89"/>
        <item x="80"/>
        <item x="75"/>
        <item x="78"/>
        <item x="52"/>
        <item x="81"/>
        <item x="120"/>
        <item x="83"/>
        <item x="79"/>
        <item x="82"/>
        <item x="102"/>
        <item x="50"/>
        <item x="150"/>
        <item x="76"/>
        <item x="73"/>
        <item x="115"/>
        <item x="101"/>
        <item x="148"/>
        <item x="130"/>
        <item x="123"/>
        <item x="177"/>
        <item x="105"/>
        <item x="117"/>
        <item x="111"/>
        <item x="103"/>
        <item x="113"/>
        <item x="145"/>
        <item x="106"/>
        <item x="125"/>
        <item x="116"/>
        <item x="108"/>
        <item x="133"/>
        <item x="104"/>
        <item x="140"/>
        <item x="178"/>
        <item x="128"/>
        <item x="109"/>
        <item x="131"/>
        <item x="100"/>
        <item x="126"/>
        <item x="114"/>
        <item x="107"/>
        <item x="121"/>
        <item x="112"/>
        <item x="135"/>
        <item x="174"/>
        <item x="124"/>
        <item x="129"/>
        <item x="171"/>
        <item x="110"/>
        <item x="197"/>
        <item x="132"/>
        <item x="151"/>
        <item x="143"/>
        <item x="127"/>
        <item x="146"/>
        <item x="175"/>
        <item x="137"/>
        <item x="176"/>
        <item x="153"/>
        <item x="141"/>
        <item x="198"/>
        <item x="196"/>
        <item x="181"/>
        <item x="179"/>
        <item x="188"/>
        <item x="134"/>
        <item x="194"/>
        <item x="195"/>
        <item x="173"/>
        <item x="172"/>
        <item x="138"/>
        <item x="191"/>
        <item x="211"/>
        <item x="155"/>
        <item x="169"/>
        <item x="184"/>
        <item x="180"/>
        <item x="190"/>
        <item x="142"/>
        <item x="183"/>
        <item x="202"/>
        <item x="205"/>
        <item x="147"/>
        <item x="144"/>
        <item x="193"/>
        <item x="212"/>
        <item x="139"/>
        <item x="149"/>
        <item x="136"/>
        <item x="210"/>
        <item x="192"/>
        <item x="152"/>
        <item x="214"/>
        <item x="166"/>
        <item x="189"/>
        <item x="199"/>
        <item x="157"/>
        <item x="186"/>
        <item x="204"/>
        <item x="209"/>
        <item x="170"/>
        <item x="216"/>
        <item x="182"/>
        <item x="208"/>
        <item x="160"/>
        <item x="242"/>
        <item x="167"/>
        <item x="201"/>
        <item x="239"/>
        <item x="163"/>
        <item x="213"/>
        <item x="233"/>
        <item x="154"/>
        <item x="164"/>
        <item x="165"/>
        <item x="158"/>
        <item x="218"/>
        <item x="187"/>
        <item x="215"/>
        <item x="162"/>
        <item x="168"/>
        <item x="203"/>
        <item x="161"/>
        <item x="185"/>
        <item x="241"/>
        <item x="206"/>
        <item x="207"/>
        <item x="243"/>
        <item x="270"/>
        <item x="156"/>
        <item x="238"/>
        <item x="235"/>
        <item x="232"/>
        <item x="217"/>
        <item x="159"/>
        <item x="245"/>
        <item x="228"/>
        <item x="269"/>
        <item x="240"/>
        <item x="225"/>
        <item x="265"/>
        <item x="236"/>
        <item x="268"/>
        <item x="244"/>
        <item x="237"/>
        <item x="271"/>
        <item x="219"/>
        <item x="267"/>
        <item x="234"/>
        <item x="231"/>
        <item x="263"/>
        <item x="222"/>
        <item x="266"/>
        <item x="264"/>
        <item x="230"/>
        <item x="260"/>
        <item x="221"/>
        <item x="227"/>
        <item x="262"/>
        <item x="252"/>
        <item x="224"/>
        <item x="272"/>
        <item x="261"/>
        <item x="249"/>
        <item x="220"/>
        <item x="278"/>
        <item x="257"/>
        <item x="274"/>
        <item x="254"/>
        <item x="246"/>
        <item x="229"/>
        <item x="251"/>
        <item x="226"/>
        <item x="273"/>
        <item x="280"/>
        <item x="223"/>
        <item x="248"/>
        <item x="259"/>
        <item x="275"/>
        <item x="253"/>
        <item x="256"/>
        <item x="250"/>
        <item x="279"/>
        <item x="247"/>
        <item x="277"/>
        <item x="258"/>
        <item x="276"/>
        <item x="255"/>
        <item x="200"/>
        <item t="default"/>
      </items>
    </pivotField>
    <pivotField showAll="0">
      <items count="313">
        <item x="6"/>
        <item x="0"/>
        <item x="2"/>
        <item x="3"/>
        <item x="1"/>
        <item x="5"/>
        <item x="8"/>
        <item x="7"/>
        <item x="4"/>
        <item x="10"/>
        <item x="11"/>
        <item x="9"/>
        <item x="38"/>
        <item x="13"/>
        <item x="41"/>
        <item x="39"/>
        <item x="37"/>
        <item x="42"/>
        <item x="40"/>
        <item x="14"/>
        <item x="134"/>
        <item x="35"/>
        <item x="136"/>
        <item x="135"/>
        <item x="138"/>
        <item x="139"/>
        <item x="133"/>
        <item x="137"/>
        <item x="43"/>
        <item x="45"/>
        <item x="131"/>
        <item x="44"/>
        <item x="140"/>
        <item x="36"/>
        <item x="142"/>
        <item x="12"/>
        <item x="143"/>
        <item x="34"/>
        <item x="47"/>
        <item x="132"/>
        <item x="144"/>
        <item x="16"/>
        <item x="46"/>
        <item x="141"/>
        <item x="77"/>
        <item x="173"/>
        <item x="75"/>
        <item x="107"/>
        <item x="72"/>
        <item x="80"/>
        <item x="79"/>
        <item x="196"/>
        <item x="145"/>
        <item x="17"/>
        <item x="48"/>
        <item x="74"/>
        <item x="198"/>
        <item x="108"/>
        <item x="105"/>
        <item x="194"/>
        <item x="106"/>
        <item x="78"/>
        <item x="82"/>
        <item x="195"/>
        <item x="76"/>
        <item x="197"/>
        <item x="193"/>
        <item x="73"/>
        <item x="50"/>
        <item x="69"/>
        <item x="192"/>
        <item x="174"/>
        <item x="71"/>
        <item x="147"/>
        <item x="200"/>
        <item x="109"/>
        <item x="70"/>
        <item x="171"/>
        <item x="111"/>
        <item x="172"/>
        <item x="83"/>
        <item x="81"/>
        <item x="191"/>
        <item x="110"/>
        <item x="169"/>
        <item x="49"/>
        <item x="175"/>
        <item x="170"/>
        <item x="254"/>
        <item x="20"/>
        <item x="85"/>
        <item x="19"/>
        <item x="102"/>
        <item x="66"/>
        <item x="68"/>
        <item x="203"/>
        <item x="86"/>
        <item x="304"/>
        <item x="67"/>
        <item x="199"/>
        <item x="104"/>
        <item x="112"/>
        <item x="130"/>
        <item x="129"/>
        <item x="146"/>
        <item x="168"/>
        <item x="308"/>
        <item x="302"/>
        <item x="202"/>
        <item x="176"/>
        <item x="15"/>
        <item x="178"/>
        <item x="177"/>
        <item x="103"/>
        <item x="257"/>
        <item x="32"/>
        <item x="88"/>
        <item x="190"/>
        <item x="33"/>
        <item x="100"/>
        <item x="31"/>
        <item x="84"/>
        <item x="189"/>
        <item x="187"/>
        <item x="256"/>
        <item x="310"/>
        <item x="232"/>
        <item x="101"/>
        <item x="126"/>
        <item x="184"/>
        <item x="123"/>
        <item x="250"/>
        <item x="186"/>
        <item x="51"/>
        <item x="299"/>
        <item x="166"/>
        <item x="125"/>
        <item x="128"/>
        <item x="185"/>
        <item x="113"/>
        <item x="148"/>
        <item x="167"/>
        <item x="22"/>
        <item x="63"/>
        <item x="165"/>
        <item x="227"/>
        <item x="65"/>
        <item x="114"/>
        <item x="306"/>
        <item x="260"/>
        <item x="124"/>
        <item x="188"/>
        <item x="64"/>
        <item x="87"/>
        <item x="89"/>
        <item x="263"/>
        <item x="23"/>
        <item x="179"/>
        <item x="153"/>
        <item x="127"/>
        <item x="97"/>
        <item x="60"/>
        <item x="259"/>
        <item x="278"/>
        <item x="181"/>
        <item x="207"/>
        <item x="182"/>
        <item x="233"/>
        <item x="155"/>
        <item x="62"/>
        <item x="120"/>
        <item x="156"/>
        <item x="183"/>
        <item x="91"/>
        <item x="53"/>
        <item x="117"/>
        <item x="99"/>
        <item x="57"/>
        <item x="92"/>
        <item x="122"/>
        <item x="180"/>
        <item x="150"/>
        <item x="61"/>
        <item x="116"/>
        <item x="301"/>
        <item x="252"/>
        <item x="206"/>
        <item x="96"/>
        <item x="154"/>
        <item x="18"/>
        <item x="162"/>
        <item x="54"/>
        <item x="201"/>
        <item x="164"/>
        <item x="59"/>
        <item x="94"/>
        <item x="265"/>
        <item x="158"/>
        <item x="229"/>
        <item x="151"/>
        <item x="163"/>
        <item x="210"/>
        <item x="121"/>
        <item x="262"/>
        <item x="98"/>
        <item x="25"/>
        <item x="224"/>
        <item x="119"/>
        <item x="90"/>
        <item x="95"/>
        <item x="253"/>
        <item x="281"/>
        <item x="255"/>
        <item x="279"/>
        <item x="228"/>
        <item x="284"/>
        <item x="209"/>
        <item x="159"/>
        <item x="56"/>
        <item x="93"/>
        <item x="58"/>
        <item x="277"/>
        <item x="204"/>
        <item x="266"/>
        <item x="226"/>
        <item x="234"/>
        <item x="27"/>
        <item x="297"/>
        <item x="272"/>
        <item x="52"/>
        <item x="289"/>
        <item x="157"/>
        <item x="115"/>
        <item x="161"/>
        <item x="24"/>
        <item x="283"/>
        <item x="149"/>
        <item x="303"/>
        <item x="305"/>
        <item x="307"/>
        <item x="258"/>
        <item x="291"/>
        <item x="21"/>
        <item x="28"/>
        <item x="300"/>
        <item x="212"/>
        <item x="118"/>
        <item x="152"/>
        <item x="309"/>
        <item x="230"/>
        <item x="205"/>
        <item x="251"/>
        <item x="225"/>
        <item x="55"/>
        <item x="288"/>
        <item x="286"/>
        <item x="30"/>
        <item x="264"/>
        <item x="26"/>
        <item x="269"/>
        <item x="294"/>
        <item x="311"/>
        <item x="160"/>
        <item x="268"/>
        <item x="261"/>
        <item x="237"/>
        <item x="247"/>
        <item x="274"/>
        <item x="214"/>
        <item x="208"/>
        <item x="280"/>
        <item x="215"/>
        <item x="221"/>
        <item x="293"/>
        <item x="235"/>
        <item x="211"/>
        <item x="29"/>
        <item x="249"/>
        <item x="223"/>
        <item x="276"/>
        <item x="271"/>
        <item x="217"/>
        <item x="296"/>
        <item x="238"/>
        <item x="236"/>
        <item x="282"/>
        <item x="275"/>
        <item x="298"/>
        <item x="248"/>
        <item x="213"/>
        <item x="222"/>
        <item x="287"/>
        <item x="240"/>
        <item x="218"/>
        <item x="285"/>
        <item x="290"/>
        <item x="267"/>
        <item x="216"/>
        <item x="220"/>
        <item x="273"/>
        <item x="292"/>
        <item x="241"/>
        <item x="244"/>
        <item x="239"/>
        <item x="295"/>
        <item x="270"/>
        <item x="243"/>
        <item x="246"/>
        <item x="219"/>
        <item x="245"/>
        <item x="242"/>
        <item x="231"/>
        <item t="default"/>
      </items>
    </pivotField>
    <pivotField showAll="0">
      <items count="266">
        <item x="7"/>
        <item x="4"/>
        <item x="9"/>
        <item x="18"/>
        <item x="8"/>
        <item x="15"/>
        <item x="10"/>
        <item x="5"/>
        <item x="12"/>
        <item x="6"/>
        <item x="1"/>
        <item x="3"/>
        <item x="2"/>
        <item x="0"/>
        <item x="13"/>
        <item x="16"/>
        <item x="19"/>
        <item x="11"/>
        <item x="14"/>
        <item x="22"/>
        <item x="17"/>
        <item x="28"/>
        <item x="20"/>
        <item x="24"/>
        <item x="21"/>
        <item x="26"/>
        <item x="29"/>
        <item x="23"/>
        <item x="31"/>
        <item x="25"/>
        <item x="27"/>
        <item x="30"/>
        <item x="32"/>
        <item x="33"/>
        <item x="34"/>
        <item x="36"/>
        <item x="37"/>
        <item x="169"/>
        <item x="39"/>
        <item x="35"/>
        <item x="38"/>
        <item x="41"/>
        <item x="40"/>
        <item x="176"/>
        <item x="174"/>
        <item x="166"/>
        <item x="42"/>
        <item x="44"/>
        <item x="45"/>
        <item x="43"/>
        <item x="178"/>
        <item x="48"/>
        <item x="47"/>
        <item x="50"/>
        <item x="51"/>
        <item x="54"/>
        <item x="46"/>
        <item x="161"/>
        <item x="53"/>
        <item x="49"/>
        <item x="179"/>
        <item x="56"/>
        <item x="181"/>
        <item x="158"/>
        <item x="59"/>
        <item x="58"/>
        <item x="52"/>
        <item x="155"/>
        <item x="62"/>
        <item x="55"/>
        <item x="182"/>
        <item x="183"/>
        <item x="61"/>
        <item x="177"/>
        <item x="180"/>
        <item x="170"/>
        <item x="65"/>
        <item x="172"/>
        <item x="184"/>
        <item x="153"/>
        <item x="167"/>
        <item x="64"/>
        <item x="57"/>
        <item x="145"/>
        <item x="151"/>
        <item x="68"/>
        <item x="185"/>
        <item x="148"/>
        <item x="164"/>
        <item x="143"/>
        <item x="67"/>
        <item x="186"/>
        <item x="60"/>
        <item x="175"/>
        <item x="162"/>
        <item x="168"/>
        <item x="171"/>
        <item x="173"/>
        <item x="63"/>
        <item x="159"/>
        <item x="188"/>
        <item x="140"/>
        <item x="189"/>
        <item x="165"/>
        <item x="187"/>
        <item x="191"/>
        <item x="156"/>
        <item x="163"/>
        <item x="193"/>
        <item x="192"/>
        <item x="160"/>
        <item x="196"/>
        <item x="70"/>
        <item x="190"/>
        <item x="194"/>
        <item x="154"/>
        <item x="66"/>
        <item x="137"/>
        <item x="197"/>
        <item x="157"/>
        <item x="71"/>
        <item x="195"/>
        <item x="152"/>
        <item x="199"/>
        <item x="146"/>
        <item x="149"/>
        <item x="198"/>
        <item x="144"/>
        <item x="74"/>
        <item x="200"/>
        <item x="201"/>
        <item x="132"/>
        <item x="141"/>
        <item x="150"/>
        <item x="147"/>
        <item x="203"/>
        <item x="73"/>
        <item x="77"/>
        <item x="142"/>
        <item x="138"/>
        <item x="202"/>
        <item x="76"/>
        <item x="206"/>
        <item x="207"/>
        <item x="139"/>
        <item x="205"/>
        <item x="135"/>
        <item x="204"/>
        <item x="136"/>
        <item x="80"/>
        <item x="69"/>
        <item x="129"/>
        <item x="133"/>
        <item x="79"/>
        <item x="134"/>
        <item x="131"/>
        <item x="72"/>
        <item x="217"/>
        <item x="75"/>
        <item x="218"/>
        <item x="215"/>
        <item x="82"/>
        <item x="208"/>
        <item x="212"/>
        <item x="210"/>
        <item x="209"/>
        <item x="214"/>
        <item x="216"/>
        <item x="213"/>
        <item x="130"/>
        <item x="83"/>
        <item x="126"/>
        <item x="219"/>
        <item x="78"/>
        <item x="221"/>
        <item x="128"/>
        <item x="225"/>
        <item x="220"/>
        <item x="227"/>
        <item x="228"/>
        <item x="127"/>
        <item x="226"/>
        <item x="223"/>
        <item x="224"/>
        <item x="86"/>
        <item x="229"/>
        <item x="98"/>
        <item x="222"/>
        <item x="125"/>
        <item x="89"/>
        <item x="101"/>
        <item x="95"/>
        <item x="243"/>
        <item x="245"/>
        <item x="234"/>
        <item x="244"/>
        <item x="92"/>
        <item x="239"/>
        <item x="236"/>
        <item x="238"/>
        <item x="241"/>
        <item x="100"/>
        <item x="242"/>
        <item x="237"/>
        <item x="247"/>
        <item x="235"/>
        <item x="246"/>
        <item x="230"/>
        <item x="240"/>
        <item x="85"/>
        <item x="81"/>
        <item x="232"/>
        <item x="231"/>
        <item x="104"/>
        <item x="233"/>
        <item x="248"/>
        <item x="250"/>
        <item x="249"/>
        <item x="97"/>
        <item x="103"/>
        <item x="123"/>
        <item x="124"/>
        <item x="251"/>
        <item x="252"/>
        <item x="107"/>
        <item x="253"/>
        <item x="255"/>
        <item x="254"/>
        <item x="121"/>
        <item x="118"/>
        <item x="99"/>
        <item x="116"/>
        <item x="257"/>
        <item x="94"/>
        <item x="259"/>
        <item x="260"/>
        <item x="256"/>
        <item x="261"/>
        <item x="88"/>
        <item x="258"/>
        <item x="91"/>
        <item x="106"/>
        <item x="110"/>
        <item x="120"/>
        <item x="113"/>
        <item x="262"/>
        <item x="264"/>
        <item x="117"/>
        <item x="109"/>
        <item x="263"/>
        <item x="122"/>
        <item x="115"/>
        <item x="119"/>
        <item x="96"/>
        <item x="102"/>
        <item x="112"/>
        <item x="114"/>
        <item x="105"/>
        <item x="93"/>
        <item x="108"/>
        <item x="84"/>
        <item x="111"/>
        <item x="90"/>
        <item x="87"/>
        <item x="211"/>
        <item t="default"/>
      </items>
    </pivotField>
    <pivotField showAll="0">
      <items count="206">
        <item x="66"/>
        <item x="63"/>
        <item x="69"/>
        <item x="72"/>
        <item x="61"/>
        <item x="70"/>
        <item x="67"/>
        <item x="59"/>
        <item x="64"/>
        <item x="56"/>
        <item x="73"/>
        <item x="68"/>
        <item x="76"/>
        <item x="65"/>
        <item x="54"/>
        <item x="75"/>
        <item x="71"/>
        <item x="62"/>
        <item x="74"/>
        <item x="51"/>
        <item x="60"/>
        <item x="33"/>
        <item x="57"/>
        <item x="48"/>
        <item x="36"/>
        <item x="78"/>
        <item x="31"/>
        <item x="55"/>
        <item x="79"/>
        <item x="58"/>
        <item x="77"/>
        <item x="45"/>
        <item x="52"/>
        <item x="28"/>
        <item x="80"/>
        <item x="82"/>
        <item x="53"/>
        <item x="49"/>
        <item x="81"/>
        <item x="34"/>
        <item x="25"/>
        <item x="37"/>
        <item x="43"/>
        <item x="50"/>
        <item x="22"/>
        <item x="38"/>
        <item x="83"/>
        <item x="47"/>
        <item x="46"/>
        <item x="20"/>
        <item x="84"/>
        <item x="19"/>
        <item x="32"/>
        <item x="35"/>
        <item x="17"/>
        <item x="14"/>
        <item x="29"/>
        <item x="30"/>
        <item x="11"/>
        <item x="8"/>
        <item x="44"/>
        <item x="26"/>
        <item x="6"/>
        <item x="23"/>
        <item x="39"/>
        <item x="27"/>
        <item x="12"/>
        <item x="15"/>
        <item x="18"/>
        <item x="9"/>
        <item x="24"/>
        <item x="10"/>
        <item x="4"/>
        <item x="21"/>
        <item x="42"/>
        <item x="13"/>
        <item x="7"/>
        <item x="16"/>
        <item x="41"/>
        <item x="40"/>
        <item x="5"/>
        <item x="1"/>
        <item x="147"/>
        <item x="3"/>
        <item x="2"/>
        <item x="86"/>
        <item x="0"/>
        <item x="87"/>
        <item x="161"/>
        <item x="150"/>
        <item x="89"/>
        <item x="90"/>
        <item x="162"/>
        <item x="85"/>
        <item x="163"/>
        <item x="148"/>
        <item x="92"/>
        <item x="93"/>
        <item x="160"/>
        <item x="144"/>
        <item x="165"/>
        <item x="159"/>
        <item x="88"/>
        <item x="164"/>
        <item x="95"/>
        <item x="157"/>
        <item x="166"/>
        <item x="146"/>
        <item x="156"/>
        <item x="91"/>
        <item x="96"/>
        <item x="183"/>
        <item x="154"/>
        <item x="149"/>
        <item x="158"/>
        <item x="172"/>
        <item x="167"/>
        <item x="155"/>
        <item x="98"/>
        <item x="99"/>
        <item x="169"/>
        <item x="94"/>
        <item x="102"/>
        <item x="152"/>
        <item x="170"/>
        <item x="145"/>
        <item x="101"/>
        <item x="185"/>
        <item x="168"/>
        <item x="104"/>
        <item x="141"/>
        <item x="151"/>
        <item x="107"/>
        <item x="186"/>
        <item x="97"/>
        <item x="153"/>
        <item x="108"/>
        <item x="180"/>
        <item x="171"/>
        <item x="100"/>
        <item x="143"/>
        <item x="178"/>
        <item x="103"/>
        <item x="106"/>
        <item x="105"/>
        <item x="182"/>
        <item x="184"/>
        <item x="142"/>
        <item x="110"/>
        <item x="175"/>
        <item x="177"/>
        <item x="176"/>
        <item x="112"/>
        <item x="140"/>
        <item x="181"/>
        <item x="109"/>
        <item x="115"/>
        <item x="139"/>
        <item x="114"/>
        <item x="179"/>
        <item x="194"/>
        <item x="117"/>
        <item x="118"/>
        <item x="138"/>
        <item x="121"/>
        <item x="195"/>
        <item x="196"/>
        <item x="198"/>
        <item x="189"/>
        <item x="120"/>
        <item x="111"/>
        <item x="123"/>
        <item x="188"/>
        <item x="173"/>
        <item x="197"/>
        <item x="124"/>
        <item x="199"/>
        <item x="113"/>
        <item x="187"/>
        <item x="126"/>
        <item x="192"/>
        <item x="137"/>
        <item x="116"/>
        <item x="122"/>
        <item x="119"/>
        <item x="201"/>
        <item x="128"/>
        <item x="193"/>
        <item x="130"/>
        <item x="125"/>
        <item x="190"/>
        <item x="132"/>
        <item x="136"/>
        <item x="127"/>
        <item x="200"/>
        <item x="129"/>
        <item x="133"/>
        <item x="131"/>
        <item x="203"/>
        <item x="135"/>
        <item x="191"/>
        <item x="202"/>
        <item x="134"/>
        <item x="204"/>
        <item x="174"/>
        <item t="default"/>
      </items>
    </pivotField>
    <pivotField showAll="0">
      <items count="283">
        <item x="1"/>
        <item x="3"/>
        <item x="6"/>
        <item x="2"/>
        <item x="4"/>
        <item x="7"/>
        <item x="0"/>
        <item x="8"/>
        <item x="5"/>
        <item x="9"/>
        <item x="10"/>
        <item x="12"/>
        <item x="11"/>
        <item x="13"/>
        <item x="15"/>
        <item x="14"/>
        <item x="17"/>
        <item x="18"/>
        <item x="20"/>
        <item x="16"/>
        <item x="21"/>
        <item x="24"/>
        <item x="23"/>
        <item x="19"/>
        <item x="26"/>
        <item x="27"/>
        <item x="22"/>
        <item x="29"/>
        <item x="25"/>
        <item x="30"/>
        <item x="33"/>
        <item x="28"/>
        <item x="36"/>
        <item x="32"/>
        <item x="39"/>
        <item x="35"/>
        <item x="42"/>
        <item x="38"/>
        <item x="45"/>
        <item x="41"/>
        <item x="31"/>
        <item x="48"/>
        <item x="44"/>
        <item x="34"/>
        <item x="51"/>
        <item x="47"/>
        <item x="37"/>
        <item x="40"/>
        <item x="50"/>
        <item x="54"/>
        <item x="57"/>
        <item x="43"/>
        <item x="53"/>
        <item x="62"/>
        <item x="65"/>
        <item x="46"/>
        <item x="56"/>
        <item x="68"/>
        <item x="59"/>
        <item x="61"/>
        <item x="49"/>
        <item x="71"/>
        <item x="64"/>
        <item x="67"/>
        <item x="74"/>
        <item x="76"/>
        <item x="52"/>
        <item x="70"/>
        <item x="78"/>
        <item x="73"/>
        <item x="55"/>
        <item x="77"/>
        <item x="58"/>
        <item x="81"/>
        <item x="80"/>
        <item x="60"/>
        <item x="86"/>
        <item x="63"/>
        <item x="66"/>
        <item x="83"/>
        <item x="85"/>
        <item x="69"/>
        <item x="88"/>
        <item x="75"/>
        <item x="72"/>
        <item x="93"/>
        <item x="90"/>
        <item x="79"/>
        <item x="96"/>
        <item x="99"/>
        <item x="92"/>
        <item x="82"/>
        <item x="102"/>
        <item x="105"/>
        <item x="95"/>
        <item x="108"/>
        <item x="84"/>
        <item x="98"/>
        <item x="110"/>
        <item x="87"/>
        <item x="101"/>
        <item x="113"/>
        <item x="144"/>
        <item x="104"/>
        <item x="107"/>
        <item x="142"/>
        <item x="139"/>
        <item x="116"/>
        <item x="89"/>
        <item x="147"/>
        <item x="119"/>
        <item x="146"/>
        <item x="112"/>
        <item x="136"/>
        <item x="91"/>
        <item x="133"/>
        <item x="115"/>
        <item x="141"/>
        <item x="126"/>
        <item x="130"/>
        <item x="94"/>
        <item x="152"/>
        <item x="148"/>
        <item x="154"/>
        <item x="118"/>
        <item x="155"/>
        <item x="145"/>
        <item x="138"/>
        <item x="121"/>
        <item x="153"/>
        <item x="149"/>
        <item x="157"/>
        <item x="97"/>
        <item x="135"/>
        <item x="123"/>
        <item x="159"/>
        <item x="167"/>
        <item x="125"/>
        <item x="161"/>
        <item x="100"/>
        <item x="132"/>
        <item x="103"/>
        <item x="143"/>
        <item x="156"/>
        <item x="106"/>
        <item x="129"/>
        <item x="158"/>
        <item x="109"/>
        <item x="150"/>
        <item x="164"/>
        <item x="151"/>
        <item x="168"/>
        <item x="166"/>
        <item x="163"/>
        <item x="160"/>
        <item x="162"/>
        <item x="140"/>
        <item x="165"/>
        <item x="111"/>
        <item x="170"/>
        <item x="169"/>
        <item x="172"/>
        <item x="137"/>
        <item x="171"/>
        <item x="114"/>
        <item x="174"/>
        <item x="117"/>
        <item x="134"/>
        <item x="175"/>
        <item x="173"/>
        <item x="120"/>
        <item x="122"/>
        <item x="131"/>
        <item x="176"/>
        <item x="124"/>
        <item x="127"/>
        <item x="128"/>
        <item x="178"/>
        <item x="179"/>
        <item x="177"/>
        <item x="181"/>
        <item x="182"/>
        <item x="180"/>
        <item x="184"/>
        <item x="187"/>
        <item x="185"/>
        <item x="190"/>
        <item x="183"/>
        <item x="188"/>
        <item x="186"/>
        <item x="191"/>
        <item x="189"/>
        <item x="193"/>
        <item x="192"/>
        <item x="196"/>
        <item x="197"/>
        <item x="195"/>
        <item x="198"/>
        <item x="200"/>
        <item x="199"/>
        <item x="202"/>
        <item x="201"/>
        <item x="204"/>
        <item x="205"/>
        <item x="207"/>
        <item x="203"/>
        <item x="212"/>
        <item x="214"/>
        <item x="216"/>
        <item x="208"/>
        <item x="206"/>
        <item x="217"/>
        <item x="210"/>
        <item x="213"/>
        <item x="215"/>
        <item x="209"/>
        <item x="211"/>
        <item x="219"/>
        <item x="222"/>
        <item x="226"/>
        <item x="230"/>
        <item x="233"/>
        <item x="220"/>
        <item x="224"/>
        <item x="223"/>
        <item x="227"/>
        <item x="231"/>
        <item x="234"/>
        <item x="218"/>
        <item x="225"/>
        <item x="221"/>
        <item x="228"/>
        <item x="236"/>
        <item x="229"/>
        <item x="232"/>
        <item x="235"/>
        <item x="238"/>
        <item x="240"/>
        <item x="237"/>
        <item x="241"/>
        <item x="243"/>
        <item x="239"/>
        <item x="244"/>
        <item x="246"/>
        <item x="242"/>
        <item x="247"/>
        <item x="249"/>
        <item x="245"/>
        <item x="252"/>
        <item x="250"/>
        <item x="255"/>
        <item x="248"/>
        <item x="253"/>
        <item x="251"/>
        <item x="258"/>
        <item x="256"/>
        <item x="254"/>
        <item x="259"/>
        <item x="257"/>
        <item x="263"/>
        <item x="261"/>
        <item x="266"/>
        <item x="260"/>
        <item x="264"/>
        <item x="269"/>
        <item x="262"/>
        <item x="267"/>
        <item x="272"/>
        <item x="265"/>
        <item x="270"/>
        <item x="268"/>
        <item x="277"/>
        <item x="273"/>
        <item x="275"/>
        <item x="271"/>
        <item x="280"/>
        <item x="274"/>
        <item x="278"/>
        <item x="276"/>
        <item x="281"/>
        <item x="279"/>
        <item x="194"/>
        <item t="default"/>
      </items>
    </pivotField>
    <pivotField showAll="0">
      <items count="269">
        <item x="0"/>
        <item x="2"/>
        <item x="1"/>
        <item x="4"/>
        <item x="5"/>
        <item x="3"/>
        <item x="7"/>
        <item x="8"/>
        <item x="6"/>
        <item x="10"/>
        <item x="11"/>
        <item x="13"/>
        <item x="9"/>
        <item x="15"/>
        <item x="12"/>
        <item x="17"/>
        <item x="18"/>
        <item x="14"/>
        <item x="20"/>
        <item x="16"/>
        <item x="22"/>
        <item x="19"/>
        <item x="21"/>
        <item x="24"/>
        <item x="23"/>
        <item x="25"/>
        <item x="26"/>
        <item x="32"/>
        <item x="28"/>
        <item x="27"/>
        <item x="30"/>
        <item x="33"/>
        <item x="29"/>
        <item x="31"/>
        <item x="35"/>
        <item x="34"/>
        <item x="37"/>
        <item x="40"/>
        <item x="36"/>
        <item x="43"/>
        <item x="41"/>
        <item x="38"/>
        <item x="44"/>
        <item x="39"/>
        <item x="42"/>
        <item x="47"/>
        <item x="48"/>
        <item x="45"/>
        <item x="46"/>
        <item x="54"/>
        <item x="57"/>
        <item x="49"/>
        <item x="60"/>
        <item x="50"/>
        <item x="52"/>
        <item x="55"/>
        <item x="65"/>
        <item x="58"/>
        <item x="51"/>
        <item x="53"/>
        <item x="70"/>
        <item x="61"/>
        <item x="56"/>
        <item x="63"/>
        <item x="66"/>
        <item x="59"/>
        <item x="68"/>
        <item x="78"/>
        <item x="81"/>
        <item x="71"/>
        <item x="64"/>
        <item x="62"/>
        <item x="67"/>
        <item x="89"/>
        <item x="74"/>
        <item x="69"/>
        <item x="76"/>
        <item x="96"/>
        <item x="72"/>
        <item x="99"/>
        <item x="79"/>
        <item x="82"/>
        <item x="73"/>
        <item x="104"/>
        <item x="75"/>
        <item x="106"/>
        <item x="85"/>
        <item x="111"/>
        <item x="87"/>
        <item x="77"/>
        <item x="90"/>
        <item x="120"/>
        <item x="80"/>
        <item x="83"/>
        <item x="92"/>
        <item x="123"/>
        <item x="84"/>
        <item x="94"/>
        <item x="127"/>
        <item x="129"/>
        <item x="97"/>
        <item x="86"/>
        <item x="100"/>
        <item x="88"/>
        <item x="132"/>
        <item x="102"/>
        <item x="137"/>
        <item x="138"/>
        <item x="107"/>
        <item x="109"/>
        <item x="91"/>
        <item x="112"/>
        <item x="114"/>
        <item x="141"/>
        <item x="116"/>
        <item x="146"/>
        <item x="93"/>
        <item x="152"/>
        <item x="118"/>
        <item x="131"/>
        <item x="98"/>
        <item x="95"/>
        <item x="155"/>
        <item x="103"/>
        <item x="101"/>
        <item x="125"/>
        <item x="105"/>
        <item x="160"/>
        <item x="133"/>
        <item x="108"/>
        <item x="135"/>
        <item x="110"/>
        <item x="165"/>
        <item x="113"/>
        <item x="115"/>
        <item x="130"/>
        <item x="142"/>
        <item x="126"/>
        <item x="128"/>
        <item x="122"/>
        <item x="117"/>
        <item x="174"/>
        <item x="119"/>
        <item x="121"/>
        <item x="124"/>
        <item x="134"/>
        <item x="136"/>
        <item x="140"/>
        <item x="150"/>
        <item x="147"/>
        <item x="144"/>
        <item x="153"/>
        <item x="139"/>
        <item x="156"/>
        <item x="158"/>
        <item x="143"/>
        <item x="161"/>
        <item x="162"/>
        <item x="163"/>
        <item x="166"/>
        <item x="168"/>
        <item x="181"/>
        <item x="170"/>
        <item x="172"/>
        <item x="175"/>
        <item x="176"/>
        <item x="178"/>
        <item x="149"/>
        <item x="151"/>
        <item x="145"/>
        <item x="154"/>
        <item x="148"/>
        <item x="157"/>
        <item x="159"/>
        <item x="164"/>
        <item x="167"/>
        <item x="177"/>
        <item x="169"/>
        <item x="182"/>
        <item x="171"/>
        <item x="173"/>
        <item x="184"/>
        <item x="190"/>
        <item x="180"/>
        <item x="186"/>
        <item x="193"/>
        <item x="183"/>
        <item x="188"/>
        <item x="185"/>
        <item x="196"/>
        <item x="191"/>
        <item x="187"/>
        <item x="194"/>
        <item x="189"/>
        <item x="201"/>
        <item x="204"/>
        <item x="197"/>
        <item x="207"/>
        <item x="210"/>
        <item x="192"/>
        <item x="214"/>
        <item x="218"/>
        <item x="199"/>
        <item x="195"/>
        <item x="202"/>
        <item x="225"/>
        <item x="228"/>
        <item x="231"/>
        <item x="234"/>
        <item x="205"/>
        <item x="236"/>
        <item x="239"/>
        <item x="208"/>
        <item x="242"/>
        <item x="198"/>
        <item x="245"/>
        <item x="200"/>
        <item x="212"/>
        <item x="247"/>
        <item x="250"/>
        <item x="203"/>
        <item x="253"/>
        <item x="215"/>
        <item x="256"/>
        <item x="219"/>
        <item x="221"/>
        <item x="223"/>
        <item x="226"/>
        <item x="206"/>
        <item x="229"/>
        <item x="261"/>
        <item x="232"/>
        <item x="209"/>
        <item x="266"/>
        <item x="211"/>
        <item x="237"/>
        <item x="213"/>
        <item x="240"/>
        <item x="216"/>
        <item x="243"/>
        <item x="217"/>
        <item x="220"/>
        <item x="248"/>
        <item x="222"/>
        <item x="224"/>
        <item x="251"/>
        <item x="254"/>
        <item x="227"/>
        <item x="257"/>
        <item x="230"/>
        <item x="259"/>
        <item x="262"/>
        <item x="233"/>
        <item x="264"/>
        <item x="235"/>
        <item x="267"/>
        <item x="238"/>
        <item x="241"/>
        <item x="244"/>
        <item x="246"/>
        <item x="249"/>
        <item x="252"/>
        <item x="255"/>
        <item x="258"/>
        <item x="260"/>
        <item x="263"/>
        <item x="265"/>
        <item x="179"/>
        <item t="default"/>
      </items>
    </pivotField>
    <pivotField showAll="0">
      <items count="308">
        <item x="0"/>
        <item x="2"/>
        <item x="3"/>
        <item x="1"/>
        <item x="6"/>
        <item x="5"/>
        <item x="9"/>
        <item x="8"/>
        <item x="4"/>
        <item x="11"/>
        <item x="7"/>
        <item x="12"/>
        <item x="14"/>
        <item x="10"/>
        <item x="15"/>
        <item x="13"/>
        <item x="17"/>
        <item x="18"/>
        <item x="16"/>
        <item x="20"/>
        <item x="19"/>
        <item x="22"/>
        <item x="23"/>
        <item x="21"/>
        <item x="25"/>
        <item x="26"/>
        <item x="24"/>
        <item x="27"/>
        <item x="29"/>
        <item x="30"/>
        <item x="28"/>
        <item x="33"/>
        <item x="32"/>
        <item x="35"/>
        <item x="31"/>
        <item x="38"/>
        <item x="41"/>
        <item x="37"/>
        <item x="34"/>
        <item x="44"/>
        <item x="40"/>
        <item x="43"/>
        <item x="36"/>
        <item x="47"/>
        <item x="46"/>
        <item x="39"/>
        <item x="50"/>
        <item x="42"/>
        <item x="49"/>
        <item x="45"/>
        <item x="52"/>
        <item x="48"/>
        <item x="55"/>
        <item x="54"/>
        <item x="58"/>
        <item x="51"/>
        <item x="57"/>
        <item x="60"/>
        <item x="53"/>
        <item x="63"/>
        <item x="56"/>
        <item x="62"/>
        <item x="59"/>
        <item x="65"/>
        <item x="67"/>
        <item x="68"/>
        <item x="61"/>
        <item x="64"/>
        <item x="70"/>
        <item x="66"/>
        <item x="72"/>
        <item x="69"/>
        <item x="73"/>
        <item x="75"/>
        <item x="71"/>
        <item x="74"/>
        <item x="76"/>
        <item x="77"/>
        <item x="79"/>
        <item x="80"/>
        <item x="82"/>
        <item x="78"/>
        <item x="83"/>
        <item x="81"/>
        <item x="85"/>
        <item x="87"/>
        <item x="84"/>
        <item x="86"/>
        <item x="89"/>
        <item x="90"/>
        <item x="88"/>
        <item x="92"/>
        <item x="93"/>
        <item x="91"/>
        <item x="95"/>
        <item x="94"/>
        <item x="99"/>
        <item x="97"/>
        <item x="102"/>
        <item x="100"/>
        <item x="96"/>
        <item x="103"/>
        <item x="98"/>
        <item x="105"/>
        <item x="108"/>
        <item x="101"/>
        <item x="104"/>
        <item x="111"/>
        <item x="109"/>
        <item x="106"/>
        <item x="112"/>
        <item x="107"/>
        <item x="114"/>
        <item x="118"/>
        <item x="110"/>
        <item x="116"/>
        <item x="121"/>
        <item x="113"/>
        <item x="124"/>
        <item x="119"/>
        <item x="115"/>
        <item x="127"/>
        <item x="122"/>
        <item x="130"/>
        <item x="125"/>
        <item x="117"/>
        <item x="135"/>
        <item x="128"/>
        <item x="138"/>
        <item x="120"/>
        <item x="131"/>
        <item x="123"/>
        <item x="143"/>
        <item x="126"/>
        <item x="133"/>
        <item x="136"/>
        <item x="129"/>
        <item x="139"/>
        <item x="141"/>
        <item x="147"/>
        <item x="132"/>
        <item x="134"/>
        <item x="137"/>
        <item x="152"/>
        <item x="154"/>
        <item x="140"/>
        <item x="145"/>
        <item x="159"/>
        <item x="148"/>
        <item x="162"/>
        <item x="142"/>
        <item x="150"/>
        <item x="165"/>
        <item x="144"/>
        <item x="153"/>
        <item x="155"/>
        <item x="146"/>
        <item x="169"/>
        <item x="157"/>
        <item x="160"/>
        <item x="149"/>
        <item x="163"/>
        <item x="166"/>
        <item x="174"/>
        <item x="151"/>
        <item x="158"/>
        <item x="156"/>
        <item x="175"/>
        <item x="170"/>
        <item x="178"/>
        <item x="161"/>
        <item x="180"/>
        <item x="172"/>
        <item x="183"/>
        <item x="185"/>
        <item x="164"/>
        <item x="188"/>
        <item x="167"/>
        <item x="176"/>
        <item x="181"/>
        <item x="168"/>
        <item x="186"/>
        <item x="191"/>
        <item x="171"/>
        <item x="189"/>
        <item x="193"/>
        <item x="182"/>
        <item x="173"/>
        <item x="179"/>
        <item x="177"/>
        <item x="184"/>
        <item x="187"/>
        <item x="190"/>
        <item x="192"/>
        <item x="196"/>
        <item x="194"/>
        <item x="198"/>
        <item x="195"/>
        <item x="197"/>
        <item x="200"/>
        <item x="199"/>
        <item x="202"/>
        <item x="201"/>
        <item x="204"/>
        <item x="205"/>
        <item x="203"/>
        <item x="207"/>
        <item x="208"/>
        <item x="206"/>
        <item x="210"/>
        <item x="209"/>
        <item x="214"/>
        <item x="217"/>
        <item x="213"/>
        <item x="212"/>
        <item x="220"/>
        <item x="216"/>
        <item x="223"/>
        <item x="219"/>
        <item x="222"/>
        <item x="215"/>
        <item x="226"/>
        <item x="225"/>
        <item x="228"/>
        <item x="218"/>
        <item x="221"/>
        <item x="224"/>
        <item x="230"/>
        <item x="231"/>
        <item x="227"/>
        <item x="234"/>
        <item x="237"/>
        <item x="229"/>
        <item x="233"/>
        <item x="236"/>
        <item x="239"/>
        <item x="232"/>
        <item x="240"/>
        <item x="235"/>
        <item x="242"/>
        <item x="246"/>
        <item x="241"/>
        <item x="238"/>
        <item x="243"/>
        <item x="249"/>
        <item x="248"/>
        <item x="245"/>
        <item x="252"/>
        <item x="244"/>
        <item x="247"/>
        <item x="253"/>
        <item x="251"/>
        <item x="256"/>
        <item x="255"/>
        <item x="250"/>
        <item x="258"/>
        <item x="261"/>
        <item x="254"/>
        <item x="264"/>
        <item x="260"/>
        <item x="257"/>
        <item x="263"/>
        <item x="267"/>
        <item x="266"/>
        <item x="259"/>
        <item x="270"/>
        <item x="262"/>
        <item x="269"/>
        <item x="265"/>
        <item x="273"/>
        <item x="272"/>
        <item x="268"/>
        <item x="276"/>
        <item x="275"/>
        <item x="279"/>
        <item x="271"/>
        <item x="278"/>
        <item x="282"/>
        <item x="284"/>
        <item x="274"/>
        <item x="281"/>
        <item x="287"/>
        <item x="277"/>
        <item x="290"/>
        <item x="286"/>
        <item x="280"/>
        <item x="289"/>
        <item x="295"/>
        <item x="283"/>
        <item x="292"/>
        <item x="298"/>
        <item x="294"/>
        <item x="285"/>
        <item x="301"/>
        <item x="304"/>
        <item x="297"/>
        <item x="288"/>
        <item x="291"/>
        <item x="300"/>
        <item x="293"/>
        <item x="303"/>
        <item x="306"/>
        <item x="296"/>
        <item x="299"/>
        <item x="302"/>
        <item x="305"/>
        <item x="211"/>
        <item t="default"/>
      </items>
    </pivotField>
    <pivotField showAll="0"/>
    <pivotField showAll="0">
      <items count="310">
        <item x="0"/>
        <item x="1"/>
        <item x="2"/>
        <item x="4"/>
        <item x="3"/>
        <item x="5"/>
        <item x="7"/>
        <item x="6"/>
        <item x="8"/>
        <item x="10"/>
        <item x="11"/>
        <item x="9"/>
        <item x="13"/>
        <item x="14"/>
        <item x="16"/>
        <item x="12"/>
        <item x="18"/>
        <item x="19"/>
        <item x="15"/>
        <item x="21"/>
        <item x="17"/>
        <item x="23"/>
        <item x="24"/>
        <item x="20"/>
        <item x="26"/>
        <item x="27"/>
        <item x="22"/>
        <item x="29"/>
        <item x="25"/>
        <item x="30"/>
        <item x="32"/>
        <item x="28"/>
        <item x="35"/>
        <item x="34"/>
        <item x="38"/>
        <item x="37"/>
        <item x="31"/>
        <item x="40"/>
        <item x="41"/>
        <item x="33"/>
        <item x="43"/>
        <item x="36"/>
        <item x="44"/>
        <item x="39"/>
        <item x="46"/>
        <item x="47"/>
        <item x="42"/>
        <item x="49"/>
        <item x="50"/>
        <item x="45"/>
        <item x="52"/>
        <item x="48"/>
        <item x="55"/>
        <item x="54"/>
        <item x="58"/>
        <item x="57"/>
        <item x="51"/>
        <item x="59"/>
        <item x="62"/>
        <item x="61"/>
        <item x="64"/>
        <item x="53"/>
        <item x="66"/>
        <item x="67"/>
        <item x="56"/>
        <item x="70"/>
        <item x="69"/>
        <item x="72"/>
        <item x="60"/>
        <item x="63"/>
        <item x="75"/>
        <item x="74"/>
        <item x="65"/>
        <item x="77"/>
        <item x="68"/>
        <item x="78"/>
        <item x="71"/>
        <item x="80"/>
        <item x="81"/>
        <item x="73"/>
        <item x="83"/>
        <item x="86"/>
        <item x="85"/>
        <item x="76"/>
        <item x="89"/>
        <item x="88"/>
        <item x="79"/>
        <item x="92"/>
        <item x="91"/>
        <item x="82"/>
        <item x="94"/>
        <item x="84"/>
        <item x="99"/>
        <item x="96"/>
        <item x="87"/>
        <item x="102"/>
        <item x="98"/>
        <item x="90"/>
        <item x="105"/>
        <item x="101"/>
        <item x="108"/>
        <item x="104"/>
        <item x="107"/>
        <item x="111"/>
        <item x="93"/>
        <item x="110"/>
        <item x="114"/>
        <item x="95"/>
        <item x="113"/>
        <item x="117"/>
        <item x="116"/>
        <item x="97"/>
        <item x="120"/>
        <item x="100"/>
        <item x="119"/>
        <item x="103"/>
        <item x="123"/>
        <item x="122"/>
        <item x="126"/>
        <item x="106"/>
        <item x="125"/>
        <item x="127"/>
        <item x="109"/>
        <item x="128"/>
        <item x="112"/>
        <item x="115"/>
        <item x="130"/>
        <item x="118"/>
        <item x="133"/>
        <item x="132"/>
        <item x="121"/>
        <item x="136"/>
        <item x="124"/>
        <item x="135"/>
        <item x="129"/>
        <item x="138"/>
        <item x="140"/>
        <item x="141"/>
        <item x="131"/>
        <item x="144"/>
        <item x="143"/>
        <item x="134"/>
        <item x="146"/>
        <item x="147"/>
        <item x="137"/>
        <item x="139"/>
        <item x="149"/>
        <item x="142"/>
        <item x="145"/>
        <item x="150"/>
        <item x="152"/>
        <item x="148"/>
        <item x="154"/>
        <item x="156"/>
        <item x="151"/>
        <item x="158"/>
        <item x="163"/>
        <item x="153"/>
        <item x="160"/>
        <item x="155"/>
        <item x="162"/>
        <item x="165"/>
        <item x="166"/>
        <item x="169"/>
        <item x="157"/>
        <item x="168"/>
        <item x="179"/>
        <item x="171"/>
        <item x="159"/>
        <item x="174"/>
        <item x="178"/>
        <item x="161"/>
        <item x="173"/>
        <item x="176"/>
        <item x="170"/>
        <item x="164"/>
        <item x="182"/>
        <item x="167"/>
        <item x="172"/>
        <item x="175"/>
        <item x="177"/>
        <item x="185"/>
        <item x="180"/>
        <item x="187"/>
        <item x="184"/>
        <item x="190"/>
        <item x="193"/>
        <item x="196"/>
        <item x="189"/>
        <item x="192"/>
        <item x="181"/>
        <item x="195"/>
        <item x="198"/>
        <item x="183"/>
        <item x="200"/>
        <item x="201"/>
        <item x="186"/>
        <item x="203"/>
        <item x="188"/>
        <item x="191"/>
        <item x="194"/>
        <item x="206"/>
        <item x="205"/>
        <item x="197"/>
        <item x="209"/>
        <item x="208"/>
        <item x="199"/>
        <item x="212"/>
        <item x="211"/>
        <item x="202"/>
        <item x="214"/>
        <item x="204"/>
        <item x="216"/>
        <item x="207"/>
        <item x="218"/>
        <item x="210"/>
        <item x="220"/>
        <item x="213"/>
        <item x="221"/>
        <item x="215"/>
        <item x="223"/>
        <item x="217"/>
        <item x="224"/>
        <item x="219"/>
        <item x="226"/>
        <item x="222"/>
        <item x="225"/>
        <item x="231"/>
        <item x="228"/>
        <item x="233"/>
        <item x="237"/>
        <item x="234"/>
        <item x="239"/>
        <item x="230"/>
        <item x="242"/>
        <item x="238"/>
        <item x="236"/>
        <item x="245"/>
        <item x="241"/>
        <item x="244"/>
        <item x="250"/>
        <item x="247"/>
        <item x="229"/>
        <item x="253"/>
        <item x="232"/>
        <item x="252"/>
        <item x="249"/>
        <item x="235"/>
        <item x="240"/>
        <item x="258"/>
        <item x="255"/>
        <item x="261"/>
        <item x="243"/>
        <item x="266"/>
        <item x="273"/>
        <item x="260"/>
        <item x="263"/>
        <item x="269"/>
        <item x="276"/>
        <item x="246"/>
        <item x="257"/>
        <item x="265"/>
        <item x="275"/>
        <item x="278"/>
        <item x="272"/>
        <item x="268"/>
        <item x="277"/>
        <item x="270"/>
        <item x="286"/>
        <item x="248"/>
        <item x="251"/>
        <item x="280"/>
        <item x="282"/>
        <item x="283"/>
        <item x="285"/>
        <item x="254"/>
        <item x="291"/>
        <item x="288"/>
        <item x="294"/>
        <item x="290"/>
        <item x="262"/>
        <item x="259"/>
        <item x="293"/>
        <item x="296"/>
        <item x="274"/>
        <item x="264"/>
        <item x="271"/>
        <item x="298"/>
        <item x="267"/>
        <item x="281"/>
        <item x="300"/>
        <item x="279"/>
        <item x="256"/>
        <item x="284"/>
        <item x="304"/>
        <item x="287"/>
        <item x="289"/>
        <item x="303"/>
        <item x="292"/>
        <item x="306"/>
        <item x="295"/>
        <item x="297"/>
        <item x="308"/>
        <item x="299"/>
        <item x="301"/>
        <item x="302"/>
        <item x="305"/>
        <item x="307"/>
        <item x="227"/>
        <item t="default"/>
      </items>
    </pivotField>
    <pivotField showAll="0"/>
    <pivotField showAll="0"/>
    <pivotField showAll="0">
      <items count="304">
        <item x="1"/>
        <item x="2"/>
        <item x="0"/>
        <item x="4"/>
        <item x="3"/>
        <item x="6"/>
        <item x="5"/>
        <item x="8"/>
        <item x="9"/>
        <item x="7"/>
        <item x="11"/>
        <item x="12"/>
        <item x="10"/>
        <item x="14"/>
        <item x="15"/>
        <item x="13"/>
        <item x="17"/>
        <item x="19"/>
        <item x="16"/>
        <item x="20"/>
        <item x="18"/>
        <item x="22"/>
        <item x="24"/>
        <item x="21"/>
        <item x="25"/>
        <item x="27"/>
        <item x="23"/>
        <item x="30"/>
        <item x="28"/>
        <item x="33"/>
        <item x="26"/>
        <item x="36"/>
        <item x="31"/>
        <item x="39"/>
        <item x="34"/>
        <item x="29"/>
        <item x="42"/>
        <item x="37"/>
        <item x="32"/>
        <item x="40"/>
        <item x="35"/>
        <item x="43"/>
        <item x="38"/>
        <item x="49"/>
        <item x="45"/>
        <item x="41"/>
        <item x="52"/>
        <item x="47"/>
        <item x="55"/>
        <item x="44"/>
        <item x="58"/>
        <item x="50"/>
        <item x="46"/>
        <item x="61"/>
        <item x="53"/>
        <item x="64"/>
        <item x="56"/>
        <item x="67"/>
        <item x="48"/>
        <item x="70"/>
        <item x="51"/>
        <item x="72"/>
        <item x="59"/>
        <item x="54"/>
        <item x="62"/>
        <item x="65"/>
        <item x="57"/>
        <item x="68"/>
        <item x="81"/>
        <item x="60"/>
        <item x="86"/>
        <item x="63"/>
        <item x="89"/>
        <item x="73"/>
        <item x="66"/>
        <item x="75"/>
        <item x="92"/>
        <item x="95"/>
        <item x="77"/>
        <item x="97"/>
        <item x="69"/>
        <item x="100"/>
        <item x="71"/>
        <item x="79"/>
        <item x="105"/>
        <item x="74"/>
        <item x="82"/>
        <item x="108"/>
        <item x="84"/>
        <item x="76"/>
        <item x="113"/>
        <item x="87"/>
        <item x="116"/>
        <item x="119"/>
        <item x="90"/>
        <item x="78"/>
        <item x="80"/>
        <item x="123"/>
        <item x="93"/>
        <item x="126"/>
        <item x="83"/>
        <item x="130"/>
        <item x="98"/>
        <item x="133"/>
        <item x="85"/>
        <item x="136"/>
        <item x="101"/>
        <item x="143"/>
        <item x="103"/>
        <item x="88"/>
        <item x="106"/>
        <item x="109"/>
        <item x="91"/>
        <item x="94"/>
        <item x="111"/>
        <item x="96"/>
        <item x="114"/>
        <item x="117"/>
        <item x="99"/>
        <item x="150"/>
        <item x="102"/>
        <item x="152"/>
        <item x="104"/>
        <item x="121"/>
        <item x="156"/>
        <item x="107"/>
        <item x="124"/>
        <item x="159"/>
        <item x="127"/>
        <item x="110"/>
        <item x="131"/>
        <item x="162"/>
        <item x="134"/>
        <item x="112"/>
        <item x="137"/>
        <item x="115"/>
        <item x="139"/>
        <item x="167"/>
        <item x="141"/>
        <item x="118"/>
        <item x="169"/>
        <item x="144"/>
        <item x="120"/>
        <item x="173"/>
        <item x="122"/>
        <item x="146"/>
        <item x="125"/>
        <item x="128"/>
        <item x="129"/>
        <item x="177"/>
        <item x="132"/>
        <item x="180"/>
        <item x="182"/>
        <item x="135"/>
        <item x="138"/>
        <item x="153"/>
        <item x="185"/>
        <item x="140"/>
        <item x="186"/>
        <item x="157"/>
        <item x="189"/>
        <item x="192"/>
        <item x="160"/>
        <item x="195"/>
        <item x="142"/>
        <item x="196"/>
        <item x="163"/>
        <item x="199"/>
        <item x="145"/>
        <item x="202"/>
        <item x="165"/>
        <item x="205"/>
        <item x="147"/>
        <item x="170"/>
        <item x="172"/>
        <item x="148"/>
        <item x="181"/>
        <item x="174"/>
        <item x="178"/>
        <item x="175"/>
        <item x="151"/>
        <item x="149"/>
        <item x="187"/>
        <item x="154"/>
        <item x="190"/>
        <item x="155"/>
        <item x="193"/>
        <item x="216"/>
        <item x="197"/>
        <item x="158"/>
        <item x="200"/>
        <item x="220"/>
        <item x="203"/>
        <item x="161"/>
        <item x="206"/>
        <item x="208"/>
        <item x="223"/>
        <item x="164"/>
        <item x="179"/>
        <item x="183"/>
        <item x="226"/>
        <item x="166"/>
        <item x="168"/>
        <item x="184"/>
        <item x="176"/>
        <item x="188"/>
        <item x="194"/>
        <item x="191"/>
        <item x="171"/>
        <item x="212"/>
        <item x="198"/>
        <item x="214"/>
        <item x="229"/>
        <item x="201"/>
        <item x="217"/>
        <item x="204"/>
        <item x="207"/>
        <item x="209"/>
        <item x="232"/>
        <item x="221"/>
        <item x="235"/>
        <item x="224"/>
        <item x="211"/>
        <item x="227"/>
        <item x="213"/>
        <item x="215"/>
        <item x="240"/>
        <item x="218"/>
        <item x="219"/>
        <item x="230"/>
        <item x="222"/>
        <item x="233"/>
        <item x="225"/>
        <item x="236"/>
        <item x="247"/>
        <item x="250"/>
        <item x="228"/>
        <item x="231"/>
        <item x="253"/>
        <item x="234"/>
        <item x="238"/>
        <item x="241"/>
        <item x="243"/>
        <item x="258"/>
        <item x="245"/>
        <item x="248"/>
        <item x="261"/>
        <item x="251"/>
        <item x="237"/>
        <item x="239"/>
        <item x="264"/>
        <item x="242"/>
        <item x="254"/>
        <item x="244"/>
        <item x="256"/>
        <item x="246"/>
        <item x="269"/>
        <item x="249"/>
        <item x="259"/>
        <item x="272"/>
        <item x="262"/>
        <item x="252"/>
        <item x="275"/>
        <item x="265"/>
        <item x="255"/>
        <item x="278"/>
        <item x="257"/>
        <item x="267"/>
        <item x="281"/>
        <item x="284"/>
        <item x="260"/>
        <item x="270"/>
        <item x="287"/>
        <item x="263"/>
        <item x="290"/>
        <item x="273"/>
        <item x="292"/>
        <item x="266"/>
        <item x="276"/>
        <item x="295"/>
        <item x="279"/>
        <item x="298"/>
        <item x="268"/>
        <item x="301"/>
        <item x="282"/>
        <item x="271"/>
        <item x="285"/>
        <item x="274"/>
        <item x="288"/>
        <item x="277"/>
        <item x="293"/>
        <item x="280"/>
        <item x="296"/>
        <item x="299"/>
        <item x="283"/>
        <item x="302"/>
        <item x="286"/>
        <item x="289"/>
        <item x="291"/>
        <item x="294"/>
        <item x="297"/>
        <item x="300"/>
        <item x="210"/>
        <item t="default"/>
      </items>
    </pivotField>
    <pivotField showAll="0">
      <items count="119">
        <item x="1"/>
        <item x="2"/>
        <item x="3"/>
        <item x="4"/>
        <item x="5"/>
        <item x="6"/>
        <item x="7"/>
        <item x="8"/>
        <item x="10"/>
        <item x="9"/>
        <item x="11"/>
        <item x="12"/>
        <item x="13"/>
        <item x="14"/>
        <item x="15"/>
        <item x="16"/>
        <item x="17"/>
        <item x="18"/>
        <item x="21"/>
        <item x="19"/>
        <item x="20"/>
        <item x="22"/>
        <item x="23"/>
        <item x="24"/>
        <item x="27"/>
        <item x="25"/>
        <item x="26"/>
        <item x="28"/>
        <item x="29"/>
        <item x="30"/>
        <item x="31"/>
        <item x="32"/>
        <item x="33"/>
        <item x="34"/>
        <item x="35"/>
        <item x="38"/>
        <item x="36"/>
        <item x="37"/>
        <item x="39"/>
        <item x="40"/>
        <item x="41"/>
        <item x="44"/>
        <item x="42"/>
        <item x="43"/>
        <item x="45"/>
        <item x="46"/>
        <item x="47"/>
        <item x="50"/>
        <item x="48"/>
        <item x="49"/>
        <item x="51"/>
        <item x="52"/>
        <item x="53"/>
        <item x="54"/>
        <item x="55"/>
        <item x="56"/>
        <item x="57"/>
        <item x="58"/>
        <item x="59"/>
        <item x="62"/>
        <item x="60"/>
        <item x="61"/>
        <item x="63"/>
        <item x="64"/>
        <item x="65"/>
        <item x="66"/>
        <item x="68"/>
        <item x="67"/>
        <item x="69"/>
        <item x="70"/>
        <item x="71"/>
        <item x="73"/>
        <item x="72"/>
        <item x="74"/>
        <item x="75"/>
        <item x="76"/>
        <item x="79"/>
        <item x="77"/>
        <item x="78"/>
        <item x="80"/>
        <item x="82"/>
        <item x="84"/>
        <item x="81"/>
        <item x="85"/>
        <item x="83"/>
        <item x="86"/>
        <item x="87"/>
        <item x="90"/>
        <item x="88"/>
        <item x="89"/>
        <item x="91"/>
        <item x="93"/>
        <item x="96"/>
        <item x="94"/>
        <item x="97"/>
        <item x="95"/>
        <item x="98"/>
        <item x="101"/>
        <item x="99"/>
        <item x="100"/>
        <item x="102"/>
        <item x="104"/>
        <item x="103"/>
        <item x="107"/>
        <item x="105"/>
        <item x="106"/>
        <item x="108"/>
        <item x="109"/>
        <item x="110"/>
        <item x="113"/>
        <item x="111"/>
        <item x="112"/>
        <item x="114"/>
        <item x="115"/>
        <item x="116"/>
        <item x="117"/>
        <item x="92"/>
        <item x="0"/>
        <item t="default"/>
      </items>
    </pivotField>
    <pivotField axis="axisPage" dataField="1" showAll="0">
      <items count="275">
        <item x="1"/>
        <item x="0"/>
        <item x="3"/>
        <item x="4"/>
        <item x="5"/>
        <item x="2"/>
        <item x="7"/>
        <item x="6"/>
        <item x="9"/>
        <item x="10"/>
        <item x="8"/>
        <item x="12"/>
        <item x="13"/>
        <item x="11"/>
        <item x="15"/>
        <item x="16"/>
        <item x="18"/>
        <item x="14"/>
        <item x="19"/>
        <item x="17"/>
        <item x="25"/>
        <item x="27"/>
        <item x="21"/>
        <item x="23"/>
        <item x="30"/>
        <item x="20"/>
        <item x="37"/>
        <item x="22"/>
        <item x="41"/>
        <item x="28"/>
        <item x="46"/>
        <item x="31"/>
        <item x="33"/>
        <item x="35"/>
        <item x="24"/>
        <item x="26"/>
        <item x="29"/>
        <item x="32"/>
        <item x="34"/>
        <item x="39"/>
        <item x="42"/>
        <item x="44"/>
        <item x="36"/>
        <item x="86"/>
        <item x="47"/>
        <item x="84"/>
        <item x="61"/>
        <item x="89"/>
        <item x="64"/>
        <item x="99"/>
        <item x="38"/>
        <item x="40"/>
        <item x="49"/>
        <item x="51"/>
        <item x="43"/>
        <item x="76"/>
        <item x="102"/>
        <item x="45"/>
        <item x="53"/>
        <item x="79"/>
        <item x="48"/>
        <item x="50"/>
        <item x="55"/>
        <item x="105"/>
        <item x="108"/>
        <item x="57"/>
        <item x="52"/>
        <item x="59"/>
        <item x="122"/>
        <item x="117"/>
        <item x="62"/>
        <item x="120"/>
        <item x="65"/>
        <item x="54"/>
        <item x="67"/>
        <item x="70"/>
        <item x="56"/>
        <item x="72"/>
        <item x="58"/>
        <item x="114"/>
        <item x="74"/>
        <item x="60"/>
        <item x="77"/>
        <item x="87"/>
        <item x="85"/>
        <item x="63"/>
        <item x="80"/>
        <item x="66"/>
        <item x="82"/>
        <item x="91"/>
        <item x="93"/>
        <item x="95"/>
        <item x="69"/>
        <item x="68"/>
        <item x="97"/>
        <item x="100"/>
        <item x="71"/>
        <item x="137"/>
        <item x="139"/>
        <item x="103"/>
        <item x="168"/>
        <item x="73"/>
        <item x="75"/>
        <item x="78"/>
        <item x="134"/>
        <item x="142"/>
        <item x="106"/>
        <item x="109"/>
        <item x="83"/>
        <item x="159"/>
        <item x="131"/>
        <item x="88"/>
        <item x="81"/>
        <item x="111"/>
        <item x="90"/>
        <item x="144"/>
        <item x="92"/>
        <item x="157"/>
        <item x="118"/>
        <item x="171"/>
        <item x="94"/>
        <item x="115"/>
        <item x="96"/>
        <item x="98"/>
        <item x="101"/>
        <item x="165"/>
        <item x="124"/>
        <item x="149"/>
        <item x="104"/>
        <item x="107"/>
        <item x="126"/>
        <item x="154"/>
        <item x="110"/>
        <item x="151"/>
        <item x="175"/>
        <item x="112"/>
        <item x="116"/>
        <item x="113"/>
        <item x="178"/>
        <item x="119"/>
        <item x="121"/>
        <item x="135"/>
        <item x="129"/>
        <item x="133"/>
        <item x="140"/>
        <item x="186"/>
        <item x="194"/>
        <item x="198"/>
        <item x="123"/>
        <item x="201"/>
        <item x="125"/>
        <item x="192"/>
        <item x="160"/>
        <item x="169"/>
        <item x="181"/>
        <item x="170"/>
        <item x="167"/>
        <item x="158"/>
        <item x="145"/>
        <item x="163"/>
        <item x="172"/>
        <item x="147"/>
        <item x="127"/>
        <item x="166"/>
        <item x="184"/>
        <item x="190"/>
        <item x="130"/>
        <item x="132"/>
        <item x="128"/>
        <item x="155"/>
        <item x="195"/>
        <item x="193"/>
        <item x="196"/>
        <item x="199"/>
        <item x="176"/>
        <item x="136"/>
        <item x="187"/>
        <item x="138"/>
        <item x="179"/>
        <item x="189"/>
        <item x="141"/>
        <item x="152"/>
        <item x="191"/>
        <item x="156"/>
        <item x="161"/>
        <item x="143"/>
        <item x="162"/>
        <item x="182"/>
        <item x="197"/>
        <item x="146"/>
        <item x="164"/>
        <item x="203"/>
        <item x="173"/>
        <item x="200"/>
        <item x="185"/>
        <item x="148"/>
        <item x="205"/>
        <item x="150"/>
        <item x="174"/>
        <item x="153"/>
        <item x="177"/>
        <item x="202"/>
        <item x="180"/>
        <item x="206"/>
        <item x="183"/>
        <item x="204"/>
        <item x="208"/>
        <item x="210"/>
        <item x="209"/>
        <item x="211"/>
        <item x="207"/>
        <item x="215"/>
        <item x="218"/>
        <item x="213"/>
        <item x="216"/>
        <item x="219"/>
        <item x="223"/>
        <item x="228"/>
        <item x="212"/>
        <item x="214"/>
        <item x="225"/>
        <item x="217"/>
        <item x="221"/>
        <item x="234"/>
        <item x="220"/>
        <item x="222"/>
        <item x="229"/>
        <item x="231"/>
        <item x="226"/>
        <item x="237"/>
        <item x="227"/>
        <item x="224"/>
        <item x="230"/>
        <item x="235"/>
        <item x="232"/>
        <item x="238"/>
        <item x="233"/>
        <item x="236"/>
        <item x="240"/>
        <item x="241"/>
        <item x="239"/>
        <item x="243"/>
        <item x="244"/>
        <item x="246"/>
        <item x="242"/>
        <item x="247"/>
        <item x="245"/>
        <item x="251"/>
        <item x="252"/>
        <item x="250"/>
        <item x="254"/>
        <item x="249"/>
        <item x="248"/>
        <item x="253"/>
        <item x="256"/>
        <item x="265"/>
        <item x="259"/>
        <item x="257"/>
        <item x="262"/>
        <item x="255"/>
        <item x="260"/>
        <item x="268"/>
        <item x="270"/>
        <item x="266"/>
        <item x="271"/>
        <item x="258"/>
        <item x="263"/>
        <item x="267"/>
        <item x="272"/>
        <item x="269"/>
        <item x="261"/>
        <item x="264"/>
        <item x="273"/>
        <item x="188"/>
        <item t="default"/>
      </items>
    </pivotField>
    <pivotField showAll="0"/>
    <pivotField showAll="0"/>
    <pivotField showAll="0"/>
    <pivotField showAll="0"/>
    <pivotField showAll="0"/>
    <pivotField showAll="0"/>
    <pivotField showAll="0"/>
    <pivotField showAll="0"/>
  </pivotFields>
  <rowItems count="1">
    <i/>
  </rowItems>
  <colItems count="1">
    <i/>
  </colItems>
  <pageFields count="2">
    <pageField fld="1" hier="-1"/>
    <pageField fld="21" hier="-1"/>
  </pageFields>
  <dataFields count="1">
    <dataField name="Sum of Fuel and light" fld="2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T4:T5" firstHeaderRow="1" firstDataRow="1" firstDataCol="0" rowPageCount="2" colPageCount="1"/>
  <pivotFields count="30">
    <pivotField showAll="0"/>
    <pivotField axis="axisPage" multipleItemSelectionAllowed="1" showAll="0">
      <items count="12">
        <item x="0"/>
        <item x="1"/>
        <item x="2"/>
        <item x="3"/>
        <item x="4"/>
        <item x="5"/>
        <item x="6"/>
        <item x="7"/>
        <item x="8"/>
        <item x="9"/>
        <item x="10"/>
        <item t="default"/>
      </items>
    </pivotField>
    <pivotField showAll="0"/>
    <pivotField showAll="0">
      <items count="254">
        <item x="0"/>
        <item x="2"/>
        <item x="3"/>
        <item x="6"/>
        <item x="5"/>
        <item x="1"/>
        <item x="11"/>
        <item x="8"/>
        <item x="10"/>
        <item x="13"/>
        <item x="4"/>
        <item x="16"/>
        <item x="15"/>
        <item x="7"/>
        <item x="19"/>
        <item x="9"/>
        <item x="18"/>
        <item x="12"/>
        <item x="21"/>
        <item x="24"/>
        <item x="23"/>
        <item x="14"/>
        <item x="26"/>
        <item x="27"/>
        <item x="17"/>
        <item x="29"/>
        <item x="20"/>
        <item x="30"/>
        <item x="22"/>
        <item x="25"/>
        <item x="32"/>
        <item x="35"/>
        <item x="34"/>
        <item x="28"/>
        <item x="38"/>
        <item x="37"/>
        <item x="43"/>
        <item x="31"/>
        <item x="40"/>
        <item x="42"/>
        <item x="45"/>
        <item x="33"/>
        <item x="47"/>
        <item x="48"/>
        <item x="51"/>
        <item x="36"/>
        <item x="39"/>
        <item x="53"/>
        <item x="50"/>
        <item x="41"/>
        <item x="56"/>
        <item x="44"/>
        <item x="55"/>
        <item x="46"/>
        <item x="58"/>
        <item x="60"/>
        <item x="62"/>
        <item x="65"/>
        <item x="66"/>
        <item x="64"/>
        <item x="49"/>
        <item x="68"/>
        <item x="61"/>
        <item x="67"/>
        <item x="54"/>
        <item x="63"/>
        <item x="59"/>
        <item x="57"/>
        <item x="69"/>
        <item x="52"/>
        <item x="83"/>
        <item x="72"/>
        <item x="70"/>
        <item x="74"/>
        <item x="71"/>
        <item x="76"/>
        <item x="87"/>
        <item x="73"/>
        <item x="75"/>
        <item x="79"/>
        <item x="81"/>
        <item x="84"/>
        <item x="77"/>
        <item x="78"/>
        <item x="80"/>
        <item x="82"/>
        <item x="85"/>
        <item x="88"/>
        <item x="93"/>
        <item x="90"/>
        <item x="86"/>
        <item x="96"/>
        <item x="89"/>
        <item x="94"/>
        <item x="91"/>
        <item x="99"/>
        <item x="97"/>
        <item x="92"/>
        <item x="95"/>
        <item x="100"/>
        <item x="102"/>
        <item x="98"/>
        <item x="105"/>
        <item x="103"/>
        <item x="101"/>
        <item x="109"/>
        <item x="106"/>
        <item x="112"/>
        <item x="111"/>
        <item x="104"/>
        <item x="110"/>
        <item x="107"/>
        <item x="113"/>
        <item x="108"/>
        <item x="120"/>
        <item x="114"/>
        <item x="116"/>
        <item x="125"/>
        <item x="128"/>
        <item x="118"/>
        <item x="115"/>
        <item x="131"/>
        <item x="117"/>
        <item x="121"/>
        <item x="138"/>
        <item x="123"/>
        <item x="126"/>
        <item x="119"/>
        <item x="129"/>
        <item x="132"/>
        <item x="122"/>
        <item x="124"/>
        <item x="141"/>
        <item x="127"/>
        <item x="130"/>
        <item x="136"/>
        <item x="144"/>
        <item x="133"/>
        <item x="134"/>
        <item x="139"/>
        <item x="135"/>
        <item x="150"/>
        <item x="147"/>
        <item x="142"/>
        <item x="137"/>
        <item x="148"/>
        <item x="145"/>
        <item x="153"/>
        <item x="140"/>
        <item x="146"/>
        <item x="143"/>
        <item x="149"/>
        <item x="156"/>
        <item x="151"/>
        <item x="152"/>
        <item x="158"/>
        <item x="159"/>
        <item x="154"/>
        <item x="161"/>
        <item x="155"/>
        <item x="163"/>
        <item x="157"/>
        <item x="164"/>
        <item x="196"/>
        <item x="160"/>
        <item x="166"/>
        <item x="162"/>
        <item x="169"/>
        <item x="168"/>
        <item x="172"/>
        <item x="194"/>
        <item x="171"/>
        <item x="165"/>
        <item x="174"/>
        <item x="191"/>
        <item x="167"/>
        <item x="188"/>
        <item x="206"/>
        <item x="170"/>
        <item x="199"/>
        <item x="203"/>
        <item x="173"/>
        <item x="205"/>
        <item x="201"/>
        <item x="193"/>
        <item x="185"/>
        <item x="175"/>
        <item x="208"/>
        <item x="190"/>
        <item x="182"/>
        <item x="197"/>
        <item x="179"/>
        <item x="210"/>
        <item x="187"/>
        <item x="177"/>
        <item x="198"/>
        <item x="184"/>
        <item x="195"/>
        <item x="202"/>
        <item x="200"/>
        <item x="204"/>
        <item x="212"/>
        <item x="181"/>
        <item x="192"/>
        <item x="214"/>
        <item x="207"/>
        <item x="215"/>
        <item x="189"/>
        <item x="209"/>
        <item x="217"/>
        <item x="186"/>
        <item x="183"/>
        <item x="176"/>
        <item x="211"/>
        <item x="213"/>
        <item x="180"/>
        <item x="219"/>
        <item x="216"/>
        <item x="222"/>
        <item x="221"/>
        <item x="224"/>
        <item x="225"/>
        <item x="218"/>
        <item x="227"/>
        <item x="220"/>
        <item x="223"/>
        <item x="226"/>
        <item x="228"/>
        <item x="230"/>
        <item x="229"/>
        <item x="231"/>
        <item x="233"/>
        <item x="234"/>
        <item x="232"/>
        <item x="236"/>
        <item x="235"/>
        <item x="237"/>
        <item x="239"/>
        <item x="238"/>
        <item x="240"/>
        <item x="242"/>
        <item x="241"/>
        <item x="251"/>
        <item x="244"/>
        <item x="252"/>
        <item x="245"/>
        <item x="243"/>
        <item x="246"/>
        <item x="249"/>
        <item x="248"/>
        <item x="247"/>
        <item x="250"/>
        <item x="178"/>
        <item t="default"/>
      </items>
    </pivotField>
    <pivotField showAll="0">
      <items count="292">
        <item x="0"/>
        <item x="2"/>
        <item x="3"/>
        <item x="6"/>
        <item x="1"/>
        <item x="9"/>
        <item x="8"/>
        <item x="12"/>
        <item x="5"/>
        <item x="11"/>
        <item x="14"/>
        <item x="7"/>
        <item x="15"/>
        <item x="4"/>
        <item x="10"/>
        <item x="13"/>
        <item x="17"/>
        <item x="20"/>
        <item x="23"/>
        <item x="28"/>
        <item x="27"/>
        <item x="19"/>
        <item x="29"/>
        <item x="25"/>
        <item x="30"/>
        <item x="22"/>
        <item x="33"/>
        <item x="26"/>
        <item x="32"/>
        <item x="36"/>
        <item x="24"/>
        <item x="18"/>
        <item x="35"/>
        <item x="38"/>
        <item x="16"/>
        <item x="39"/>
        <item x="21"/>
        <item x="34"/>
        <item x="41"/>
        <item x="37"/>
        <item x="31"/>
        <item x="50"/>
        <item x="44"/>
        <item x="55"/>
        <item x="47"/>
        <item x="43"/>
        <item x="59"/>
        <item x="52"/>
        <item x="57"/>
        <item x="54"/>
        <item x="46"/>
        <item x="40"/>
        <item x="49"/>
        <item x="58"/>
        <item x="62"/>
        <item x="51"/>
        <item x="60"/>
        <item x="56"/>
        <item x="42"/>
        <item x="53"/>
        <item x="45"/>
        <item x="61"/>
        <item x="63"/>
        <item x="65"/>
        <item x="48"/>
        <item x="67"/>
        <item x="64"/>
        <item x="79"/>
        <item x="78"/>
        <item x="66"/>
        <item x="80"/>
        <item x="82"/>
        <item x="68"/>
        <item x="81"/>
        <item x="77"/>
        <item x="74"/>
        <item x="76"/>
        <item x="71"/>
        <item x="75"/>
        <item x="70"/>
        <item x="73"/>
        <item x="83"/>
        <item x="86"/>
        <item x="85"/>
        <item x="88"/>
        <item x="72"/>
        <item x="69"/>
        <item x="87"/>
        <item x="90"/>
        <item x="84"/>
        <item x="89"/>
        <item x="92"/>
        <item x="113"/>
        <item x="110"/>
        <item x="93"/>
        <item x="107"/>
        <item x="105"/>
        <item x="112"/>
        <item x="109"/>
        <item x="106"/>
        <item x="104"/>
        <item x="115"/>
        <item x="108"/>
        <item x="111"/>
        <item x="96"/>
        <item x="119"/>
        <item x="102"/>
        <item x="114"/>
        <item x="118"/>
        <item x="95"/>
        <item x="91"/>
        <item x="117"/>
        <item x="99"/>
        <item x="116"/>
        <item x="103"/>
        <item x="98"/>
        <item x="120"/>
        <item x="101"/>
        <item x="122"/>
        <item x="133"/>
        <item x="130"/>
        <item x="94"/>
        <item x="135"/>
        <item x="132"/>
        <item x="136"/>
        <item x="137"/>
        <item x="134"/>
        <item x="131"/>
        <item x="128"/>
        <item x="138"/>
        <item x="129"/>
        <item x="140"/>
        <item x="142"/>
        <item x="123"/>
        <item x="141"/>
        <item x="97"/>
        <item x="121"/>
        <item x="100"/>
        <item x="144"/>
        <item x="139"/>
        <item x="143"/>
        <item x="158"/>
        <item x="125"/>
        <item x="127"/>
        <item x="156"/>
        <item x="161"/>
        <item x="153"/>
        <item x="146"/>
        <item x="155"/>
        <item x="157"/>
        <item x="164"/>
        <item x="154"/>
        <item x="147"/>
        <item x="145"/>
        <item x="126"/>
        <item x="150"/>
        <item x="124"/>
        <item x="152"/>
        <item x="151"/>
        <item x="162"/>
        <item x="149"/>
        <item x="167"/>
        <item x="159"/>
        <item x="148"/>
        <item x="170"/>
        <item x="165"/>
        <item x="160"/>
        <item x="173"/>
        <item x="168"/>
        <item x="163"/>
        <item x="171"/>
        <item x="166"/>
        <item x="169"/>
        <item x="172"/>
        <item x="175"/>
        <item x="184"/>
        <item x="176"/>
        <item x="186"/>
        <item x="174"/>
        <item x="178"/>
        <item x="189"/>
        <item x="181"/>
        <item x="185"/>
        <item x="187"/>
        <item x="190"/>
        <item x="188"/>
        <item x="183"/>
        <item x="179"/>
        <item x="192"/>
        <item x="182"/>
        <item x="193"/>
        <item x="177"/>
        <item x="191"/>
        <item x="180"/>
        <item x="195"/>
        <item x="196"/>
        <item x="194"/>
        <item x="201"/>
        <item x="202"/>
        <item x="197"/>
        <item x="199"/>
        <item x="200"/>
        <item x="198"/>
        <item x="210"/>
        <item x="224"/>
        <item x="213"/>
        <item x="226"/>
        <item x="212"/>
        <item x="207"/>
        <item x="221"/>
        <item x="219"/>
        <item x="216"/>
        <item x="215"/>
        <item x="227"/>
        <item x="223"/>
        <item x="204"/>
        <item x="209"/>
        <item x="218"/>
        <item x="225"/>
        <item x="229"/>
        <item x="206"/>
        <item x="211"/>
        <item x="214"/>
        <item x="222"/>
        <item x="217"/>
        <item x="220"/>
        <item x="252"/>
        <item x="205"/>
        <item x="228"/>
        <item x="208"/>
        <item x="231"/>
        <item x="254"/>
        <item x="232"/>
        <item x="253"/>
        <item x="251"/>
        <item x="247"/>
        <item x="235"/>
        <item x="234"/>
        <item x="256"/>
        <item x="249"/>
        <item x="237"/>
        <item x="244"/>
        <item x="250"/>
        <item x="241"/>
        <item x="230"/>
        <item x="243"/>
        <item x="271"/>
        <item x="233"/>
        <item x="238"/>
        <item x="246"/>
        <item x="248"/>
        <item x="255"/>
        <item x="236"/>
        <item x="272"/>
        <item x="273"/>
        <item x="240"/>
        <item x="281"/>
        <item x="278"/>
        <item x="242"/>
        <item x="287"/>
        <item x="257"/>
        <item x="284"/>
        <item x="245"/>
        <item x="276"/>
        <item x="283"/>
        <item x="275"/>
        <item x="288"/>
        <item x="280"/>
        <item x="260"/>
        <item x="259"/>
        <item x="268"/>
        <item x="239"/>
        <item x="289"/>
        <item x="261"/>
        <item x="286"/>
        <item x="282"/>
        <item x="270"/>
        <item x="279"/>
        <item x="274"/>
        <item x="290"/>
        <item x="262"/>
        <item x="277"/>
        <item x="285"/>
        <item x="258"/>
        <item x="264"/>
        <item x="269"/>
        <item x="265"/>
        <item x="267"/>
        <item x="263"/>
        <item x="266"/>
        <item x="203"/>
        <item t="default"/>
      </items>
    </pivotField>
    <pivotField showAll="0">
      <items count="284">
        <item x="13"/>
        <item x="14"/>
        <item x="12"/>
        <item x="10"/>
        <item x="11"/>
        <item x="9"/>
        <item x="0"/>
        <item x="16"/>
        <item x="6"/>
        <item x="2"/>
        <item x="3"/>
        <item x="17"/>
        <item x="20"/>
        <item x="8"/>
        <item x="69"/>
        <item x="22"/>
        <item x="19"/>
        <item x="23"/>
        <item x="15"/>
        <item x="24"/>
        <item x="21"/>
        <item x="5"/>
        <item x="1"/>
        <item x="7"/>
        <item x="26"/>
        <item x="65"/>
        <item x="18"/>
        <item x="43"/>
        <item x="68"/>
        <item x="25"/>
        <item x="70"/>
        <item x="46"/>
        <item x="76"/>
        <item x="47"/>
        <item x="44"/>
        <item x="45"/>
        <item x="27"/>
        <item x="53"/>
        <item x="51"/>
        <item x="66"/>
        <item x="4"/>
        <item x="67"/>
        <item x="52"/>
        <item x="48"/>
        <item x="50"/>
        <item x="49"/>
        <item x="42"/>
        <item x="54"/>
        <item x="29"/>
        <item x="64"/>
        <item x="62"/>
        <item x="55"/>
        <item x="75"/>
        <item x="30"/>
        <item x="33"/>
        <item x="39"/>
        <item x="77"/>
        <item x="71"/>
        <item x="41"/>
        <item x="63"/>
        <item x="36"/>
        <item x="74"/>
        <item x="40"/>
        <item x="72"/>
        <item x="78"/>
        <item x="57"/>
        <item x="73"/>
        <item x="59"/>
        <item x="38"/>
        <item x="28"/>
        <item x="56"/>
        <item x="79"/>
        <item x="91"/>
        <item x="32"/>
        <item x="89"/>
        <item x="61"/>
        <item x="35"/>
        <item x="92"/>
        <item x="37"/>
        <item x="90"/>
        <item x="81"/>
        <item x="88"/>
        <item x="94"/>
        <item x="117"/>
        <item x="115"/>
        <item x="58"/>
        <item x="82"/>
        <item x="60"/>
        <item x="116"/>
        <item x="93"/>
        <item x="80"/>
        <item x="85"/>
        <item x="118"/>
        <item x="119"/>
        <item x="96"/>
        <item x="114"/>
        <item x="31"/>
        <item x="84"/>
        <item x="87"/>
        <item x="113"/>
        <item x="112"/>
        <item x="121"/>
        <item x="97"/>
        <item x="123"/>
        <item x="120"/>
        <item x="34"/>
        <item x="122"/>
        <item x="104"/>
        <item x="105"/>
        <item x="86"/>
        <item x="102"/>
        <item x="103"/>
        <item x="143"/>
        <item x="95"/>
        <item x="124"/>
        <item x="126"/>
        <item x="125"/>
        <item x="101"/>
        <item x="109"/>
        <item x="83"/>
        <item x="111"/>
        <item x="99"/>
        <item x="110"/>
        <item x="152"/>
        <item x="108"/>
        <item x="155"/>
        <item x="145"/>
        <item x="100"/>
        <item x="144"/>
        <item x="106"/>
        <item x="168"/>
        <item x="154"/>
        <item x="107"/>
        <item x="153"/>
        <item x="140"/>
        <item x="147"/>
        <item x="142"/>
        <item x="169"/>
        <item x="170"/>
        <item x="98"/>
        <item x="146"/>
        <item x="158"/>
        <item x="156"/>
        <item x="159"/>
        <item x="157"/>
        <item x="151"/>
        <item x="162"/>
        <item x="141"/>
        <item x="172"/>
        <item x="175"/>
        <item x="167"/>
        <item x="161"/>
        <item x="149"/>
        <item x="150"/>
        <item x="148"/>
        <item x="177"/>
        <item x="137"/>
        <item x="139"/>
        <item x="164"/>
        <item x="138"/>
        <item x="171"/>
        <item x="127"/>
        <item x="136"/>
        <item x="174"/>
        <item x="160"/>
        <item x="178"/>
        <item x="166"/>
        <item x="176"/>
        <item x="173"/>
        <item x="180"/>
        <item x="129"/>
        <item x="163"/>
        <item x="134"/>
        <item x="135"/>
        <item x="133"/>
        <item x="179"/>
        <item x="130"/>
        <item x="132"/>
        <item x="165"/>
        <item x="182"/>
        <item x="131"/>
        <item x="128"/>
        <item x="195"/>
        <item x="192"/>
        <item x="194"/>
        <item x="181"/>
        <item x="197"/>
        <item x="193"/>
        <item x="199"/>
        <item x="183"/>
        <item x="203"/>
        <item x="189"/>
        <item x="185"/>
        <item x="201"/>
        <item x="191"/>
        <item x="196"/>
        <item x="205"/>
        <item x="190"/>
        <item x="186"/>
        <item x="184"/>
        <item x="202"/>
        <item x="200"/>
        <item x="188"/>
        <item x="187"/>
        <item x="204"/>
        <item x="206"/>
        <item x="208"/>
        <item x="255"/>
        <item x="219"/>
        <item x="222"/>
        <item x="221"/>
        <item x="254"/>
        <item x="253"/>
        <item x="224"/>
        <item x="220"/>
        <item x="207"/>
        <item x="223"/>
        <item x="251"/>
        <item x="252"/>
        <item x="250"/>
        <item x="216"/>
        <item x="261"/>
        <item x="225"/>
        <item x="218"/>
        <item x="264"/>
        <item x="263"/>
        <item x="256"/>
        <item x="266"/>
        <item x="217"/>
        <item x="238"/>
        <item x="227"/>
        <item x="262"/>
        <item x="257"/>
        <item x="265"/>
        <item x="280"/>
        <item x="239"/>
        <item x="240"/>
        <item x="209"/>
        <item x="267"/>
        <item x="237"/>
        <item x="279"/>
        <item x="236"/>
        <item x="226"/>
        <item x="282"/>
        <item x="212"/>
        <item x="211"/>
        <item x="277"/>
        <item x="235"/>
        <item x="258"/>
        <item x="260"/>
        <item x="214"/>
        <item x="241"/>
        <item x="247"/>
        <item x="249"/>
        <item x="248"/>
        <item x="234"/>
        <item x="259"/>
        <item x="281"/>
        <item x="210"/>
        <item x="278"/>
        <item x="243"/>
        <item x="244"/>
        <item x="213"/>
        <item x="215"/>
        <item x="246"/>
        <item x="228"/>
        <item x="242"/>
        <item x="245"/>
        <item x="268"/>
        <item x="231"/>
        <item x="230"/>
        <item x="270"/>
        <item x="233"/>
        <item x="229"/>
        <item x="269"/>
        <item x="232"/>
        <item x="271"/>
        <item x="273"/>
        <item x="272"/>
        <item x="274"/>
        <item x="276"/>
        <item x="275"/>
        <item x="198"/>
        <item t="default"/>
      </items>
    </pivotField>
    <pivotField showAll="0">
      <items count="270">
        <item x="1"/>
        <item x="4"/>
        <item x="6"/>
        <item x="2"/>
        <item x="9"/>
        <item x="0"/>
        <item x="7"/>
        <item x="3"/>
        <item x="12"/>
        <item x="5"/>
        <item x="10"/>
        <item x="8"/>
        <item x="13"/>
        <item x="15"/>
        <item x="11"/>
        <item x="16"/>
        <item x="14"/>
        <item x="18"/>
        <item x="17"/>
        <item x="20"/>
        <item x="19"/>
        <item x="24"/>
        <item x="22"/>
        <item x="21"/>
        <item x="25"/>
        <item x="23"/>
        <item x="27"/>
        <item x="28"/>
        <item x="26"/>
        <item x="30"/>
        <item x="32"/>
        <item x="29"/>
        <item x="33"/>
        <item x="31"/>
        <item x="34"/>
        <item x="36"/>
        <item x="35"/>
        <item x="37"/>
        <item x="38"/>
        <item x="39"/>
        <item x="40"/>
        <item x="42"/>
        <item x="41"/>
        <item x="43"/>
        <item x="45"/>
        <item x="44"/>
        <item x="46"/>
        <item x="48"/>
        <item x="47"/>
        <item x="49"/>
        <item x="51"/>
        <item x="50"/>
        <item x="52"/>
        <item x="54"/>
        <item x="53"/>
        <item x="55"/>
        <item x="57"/>
        <item x="59"/>
        <item x="56"/>
        <item x="58"/>
        <item x="61"/>
        <item x="60"/>
        <item x="63"/>
        <item x="64"/>
        <item x="62"/>
        <item x="66"/>
        <item x="65"/>
        <item x="68"/>
        <item x="69"/>
        <item x="67"/>
        <item x="71"/>
        <item x="70"/>
        <item x="76"/>
        <item x="73"/>
        <item x="74"/>
        <item x="77"/>
        <item x="83"/>
        <item x="72"/>
        <item x="75"/>
        <item x="79"/>
        <item x="81"/>
        <item x="78"/>
        <item x="80"/>
        <item x="82"/>
        <item x="88"/>
        <item x="90"/>
        <item x="84"/>
        <item x="86"/>
        <item x="91"/>
        <item x="85"/>
        <item x="95"/>
        <item x="89"/>
        <item x="87"/>
        <item x="93"/>
        <item x="98"/>
        <item x="92"/>
        <item x="96"/>
        <item x="101"/>
        <item x="104"/>
        <item x="94"/>
        <item x="99"/>
        <item x="109"/>
        <item x="112"/>
        <item x="115"/>
        <item x="102"/>
        <item x="97"/>
        <item x="105"/>
        <item x="107"/>
        <item x="100"/>
        <item x="110"/>
        <item x="121"/>
        <item x="113"/>
        <item x="116"/>
        <item x="103"/>
        <item x="118"/>
        <item x="106"/>
        <item x="120"/>
        <item x="108"/>
        <item x="111"/>
        <item x="114"/>
        <item x="117"/>
        <item x="124"/>
        <item x="119"/>
        <item x="126"/>
        <item x="122"/>
        <item x="127"/>
        <item x="123"/>
        <item x="131"/>
        <item x="129"/>
        <item x="125"/>
        <item x="133"/>
        <item x="128"/>
        <item x="136"/>
        <item x="130"/>
        <item x="138"/>
        <item x="134"/>
        <item x="144"/>
        <item x="132"/>
        <item x="148"/>
        <item x="137"/>
        <item x="151"/>
        <item x="139"/>
        <item x="145"/>
        <item x="141"/>
        <item x="143"/>
        <item x="146"/>
        <item x="135"/>
        <item x="149"/>
        <item x="161"/>
        <item x="160"/>
        <item x="140"/>
        <item x="142"/>
        <item x="152"/>
        <item x="162"/>
        <item x="154"/>
        <item x="147"/>
        <item x="156"/>
        <item x="158"/>
        <item x="150"/>
        <item x="153"/>
        <item x="163"/>
        <item x="155"/>
        <item x="157"/>
        <item x="159"/>
        <item x="164"/>
        <item x="166"/>
        <item x="165"/>
        <item x="167"/>
        <item x="169"/>
        <item x="168"/>
        <item x="171"/>
        <item x="173"/>
        <item x="170"/>
        <item x="176"/>
        <item x="174"/>
        <item x="172"/>
        <item x="177"/>
        <item x="175"/>
        <item x="179"/>
        <item x="180"/>
        <item x="178"/>
        <item x="182"/>
        <item x="183"/>
        <item x="181"/>
        <item x="185"/>
        <item x="186"/>
        <item x="184"/>
        <item x="188"/>
        <item x="189"/>
        <item x="187"/>
        <item x="193"/>
        <item x="194"/>
        <item x="196"/>
        <item x="197"/>
        <item x="198"/>
        <item x="195"/>
        <item x="199"/>
        <item x="201"/>
        <item x="200"/>
        <item x="202"/>
        <item x="205"/>
        <item x="204"/>
        <item x="206"/>
        <item x="207"/>
        <item x="203"/>
        <item x="209"/>
        <item x="191"/>
        <item x="190"/>
        <item x="210"/>
        <item x="208"/>
        <item x="212"/>
        <item x="213"/>
        <item x="211"/>
        <item x="214"/>
        <item x="216"/>
        <item x="219"/>
        <item x="215"/>
        <item x="218"/>
        <item x="221"/>
        <item x="220"/>
        <item x="217"/>
        <item x="223"/>
        <item x="222"/>
        <item x="224"/>
        <item x="226"/>
        <item x="225"/>
        <item x="228"/>
        <item x="227"/>
        <item x="230"/>
        <item x="229"/>
        <item x="231"/>
        <item x="233"/>
        <item x="232"/>
        <item x="234"/>
        <item x="236"/>
        <item x="235"/>
        <item x="237"/>
        <item x="239"/>
        <item x="238"/>
        <item x="241"/>
        <item x="242"/>
        <item x="240"/>
        <item x="244"/>
        <item x="243"/>
        <item x="245"/>
        <item x="247"/>
        <item x="246"/>
        <item x="248"/>
        <item x="250"/>
        <item x="249"/>
        <item x="251"/>
        <item x="252"/>
        <item x="253"/>
        <item x="254"/>
        <item x="256"/>
        <item x="255"/>
        <item x="257"/>
        <item x="259"/>
        <item x="258"/>
        <item x="260"/>
        <item x="262"/>
        <item x="261"/>
        <item x="263"/>
        <item x="265"/>
        <item x="264"/>
        <item x="267"/>
        <item x="268"/>
        <item x="266"/>
        <item x="192"/>
        <item t="default"/>
      </items>
    </pivotField>
    <pivotField showAll="0">
      <items count="258">
        <item x="18"/>
        <item x="16"/>
        <item x="13"/>
        <item x="23"/>
        <item x="10"/>
        <item x="25"/>
        <item x="33"/>
        <item x="7"/>
        <item x="36"/>
        <item x="32"/>
        <item x="50"/>
        <item x="39"/>
        <item x="27"/>
        <item x="1"/>
        <item x="4"/>
        <item x="46"/>
        <item x="14"/>
        <item x="17"/>
        <item x="19"/>
        <item x="11"/>
        <item x="21"/>
        <item x="57"/>
        <item x="8"/>
        <item x="2"/>
        <item x="61"/>
        <item x="12"/>
        <item x="5"/>
        <item x="9"/>
        <item x="15"/>
        <item x="64"/>
        <item x="0"/>
        <item x="6"/>
        <item x="67"/>
        <item x="20"/>
        <item x="34"/>
        <item x="3"/>
        <item x="28"/>
        <item x="37"/>
        <item x="72"/>
        <item x="30"/>
        <item x="22"/>
        <item x="51"/>
        <item x="24"/>
        <item x="42"/>
        <item x="44"/>
        <item x="47"/>
        <item x="83"/>
        <item x="53"/>
        <item x="26"/>
        <item x="31"/>
        <item x="55"/>
        <item x="58"/>
        <item x="35"/>
        <item x="29"/>
        <item x="87"/>
        <item x="38"/>
        <item x="62"/>
        <item x="76"/>
        <item x="40"/>
        <item x="49"/>
        <item x="41"/>
        <item x="43"/>
        <item x="48"/>
        <item x="45"/>
        <item x="68"/>
        <item x="52"/>
        <item x="65"/>
        <item x="70"/>
        <item x="54"/>
        <item x="56"/>
        <item x="59"/>
        <item x="60"/>
        <item x="98"/>
        <item x="74"/>
        <item x="109"/>
        <item x="66"/>
        <item x="69"/>
        <item x="63"/>
        <item x="104"/>
        <item x="85"/>
        <item x="71"/>
        <item x="84"/>
        <item x="77"/>
        <item x="88"/>
        <item x="116"/>
        <item x="79"/>
        <item x="81"/>
        <item x="73"/>
        <item x="118"/>
        <item x="121"/>
        <item x="91"/>
        <item x="123"/>
        <item x="125"/>
        <item x="130"/>
        <item x="93"/>
        <item x="95"/>
        <item x="132"/>
        <item x="75"/>
        <item x="99"/>
        <item x="110"/>
        <item x="86"/>
        <item x="78"/>
        <item x="108"/>
        <item x="82"/>
        <item x="89"/>
        <item x="106"/>
        <item x="80"/>
        <item x="115"/>
        <item x="102"/>
        <item x="105"/>
        <item x="141"/>
        <item x="90"/>
        <item x="92"/>
        <item x="94"/>
        <item x="122"/>
        <item x="112"/>
        <item x="113"/>
        <item x="96"/>
        <item x="111"/>
        <item x="126"/>
        <item x="97"/>
        <item x="107"/>
        <item x="114"/>
        <item x="147"/>
        <item x="100"/>
        <item x="138"/>
        <item x="101"/>
        <item x="103"/>
        <item x="133"/>
        <item x="142"/>
        <item x="149"/>
        <item x="135"/>
        <item x="120"/>
        <item x="117"/>
        <item x="119"/>
        <item x="124"/>
        <item x="127"/>
        <item x="137"/>
        <item x="128"/>
        <item x="129"/>
        <item x="136"/>
        <item x="139"/>
        <item x="140"/>
        <item x="134"/>
        <item x="143"/>
        <item x="131"/>
        <item x="144"/>
        <item x="145"/>
        <item x="150"/>
        <item x="146"/>
        <item x="152"/>
        <item x="155"/>
        <item x="148"/>
        <item x="153"/>
        <item x="158"/>
        <item x="156"/>
        <item x="160"/>
        <item x="151"/>
        <item x="164"/>
        <item x="157"/>
        <item x="167"/>
        <item x="154"/>
        <item x="170"/>
        <item x="161"/>
        <item x="172"/>
        <item x="165"/>
        <item x="159"/>
        <item x="168"/>
        <item x="175"/>
        <item x="163"/>
        <item x="166"/>
        <item x="173"/>
        <item x="169"/>
        <item x="178"/>
        <item x="171"/>
        <item x="176"/>
        <item x="181"/>
        <item x="174"/>
        <item x="179"/>
        <item x="177"/>
        <item x="182"/>
        <item x="184"/>
        <item x="180"/>
        <item x="187"/>
        <item x="185"/>
        <item x="190"/>
        <item x="183"/>
        <item x="188"/>
        <item x="255"/>
        <item x="186"/>
        <item x="252"/>
        <item x="193"/>
        <item x="256"/>
        <item x="191"/>
        <item x="199"/>
        <item x="215"/>
        <item x="217"/>
        <item x="196"/>
        <item x="254"/>
        <item x="212"/>
        <item x="253"/>
        <item x="202"/>
        <item x="189"/>
        <item x="209"/>
        <item x="206"/>
        <item x="239"/>
        <item x="246"/>
        <item x="251"/>
        <item x="194"/>
        <item x="244"/>
        <item x="250"/>
        <item x="237"/>
        <item x="220"/>
        <item x="200"/>
        <item x="234"/>
        <item x="249"/>
        <item x="248"/>
        <item x="197"/>
        <item x="192"/>
        <item x="216"/>
        <item x="232"/>
        <item x="218"/>
        <item x="223"/>
        <item x="240"/>
        <item x="247"/>
        <item x="213"/>
        <item x="203"/>
        <item x="245"/>
        <item x="229"/>
        <item x="198"/>
        <item x="242"/>
        <item x="226"/>
        <item x="210"/>
        <item x="195"/>
        <item x="207"/>
        <item x="201"/>
        <item x="238"/>
        <item x="235"/>
        <item x="214"/>
        <item x="243"/>
        <item x="241"/>
        <item x="236"/>
        <item x="221"/>
        <item x="204"/>
        <item x="211"/>
        <item x="233"/>
        <item x="208"/>
        <item x="205"/>
        <item x="224"/>
        <item x="230"/>
        <item x="231"/>
        <item x="227"/>
        <item x="219"/>
        <item x="222"/>
        <item x="228"/>
        <item x="225"/>
        <item x="162"/>
        <item t="default"/>
      </items>
    </pivotField>
    <pivotField showAll="0">
      <items count="282">
        <item x="1"/>
        <item x="4"/>
        <item x="2"/>
        <item x="5"/>
        <item x="0"/>
        <item x="3"/>
        <item x="7"/>
        <item x="8"/>
        <item x="6"/>
        <item x="26"/>
        <item x="25"/>
        <item x="12"/>
        <item x="9"/>
        <item x="22"/>
        <item x="11"/>
        <item x="15"/>
        <item x="14"/>
        <item x="10"/>
        <item x="23"/>
        <item x="27"/>
        <item x="29"/>
        <item x="18"/>
        <item x="13"/>
        <item x="17"/>
        <item x="21"/>
        <item x="24"/>
        <item x="20"/>
        <item x="33"/>
        <item x="16"/>
        <item x="19"/>
        <item x="32"/>
        <item x="30"/>
        <item x="34"/>
        <item x="35"/>
        <item x="36"/>
        <item x="31"/>
        <item x="28"/>
        <item x="38"/>
        <item x="96"/>
        <item x="39"/>
        <item x="95"/>
        <item x="37"/>
        <item x="99"/>
        <item x="93"/>
        <item x="66"/>
        <item x="69"/>
        <item x="61"/>
        <item x="64"/>
        <item x="58"/>
        <item x="90"/>
        <item x="71"/>
        <item x="85"/>
        <item x="87"/>
        <item x="55"/>
        <item x="97"/>
        <item x="40"/>
        <item x="62"/>
        <item x="46"/>
        <item x="42"/>
        <item x="67"/>
        <item x="43"/>
        <item x="59"/>
        <item x="94"/>
        <item x="41"/>
        <item x="56"/>
        <item x="72"/>
        <item x="45"/>
        <item x="91"/>
        <item x="48"/>
        <item x="86"/>
        <item x="63"/>
        <item x="60"/>
        <item x="57"/>
        <item x="88"/>
        <item x="49"/>
        <item x="44"/>
        <item x="118"/>
        <item x="68"/>
        <item x="119"/>
        <item x="51"/>
        <item x="54"/>
        <item x="84"/>
        <item x="65"/>
        <item x="74"/>
        <item x="77"/>
        <item x="70"/>
        <item x="53"/>
        <item x="47"/>
        <item x="122"/>
        <item x="92"/>
        <item x="98"/>
        <item x="89"/>
        <item x="80"/>
        <item x="75"/>
        <item x="78"/>
        <item x="52"/>
        <item x="81"/>
        <item x="120"/>
        <item x="83"/>
        <item x="79"/>
        <item x="82"/>
        <item x="102"/>
        <item x="50"/>
        <item x="150"/>
        <item x="76"/>
        <item x="73"/>
        <item x="115"/>
        <item x="101"/>
        <item x="148"/>
        <item x="130"/>
        <item x="123"/>
        <item x="177"/>
        <item x="105"/>
        <item x="117"/>
        <item x="111"/>
        <item x="103"/>
        <item x="113"/>
        <item x="145"/>
        <item x="106"/>
        <item x="125"/>
        <item x="116"/>
        <item x="108"/>
        <item x="133"/>
        <item x="104"/>
        <item x="140"/>
        <item x="178"/>
        <item x="128"/>
        <item x="109"/>
        <item x="131"/>
        <item x="100"/>
        <item x="126"/>
        <item x="114"/>
        <item x="107"/>
        <item x="121"/>
        <item x="112"/>
        <item x="135"/>
        <item x="174"/>
        <item x="124"/>
        <item x="129"/>
        <item x="171"/>
        <item x="110"/>
        <item x="197"/>
        <item x="132"/>
        <item x="151"/>
        <item x="143"/>
        <item x="127"/>
        <item x="146"/>
        <item x="175"/>
        <item x="137"/>
        <item x="176"/>
        <item x="153"/>
        <item x="141"/>
        <item x="198"/>
        <item x="196"/>
        <item x="181"/>
        <item x="179"/>
        <item x="188"/>
        <item x="134"/>
        <item x="194"/>
        <item x="195"/>
        <item x="173"/>
        <item x="172"/>
        <item x="138"/>
        <item x="191"/>
        <item x="211"/>
        <item x="155"/>
        <item x="169"/>
        <item x="184"/>
        <item x="180"/>
        <item x="190"/>
        <item x="142"/>
        <item x="183"/>
        <item x="202"/>
        <item x="205"/>
        <item x="147"/>
        <item x="144"/>
        <item x="193"/>
        <item x="212"/>
        <item x="139"/>
        <item x="149"/>
        <item x="136"/>
        <item x="210"/>
        <item x="192"/>
        <item x="152"/>
        <item x="214"/>
        <item x="166"/>
        <item x="189"/>
        <item x="199"/>
        <item x="157"/>
        <item x="186"/>
        <item x="204"/>
        <item x="209"/>
        <item x="170"/>
        <item x="216"/>
        <item x="182"/>
        <item x="208"/>
        <item x="160"/>
        <item x="242"/>
        <item x="167"/>
        <item x="201"/>
        <item x="239"/>
        <item x="163"/>
        <item x="213"/>
        <item x="233"/>
        <item x="154"/>
        <item x="164"/>
        <item x="165"/>
        <item x="158"/>
        <item x="218"/>
        <item x="187"/>
        <item x="215"/>
        <item x="162"/>
        <item x="168"/>
        <item x="203"/>
        <item x="161"/>
        <item x="185"/>
        <item x="241"/>
        <item x="206"/>
        <item x="207"/>
        <item x="243"/>
        <item x="270"/>
        <item x="156"/>
        <item x="238"/>
        <item x="235"/>
        <item x="232"/>
        <item x="217"/>
        <item x="159"/>
        <item x="245"/>
        <item x="228"/>
        <item x="269"/>
        <item x="240"/>
        <item x="225"/>
        <item x="265"/>
        <item x="236"/>
        <item x="268"/>
        <item x="244"/>
        <item x="237"/>
        <item x="271"/>
        <item x="219"/>
        <item x="267"/>
        <item x="234"/>
        <item x="231"/>
        <item x="263"/>
        <item x="222"/>
        <item x="266"/>
        <item x="264"/>
        <item x="230"/>
        <item x="260"/>
        <item x="221"/>
        <item x="227"/>
        <item x="262"/>
        <item x="252"/>
        <item x="224"/>
        <item x="272"/>
        <item x="261"/>
        <item x="249"/>
        <item x="220"/>
        <item x="278"/>
        <item x="257"/>
        <item x="274"/>
        <item x="254"/>
        <item x="246"/>
        <item x="229"/>
        <item x="251"/>
        <item x="226"/>
        <item x="273"/>
        <item x="280"/>
        <item x="223"/>
        <item x="248"/>
        <item x="259"/>
        <item x="275"/>
        <item x="253"/>
        <item x="256"/>
        <item x="250"/>
        <item x="279"/>
        <item x="247"/>
        <item x="277"/>
        <item x="258"/>
        <item x="276"/>
        <item x="255"/>
        <item x="200"/>
        <item t="default"/>
      </items>
    </pivotField>
    <pivotField showAll="0">
      <items count="313">
        <item x="6"/>
        <item x="0"/>
        <item x="2"/>
        <item x="3"/>
        <item x="1"/>
        <item x="5"/>
        <item x="8"/>
        <item x="7"/>
        <item x="4"/>
        <item x="10"/>
        <item x="11"/>
        <item x="9"/>
        <item x="38"/>
        <item x="13"/>
        <item x="41"/>
        <item x="39"/>
        <item x="37"/>
        <item x="42"/>
        <item x="40"/>
        <item x="14"/>
        <item x="134"/>
        <item x="35"/>
        <item x="136"/>
        <item x="135"/>
        <item x="138"/>
        <item x="139"/>
        <item x="133"/>
        <item x="137"/>
        <item x="43"/>
        <item x="45"/>
        <item x="131"/>
        <item x="44"/>
        <item x="140"/>
        <item x="36"/>
        <item x="142"/>
        <item x="12"/>
        <item x="143"/>
        <item x="34"/>
        <item x="47"/>
        <item x="132"/>
        <item x="144"/>
        <item x="16"/>
        <item x="46"/>
        <item x="141"/>
        <item x="77"/>
        <item x="173"/>
        <item x="75"/>
        <item x="107"/>
        <item x="72"/>
        <item x="80"/>
        <item x="79"/>
        <item x="196"/>
        <item x="145"/>
        <item x="17"/>
        <item x="48"/>
        <item x="74"/>
        <item x="198"/>
        <item x="108"/>
        <item x="105"/>
        <item x="194"/>
        <item x="106"/>
        <item x="78"/>
        <item x="82"/>
        <item x="195"/>
        <item x="76"/>
        <item x="197"/>
        <item x="193"/>
        <item x="73"/>
        <item x="50"/>
        <item x="69"/>
        <item x="192"/>
        <item x="174"/>
        <item x="71"/>
        <item x="147"/>
        <item x="200"/>
        <item x="109"/>
        <item x="70"/>
        <item x="171"/>
        <item x="111"/>
        <item x="172"/>
        <item x="83"/>
        <item x="81"/>
        <item x="191"/>
        <item x="110"/>
        <item x="169"/>
        <item x="49"/>
        <item x="175"/>
        <item x="170"/>
        <item x="254"/>
        <item x="20"/>
        <item x="85"/>
        <item x="19"/>
        <item x="102"/>
        <item x="66"/>
        <item x="68"/>
        <item x="203"/>
        <item x="86"/>
        <item x="304"/>
        <item x="67"/>
        <item x="199"/>
        <item x="104"/>
        <item x="112"/>
        <item x="130"/>
        <item x="129"/>
        <item x="146"/>
        <item x="168"/>
        <item x="308"/>
        <item x="302"/>
        <item x="202"/>
        <item x="176"/>
        <item x="15"/>
        <item x="178"/>
        <item x="177"/>
        <item x="103"/>
        <item x="257"/>
        <item x="32"/>
        <item x="88"/>
        <item x="190"/>
        <item x="33"/>
        <item x="100"/>
        <item x="31"/>
        <item x="84"/>
        <item x="189"/>
        <item x="187"/>
        <item x="256"/>
        <item x="310"/>
        <item x="232"/>
        <item x="101"/>
        <item x="126"/>
        <item x="184"/>
        <item x="123"/>
        <item x="250"/>
        <item x="186"/>
        <item x="51"/>
        <item x="299"/>
        <item x="166"/>
        <item x="125"/>
        <item x="128"/>
        <item x="185"/>
        <item x="113"/>
        <item x="148"/>
        <item x="167"/>
        <item x="22"/>
        <item x="63"/>
        <item x="165"/>
        <item x="227"/>
        <item x="65"/>
        <item x="114"/>
        <item x="306"/>
        <item x="260"/>
        <item x="124"/>
        <item x="188"/>
        <item x="64"/>
        <item x="87"/>
        <item x="89"/>
        <item x="263"/>
        <item x="23"/>
        <item x="179"/>
        <item x="153"/>
        <item x="127"/>
        <item x="97"/>
        <item x="60"/>
        <item x="259"/>
        <item x="278"/>
        <item x="181"/>
        <item x="207"/>
        <item x="182"/>
        <item x="233"/>
        <item x="155"/>
        <item x="62"/>
        <item x="120"/>
        <item x="156"/>
        <item x="183"/>
        <item x="91"/>
        <item x="53"/>
        <item x="117"/>
        <item x="99"/>
        <item x="57"/>
        <item x="92"/>
        <item x="122"/>
        <item x="180"/>
        <item x="150"/>
        <item x="61"/>
        <item x="116"/>
        <item x="301"/>
        <item x="252"/>
        <item x="206"/>
        <item x="96"/>
        <item x="154"/>
        <item x="18"/>
        <item x="162"/>
        <item x="54"/>
        <item x="201"/>
        <item x="164"/>
        <item x="59"/>
        <item x="94"/>
        <item x="265"/>
        <item x="158"/>
        <item x="229"/>
        <item x="151"/>
        <item x="163"/>
        <item x="210"/>
        <item x="121"/>
        <item x="262"/>
        <item x="98"/>
        <item x="25"/>
        <item x="224"/>
        <item x="119"/>
        <item x="90"/>
        <item x="95"/>
        <item x="253"/>
        <item x="281"/>
        <item x="255"/>
        <item x="279"/>
        <item x="228"/>
        <item x="284"/>
        <item x="209"/>
        <item x="159"/>
        <item x="56"/>
        <item x="93"/>
        <item x="58"/>
        <item x="277"/>
        <item x="204"/>
        <item x="266"/>
        <item x="226"/>
        <item x="234"/>
        <item x="27"/>
        <item x="297"/>
        <item x="272"/>
        <item x="52"/>
        <item x="289"/>
        <item x="157"/>
        <item x="115"/>
        <item x="161"/>
        <item x="24"/>
        <item x="283"/>
        <item x="149"/>
        <item x="303"/>
        <item x="305"/>
        <item x="307"/>
        <item x="258"/>
        <item x="291"/>
        <item x="21"/>
        <item x="28"/>
        <item x="300"/>
        <item x="212"/>
        <item x="118"/>
        <item x="152"/>
        <item x="309"/>
        <item x="230"/>
        <item x="205"/>
        <item x="251"/>
        <item x="225"/>
        <item x="55"/>
        <item x="288"/>
        <item x="286"/>
        <item x="30"/>
        <item x="264"/>
        <item x="26"/>
        <item x="269"/>
        <item x="294"/>
        <item x="311"/>
        <item x="160"/>
        <item x="268"/>
        <item x="261"/>
        <item x="237"/>
        <item x="247"/>
        <item x="274"/>
        <item x="214"/>
        <item x="208"/>
        <item x="280"/>
        <item x="215"/>
        <item x="221"/>
        <item x="293"/>
        <item x="235"/>
        <item x="211"/>
        <item x="29"/>
        <item x="249"/>
        <item x="223"/>
        <item x="276"/>
        <item x="271"/>
        <item x="217"/>
        <item x="296"/>
        <item x="238"/>
        <item x="236"/>
        <item x="282"/>
        <item x="275"/>
        <item x="298"/>
        <item x="248"/>
        <item x="213"/>
        <item x="222"/>
        <item x="287"/>
        <item x="240"/>
        <item x="218"/>
        <item x="285"/>
        <item x="290"/>
        <item x="267"/>
        <item x="216"/>
        <item x="220"/>
        <item x="273"/>
        <item x="292"/>
        <item x="241"/>
        <item x="244"/>
        <item x="239"/>
        <item x="295"/>
        <item x="270"/>
        <item x="243"/>
        <item x="246"/>
        <item x="219"/>
        <item x="245"/>
        <item x="242"/>
        <item x="231"/>
        <item t="default"/>
      </items>
    </pivotField>
    <pivotField showAll="0">
      <items count="266">
        <item x="7"/>
        <item x="4"/>
        <item x="9"/>
        <item x="18"/>
        <item x="8"/>
        <item x="15"/>
        <item x="10"/>
        <item x="5"/>
        <item x="12"/>
        <item x="6"/>
        <item x="1"/>
        <item x="3"/>
        <item x="2"/>
        <item x="0"/>
        <item x="13"/>
        <item x="16"/>
        <item x="19"/>
        <item x="11"/>
        <item x="14"/>
        <item x="22"/>
        <item x="17"/>
        <item x="28"/>
        <item x="20"/>
        <item x="24"/>
        <item x="21"/>
        <item x="26"/>
        <item x="29"/>
        <item x="23"/>
        <item x="31"/>
        <item x="25"/>
        <item x="27"/>
        <item x="30"/>
        <item x="32"/>
        <item x="33"/>
        <item x="34"/>
        <item x="36"/>
        <item x="37"/>
        <item x="169"/>
        <item x="39"/>
        <item x="35"/>
        <item x="38"/>
        <item x="41"/>
        <item x="40"/>
        <item x="176"/>
        <item x="174"/>
        <item x="166"/>
        <item x="42"/>
        <item x="44"/>
        <item x="45"/>
        <item x="43"/>
        <item x="178"/>
        <item x="48"/>
        <item x="47"/>
        <item x="50"/>
        <item x="51"/>
        <item x="54"/>
        <item x="46"/>
        <item x="161"/>
        <item x="53"/>
        <item x="49"/>
        <item x="179"/>
        <item x="56"/>
        <item x="181"/>
        <item x="158"/>
        <item x="59"/>
        <item x="58"/>
        <item x="52"/>
        <item x="155"/>
        <item x="62"/>
        <item x="55"/>
        <item x="182"/>
        <item x="183"/>
        <item x="61"/>
        <item x="177"/>
        <item x="180"/>
        <item x="170"/>
        <item x="65"/>
        <item x="172"/>
        <item x="184"/>
        <item x="153"/>
        <item x="167"/>
        <item x="64"/>
        <item x="57"/>
        <item x="145"/>
        <item x="151"/>
        <item x="68"/>
        <item x="185"/>
        <item x="148"/>
        <item x="164"/>
        <item x="143"/>
        <item x="67"/>
        <item x="186"/>
        <item x="60"/>
        <item x="175"/>
        <item x="162"/>
        <item x="168"/>
        <item x="171"/>
        <item x="173"/>
        <item x="63"/>
        <item x="159"/>
        <item x="188"/>
        <item x="140"/>
        <item x="189"/>
        <item x="165"/>
        <item x="187"/>
        <item x="191"/>
        <item x="156"/>
        <item x="163"/>
        <item x="193"/>
        <item x="192"/>
        <item x="160"/>
        <item x="196"/>
        <item x="70"/>
        <item x="190"/>
        <item x="194"/>
        <item x="154"/>
        <item x="66"/>
        <item x="137"/>
        <item x="197"/>
        <item x="157"/>
        <item x="71"/>
        <item x="195"/>
        <item x="152"/>
        <item x="199"/>
        <item x="146"/>
        <item x="149"/>
        <item x="198"/>
        <item x="144"/>
        <item x="74"/>
        <item x="200"/>
        <item x="201"/>
        <item x="132"/>
        <item x="141"/>
        <item x="150"/>
        <item x="147"/>
        <item x="203"/>
        <item x="73"/>
        <item x="77"/>
        <item x="142"/>
        <item x="138"/>
        <item x="202"/>
        <item x="76"/>
        <item x="206"/>
        <item x="207"/>
        <item x="139"/>
        <item x="205"/>
        <item x="135"/>
        <item x="204"/>
        <item x="136"/>
        <item x="80"/>
        <item x="69"/>
        <item x="129"/>
        <item x="133"/>
        <item x="79"/>
        <item x="134"/>
        <item x="131"/>
        <item x="72"/>
        <item x="217"/>
        <item x="75"/>
        <item x="218"/>
        <item x="215"/>
        <item x="82"/>
        <item x="208"/>
        <item x="212"/>
        <item x="210"/>
        <item x="209"/>
        <item x="214"/>
        <item x="216"/>
        <item x="213"/>
        <item x="130"/>
        <item x="83"/>
        <item x="126"/>
        <item x="219"/>
        <item x="78"/>
        <item x="221"/>
        <item x="128"/>
        <item x="225"/>
        <item x="220"/>
        <item x="227"/>
        <item x="228"/>
        <item x="127"/>
        <item x="226"/>
        <item x="223"/>
        <item x="224"/>
        <item x="86"/>
        <item x="229"/>
        <item x="98"/>
        <item x="222"/>
        <item x="125"/>
        <item x="89"/>
        <item x="101"/>
        <item x="95"/>
        <item x="243"/>
        <item x="245"/>
        <item x="234"/>
        <item x="244"/>
        <item x="92"/>
        <item x="239"/>
        <item x="236"/>
        <item x="238"/>
        <item x="241"/>
        <item x="100"/>
        <item x="242"/>
        <item x="237"/>
        <item x="247"/>
        <item x="235"/>
        <item x="246"/>
        <item x="230"/>
        <item x="240"/>
        <item x="85"/>
        <item x="81"/>
        <item x="232"/>
        <item x="231"/>
        <item x="104"/>
        <item x="233"/>
        <item x="248"/>
        <item x="250"/>
        <item x="249"/>
        <item x="97"/>
        <item x="103"/>
        <item x="123"/>
        <item x="124"/>
        <item x="251"/>
        <item x="252"/>
        <item x="107"/>
        <item x="253"/>
        <item x="255"/>
        <item x="254"/>
        <item x="121"/>
        <item x="118"/>
        <item x="99"/>
        <item x="116"/>
        <item x="257"/>
        <item x="94"/>
        <item x="259"/>
        <item x="260"/>
        <item x="256"/>
        <item x="261"/>
        <item x="88"/>
        <item x="258"/>
        <item x="91"/>
        <item x="106"/>
        <item x="110"/>
        <item x="120"/>
        <item x="113"/>
        <item x="262"/>
        <item x="264"/>
        <item x="117"/>
        <item x="109"/>
        <item x="263"/>
        <item x="122"/>
        <item x="115"/>
        <item x="119"/>
        <item x="96"/>
        <item x="102"/>
        <item x="112"/>
        <item x="114"/>
        <item x="105"/>
        <item x="93"/>
        <item x="108"/>
        <item x="84"/>
        <item x="111"/>
        <item x="90"/>
        <item x="87"/>
        <item x="211"/>
        <item t="default"/>
      </items>
    </pivotField>
    <pivotField showAll="0">
      <items count="206">
        <item x="66"/>
        <item x="63"/>
        <item x="69"/>
        <item x="72"/>
        <item x="61"/>
        <item x="70"/>
        <item x="67"/>
        <item x="59"/>
        <item x="64"/>
        <item x="56"/>
        <item x="73"/>
        <item x="68"/>
        <item x="76"/>
        <item x="65"/>
        <item x="54"/>
        <item x="75"/>
        <item x="71"/>
        <item x="62"/>
        <item x="74"/>
        <item x="51"/>
        <item x="60"/>
        <item x="33"/>
        <item x="57"/>
        <item x="48"/>
        <item x="36"/>
        <item x="78"/>
        <item x="31"/>
        <item x="55"/>
        <item x="79"/>
        <item x="58"/>
        <item x="77"/>
        <item x="45"/>
        <item x="52"/>
        <item x="28"/>
        <item x="80"/>
        <item x="82"/>
        <item x="53"/>
        <item x="49"/>
        <item x="81"/>
        <item x="34"/>
        <item x="25"/>
        <item x="37"/>
        <item x="43"/>
        <item x="50"/>
        <item x="22"/>
        <item x="38"/>
        <item x="83"/>
        <item x="47"/>
        <item x="46"/>
        <item x="20"/>
        <item x="84"/>
        <item x="19"/>
        <item x="32"/>
        <item x="35"/>
        <item x="17"/>
        <item x="14"/>
        <item x="29"/>
        <item x="30"/>
        <item x="11"/>
        <item x="8"/>
        <item x="44"/>
        <item x="26"/>
        <item x="6"/>
        <item x="23"/>
        <item x="39"/>
        <item x="27"/>
        <item x="12"/>
        <item x="15"/>
        <item x="18"/>
        <item x="9"/>
        <item x="24"/>
        <item x="10"/>
        <item x="4"/>
        <item x="21"/>
        <item x="42"/>
        <item x="13"/>
        <item x="7"/>
        <item x="16"/>
        <item x="41"/>
        <item x="40"/>
        <item x="5"/>
        <item x="1"/>
        <item x="147"/>
        <item x="3"/>
        <item x="2"/>
        <item x="86"/>
        <item x="0"/>
        <item x="87"/>
        <item x="161"/>
        <item x="150"/>
        <item x="89"/>
        <item x="90"/>
        <item x="162"/>
        <item x="85"/>
        <item x="163"/>
        <item x="148"/>
        <item x="92"/>
        <item x="93"/>
        <item x="160"/>
        <item x="144"/>
        <item x="165"/>
        <item x="159"/>
        <item x="88"/>
        <item x="164"/>
        <item x="95"/>
        <item x="157"/>
        <item x="166"/>
        <item x="146"/>
        <item x="156"/>
        <item x="91"/>
        <item x="96"/>
        <item x="183"/>
        <item x="154"/>
        <item x="149"/>
        <item x="158"/>
        <item x="172"/>
        <item x="167"/>
        <item x="155"/>
        <item x="98"/>
        <item x="99"/>
        <item x="169"/>
        <item x="94"/>
        <item x="102"/>
        <item x="152"/>
        <item x="170"/>
        <item x="145"/>
        <item x="101"/>
        <item x="185"/>
        <item x="168"/>
        <item x="104"/>
        <item x="141"/>
        <item x="151"/>
        <item x="107"/>
        <item x="186"/>
        <item x="97"/>
        <item x="153"/>
        <item x="108"/>
        <item x="180"/>
        <item x="171"/>
        <item x="100"/>
        <item x="143"/>
        <item x="178"/>
        <item x="103"/>
        <item x="106"/>
        <item x="105"/>
        <item x="182"/>
        <item x="184"/>
        <item x="142"/>
        <item x="110"/>
        <item x="175"/>
        <item x="177"/>
        <item x="176"/>
        <item x="112"/>
        <item x="140"/>
        <item x="181"/>
        <item x="109"/>
        <item x="115"/>
        <item x="139"/>
        <item x="114"/>
        <item x="179"/>
        <item x="194"/>
        <item x="117"/>
        <item x="118"/>
        <item x="138"/>
        <item x="121"/>
        <item x="195"/>
        <item x="196"/>
        <item x="198"/>
        <item x="189"/>
        <item x="120"/>
        <item x="111"/>
        <item x="123"/>
        <item x="188"/>
        <item x="173"/>
        <item x="197"/>
        <item x="124"/>
        <item x="199"/>
        <item x="113"/>
        <item x="187"/>
        <item x="126"/>
        <item x="192"/>
        <item x="137"/>
        <item x="116"/>
        <item x="122"/>
        <item x="119"/>
        <item x="201"/>
        <item x="128"/>
        <item x="193"/>
        <item x="130"/>
        <item x="125"/>
        <item x="190"/>
        <item x="132"/>
        <item x="136"/>
        <item x="127"/>
        <item x="200"/>
        <item x="129"/>
        <item x="133"/>
        <item x="131"/>
        <item x="203"/>
        <item x="135"/>
        <item x="191"/>
        <item x="202"/>
        <item x="134"/>
        <item x="204"/>
        <item x="174"/>
        <item t="default"/>
      </items>
    </pivotField>
    <pivotField showAll="0">
      <items count="283">
        <item x="1"/>
        <item x="3"/>
        <item x="6"/>
        <item x="2"/>
        <item x="4"/>
        <item x="7"/>
        <item x="0"/>
        <item x="8"/>
        <item x="5"/>
        <item x="9"/>
        <item x="10"/>
        <item x="12"/>
        <item x="11"/>
        <item x="13"/>
        <item x="15"/>
        <item x="14"/>
        <item x="17"/>
        <item x="18"/>
        <item x="20"/>
        <item x="16"/>
        <item x="21"/>
        <item x="24"/>
        <item x="23"/>
        <item x="19"/>
        <item x="26"/>
        <item x="27"/>
        <item x="22"/>
        <item x="29"/>
        <item x="25"/>
        <item x="30"/>
        <item x="33"/>
        <item x="28"/>
        <item x="36"/>
        <item x="32"/>
        <item x="39"/>
        <item x="35"/>
        <item x="42"/>
        <item x="38"/>
        <item x="45"/>
        <item x="41"/>
        <item x="31"/>
        <item x="48"/>
        <item x="44"/>
        <item x="34"/>
        <item x="51"/>
        <item x="47"/>
        <item x="37"/>
        <item x="40"/>
        <item x="50"/>
        <item x="54"/>
        <item x="57"/>
        <item x="43"/>
        <item x="53"/>
        <item x="62"/>
        <item x="65"/>
        <item x="46"/>
        <item x="56"/>
        <item x="68"/>
        <item x="59"/>
        <item x="61"/>
        <item x="49"/>
        <item x="71"/>
        <item x="64"/>
        <item x="67"/>
        <item x="74"/>
        <item x="76"/>
        <item x="52"/>
        <item x="70"/>
        <item x="78"/>
        <item x="73"/>
        <item x="55"/>
        <item x="77"/>
        <item x="58"/>
        <item x="81"/>
        <item x="80"/>
        <item x="60"/>
        <item x="86"/>
        <item x="63"/>
        <item x="66"/>
        <item x="83"/>
        <item x="85"/>
        <item x="69"/>
        <item x="88"/>
        <item x="75"/>
        <item x="72"/>
        <item x="93"/>
        <item x="90"/>
        <item x="79"/>
        <item x="96"/>
        <item x="99"/>
        <item x="92"/>
        <item x="82"/>
        <item x="102"/>
        <item x="105"/>
        <item x="95"/>
        <item x="108"/>
        <item x="84"/>
        <item x="98"/>
        <item x="110"/>
        <item x="87"/>
        <item x="101"/>
        <item x="113"/>
        <item x="144"/>
        <item x="104"/>
        <item x="107"/>
        <item x="142"/>
        <item x="139"/>
        <item x="116"/>
        <item x="89"/>
        <item x="147"/>
        <item x="119"/>
        <item x="146"/>
        <item x="112"/>
        <item x="136"/>
        <item x="91"/>
        <item x="133"/>
        <item x="115"/>
        <item x="141"/>
        <item x="126"/>
        <item x="130"/>
        <item x="94"/>
        <item x="152"/>
        <item x="148"/>
        <item x="154"/>
        <item x="118"/>
        <item x="155"/>
        <item x="145"/>
        <item x="138"/>
        <item x="121"/>
        <item x="153"/>
        <item x="149"/>
        <item x="157"/>
        <item x="97"/>
        <item x="135"/>
        <item x="123"/>
        <item x="159"/>
        <item x="167"/>
        <item x="125"/>
        <item x="161"/>
        <item x="100"/>
        <item x="132"/>
        <item x="103"/>
        <item x="143"/>
        <item x="156"/>
        <item x="106"/>
        <item x="129"/>
        <item x="158"/>
        <item x="109"/>
        <item x="150"/>
        <item x="164"/>
        <item x="151"/>
        <item x="168"/>
        <item x="166"/>
        <item x="163"/>
        <item x="160"/>
        <item x="162"/>
        <item x="140"/>
        <item x="165"/>
        <item x="111"/>
        <item x="170"/>
        <item x="169"/>
        <item x="172"/>
        <item x="137"/>
        <item x="171"/>
        <item x="114"/>
        <item x="174"/>
        <item x="117"/>
        <item x="134"/>
        <item x="175"/>
        <item x="173"/>
        <item x="120"/>
        <item x="122"/>
        <item x="131"/>
        <item x="176"/>
        <item x="124"/>
        <item x="127"/>
        <item x="128"/>
        <item x="178"/>
        <item x="179"/>
        <item x="177"/>
        <item x="181"/>
        <item x="182"/>
        <item x="180"/>
        <item x="184"/>
        <item x="187"/>
        <item x="185"/>
        <item x="190"/>
        <item x="183"/>
        <item x="188"/>
        <item x="186"/>
        <item x="191"/>
        <item x="189"/>
        <item x="193"/>
        <item x="192"/>
        <item x="196"/>
        <item x="197"/>
        <item x="195"/>
        <item x="198"/>
        <item x="200"/>
        <item x="199"/>
        <item x="202"/>
        <item x="201"/>
        <item x="204"/>
        <item x="205"/>
        <item x="207"/>
        <item x="203"/>
        <item x="212"/>
        <item x="214"/>
        <item x="216"/>
        <item x="208"/>
        <item x="206"/>
        <item x="217"/>
        <item x="210"/>
        <item x="213"/>
        <item x="215"/>
        <item x="209"/>
        <item x="211"/>
        <item x="219"/>
        <item x="222"/>
        <item x="226"/>
        <item x="230"/>
        <item x="233"/>
        <item x="220"/>
        <item x="224"/>
        <item x="223"/>
        <item x="227"/>
        <item x="231"/>
        <item x="234"/>
        <item x="218"/>
        <item x="225"/>
        <item x="221"/>
        <item x="228"/>
        <item x="236"/>
        <item x="229"/>
        <item x="232"/>
        <item x="235"/>
        <item x="238"/>
        <item x="240"/>
        <item x="237"/>
        <item x="241"/>
        <item x="243"/>
        <item x="239"/>
        <item x="244"/>
        <item x="246"/>
        <item x="242"/>
        <item x="247"/>
        <item x="249"/>
        <item x="245"/>
        <item x="252"/>
        <item x="250"/>
        <item x="255"/>
        <item x="248"/>
        <item x="253"/>
        <item x="251"/>
        <item x="258"/>
        <item x="256"/>
        <item x="254"/>
        <item x="259"/>
        <item x="257"/>
        <item x="263"/>
        <item x="261"/>
        <item x="266"/>
        <item x="260"/>
        <item x="264"/>
        <item x="269"/>
        <item x="262"/>
        <item x="267"/>
        <item x="272"/>
        <item x="265"/>
        <item x="270"/>
        <item x="268"/>
        <item x="277"/>
        <item x="273"/>
        <item x="275"/>
        <item x="271"/>
        <item x="280"/>
        <item x="274"/>
        <item x="278"/>
        <item x="276"/>
        <item x="281"/>
        <item x="279"/>
        <item x="194"/>
        <item t="default"/>
      </items>
    </pivotField>
    <pivotField showAll="0">
      <items count="269">
        <item x="0"/>
        <item x="2"/>
        <item x="1"/>
        <item x="4"/>
        <item x="5"/>
        <item x="3"/>
        <item x="7"/>
        <item x="8"/>
        <item x="6"/>
        <item x="10"/>
        <item x="11"/>
        <item x="13"/>
        <item x="9"/>
        <item x="15"/>
        <item x="12"/>
        <item x="17"/>
        <item x="18"/>
        <item x="14"/>
        <item x="20"/>
        <item x="16"/>
        <item x="22"/>
        <item x="19"/>
        <item x="21"/>
        <item x="24"/>
        <item x="23"/>
        <item x="25"/>
        <item x="26"/>
        <item x="32"/>
        <item x="28"/>
        <item x="27"/>
        <item x="30"/>
        <item x="33"/>
        <item x="29"/>
        <item x="31"/>
        <item x="35"/>
        <item x="34"/>
        <item x="37"/>
        <item x="40"/>
        <item x="36"/>
        <item x="43"/>
        <item x="41"/>
        <item x="38"/>
        <item x="44"/>
        <item x="39"/>
        <item x="42"/>
        <item x="47"/>
        <item x="48"/>
        <item x="45"/>
        <item x="46"/>
        <item x="54"/>
        <item x="57"/>
        <item x="49"/>
        <item x="60"/>
        <item x="50"/>
        <item x="52"/>
        <item x="55"/>
        <item x="65"/>
        <item x="58"/>
        <item x="51"/>
        <item x="53"/>
        <item x="70"/>
        <item x="61"/>
        <item x="56"/>
        <item x="63"/>
        <item x="66"/>
        <item x="59"/>
        <item x="68"/>
        <item x="78"/>
        <item x="81"/>
        <item x="71"/>
        <item x="64"/>
        <item x="62"/>
        <item x="67"/>
        <item x="89"/>
        <item x="74"/>
        <item x="69"/>
        <item x="76"/>
        <item x="96"/>
        <item x="72"/>
        <item x="99"/>
        <item x="79"/>
        <item x="82"/>
        <item x="73"/>
        <item x="104"/>
        <item x="75"/>
        <item x="106"/>
        <item x="85"/>
        <item x="111"/>
        <item x="87"/>
        <item x="77"/>
        <item x="90"/>
        <item x="120"/>
        <item x="80"/>
        <item x="83"/>
        <item x="92"/>
        <item x="123"/>
        <item x="84"/>
        <item x="94"/>
        <item x="127"/>
        <item x="129"/>
        <item x="97"/>
        <item x="86"/>
        <item x="100"/>
        <item x="88"/>
        <item x="132"/>
        <item x="102"/>
        <item x="137"/>
        <item x="138"/>
        <item x="107"/>
        <item x="109"/>
        <item x="91"/>
        <item x="112"/>
        <item x="114"/>
        <item x="141"/>
        <item x="116"/>
        <item x="146"/>
        <item x="93"/>
        <item x="152"/>
        <item x="118"/>
        <item x="131"/>
        <item x="98"/>
        <item x="95"/>
        <item x="155"/>
        <item x="103"/>
        <item x="101"/>
        <item x="125"/>
        <item x="105"/>
        <item x="160"/>
        <item x="133"/>
        <item x="108"/>
        <item x="135"/>
        <item x="110"/>
        <item x="165"/>
        <item x="113"/>
        <item x="115"/>
        <item x="130"/>
        <item x="142"/>
        <item x="126"/>
        <item x="128"/>
        <item x="122"/>
        <item x="117"/>
        <item x="174"/>
        <item x="119"/>
        <item x="121"/>
        <item x="124"/>
        <item x="134"/>
        <item x="136"/>
        <item x="140"/>
        <item x="150"/>
        <item x="147"/>
        <item x="144"/>
        <item x="153"/>
        <item x="139"/>
        <item x="156"/>
        <item x="158"/>
        <item x="143"/>
        <item x="161"/>
        <item x="162"/>
        <item x="163"/>
        <item x="166"/>
        <item x="168"/>
        <item x="181"/>
        <item x="170"/>
        <item x="172"/>
        <item x="175"/>
        <item x="176"/>
        <item x="178"/>
        <item x="149"/>
        <item x="151"/>
        <item x="145"/>
        <item x="154"/>
        <item x="148"/>
        <item x="157"/>
        <item x="159"/>
        <item x="164"/>
        <item x="167"/>
        <item x="177"/>
        <item x="169"/>
        <item x="182"/>
        <item x="171"/>
        <item x="173"/>
        <item x="184"/>
        <item x="190"/>
        <item x="180"/>
        <item x="186"/>
        <item x="193"/>
        <item x="183"/>
        <item x="188"/>
        <item x="185"/>
        <item x="196"/>
        <item x="191"/>
        <item x="187"/>
        <item x="194"/>
        <item x="189"/>
        <item x="201"/>
        <item x="204"/>
        <item x="197"/>
        <item x="207"/>
        <item x="210"/>
        <item x="192"/>
        <item x="214"/>
        <item x="218"/>
        <item x="199"/>
        <item x="195"/>
        <item x="202"/>
        <item x="225"/>
        <item x="228"/>
        <item x="231"/>
        <item x="234"/>
        <item x="205"/>
        <item x="236"/>
        <item x="239"/>
        <item x="208"/>
        <item x="242"/>
        <item x="198"/>
        <item x="245"/>
        <item x="200"/>
        <item x="212"/>
        <item x="247"/>
        <item x="250"/>
        <item x="203"/>
        <item x="253"/>
        <item x="215"/>
        <item x="256"/>
        <item x="219"/>
        <item x="221"/>
        <item x="223"/>
        <item x="226"/>
        <item x="206"/>
        <item x="229"/>
        <item x="261"/>
        <item x="232"/>
        <item x="209"/>
        <item x="266"/>
        <item x="211"/>
        <item x="237"/>
        <item x="213"/>
        <item x="240"/>
        <item x="216"/>
        <item x="243"/>
        <item x="217"/>
        <item x="220"/>
        <item x="248"/>
        <item x="222"/>
        <item x="224"/>
        <item x="251"/>
        <item x="254"/>
        <item x="227"/>
        <item x="257"/>
        <item x="230"/>
        <item x="259"/>
        <item x="262"/>
        <item x="233"/>
        <item x="264"/>
        <item x="235"/>
        <item x="267"/>
        <item x="238"/>
        <item x="241"/>
        <item x="244"/>
        <item x="246"/>
        <item x="249"/>
        <item x="252"/>
        <item x="255"/>
        <item x="258"/>
        <item x="260"/>
        <item x="263"/>
        <item x="265"/>
        <item x="179"/>
        <item t="default"/>
      </items>
    </pivotField>
    <pivotField showAll="0">
      <items count="308">
        <item x="0"/>
        <item x="2"/>
        <item x="3"/>
        <item x="1"/>
        <item x="6"/>
        <item x="5"/>
        <item x="9"/>
        <item x="8"/>
        <item x="4"/>
        <item x="11"/>
        <item x="7"/>
        <item x="12"/>
        <item x="14"/>
        <item x="10"/>
        <item x="15"/>
        <item x="13"/>
        <item x="17"/>
        <item x="18"/>
        <item x="16"/>
        <item x="20"/>
        <item x="19"/>
        <item x="22"/>
        <item x="23"/>
        <item x="21"/>
        <item x="25"/>
        <item x="26"/>
        <item x="24"/>
        <item x="27"/>
        <item x="29"/>
        <item x="30"/>
        <item x="28"/>
        <item x="33"/>
        <item x="32"/>
        <item x="35"/>
        <item x="31"/>
        <item x="38"/>
        <item x="41"/>
        <item x="37"/>
        <item x="34"/>
        <item x="44"/>
        <item x="40"/>
        <item x="43"/>
        <item x="36"/>
        <item x="47"/>
        <item x="46"/>
        <item x="39"/>
        <item x="50"/>
        <item x="42"/>
        <item x="49"/>
        <item x="45"/>
        <item x="52"/>
        <item x="48"/>
        <item x="55"/>
        <item x="54"/>
        <item x="58"/>
        <item x="51"/>
        <item x="57"/>
        <item x="60"/>
        <item x="53"/>
        <item x="63"/>
        <item x="56"/>
        <item x="62"/>
        <item x="59"/>
        <item x="65"/>
        <item x="67"/>
        <item x="68"/>
        <item x="61"/>
        <item x="64"/>
        <item x="70"/>
        <item x="66"/>
        <item x="72"/>
        <item x="69"/>
        <item x="73"/>
        <item x="75"/>
        <item x="71"/>
        <item x="74"/>
        <item x="76"/>
        <item x="77"/>
        <item x="79"/>
        <item x="80"/>
        <item x="82"/>
        <item x="78"/>
        <item x="83"/>
        <item x="81"/>
        <item x="85"/>
        <item x="87"/>
        <item x="84"/>
        <item x="86"/>
        <item x="89"/>
        <item x="90"/>
        <item x="88"/>
        <item x="92"/>
        <item x="93"/>
        <item x="91"/>
        <item x="95"/>
        <item x="94"/>
        <item x="99"/>
        <item x="97"/>
        <item x="102"/>
        <item x="100"/>
        <item x="96"/>
        <item x="103"/>
        <item x="98"/>
        <item x="105"/>
        <item x="108"/>
        <item x="101"/>
        <item x="104"/>
        <item x="111"/>
        <item x="109"/>
        <item x="106"/>
        <item x="112"/>
        <item x="107"/>
        <item x="114"/>
        <item x="118"/>
        <item x="110"/>
        <item x="116"/>
        <item x="121"/>
        <item x="113"/>
        <item x="124"/>
        <item x="119"/>
        <item x="115"/>
        <item x="127"/>
        <item x="122"/>
        <item x="130"/>
        <item x="125"/>
        <item x="117"/>
        <item x="135"/>
        <item x="128"/>
        <item x="138"/>
        <item x="120"/>
        <item x="131"/>
        <item x="123"/>
        <item x="143"/>
        <item x="126"/>
        <item x="133"/>
        <item x="136"/>
        <item x="129"/>
        <item x="139"/>
        <item x="141"/>
        <item x="147"/>
        <item x="132"/>
        <item x="134"/>
        <item x="137"/>
        <item x="152"/>
        <item x="154"/>
        <item x="140"/>
        <item x="145"/>
        <item x="159"/>
        <item x="148"/>
        <item x="162"/>
        <item x="142"/>
        <item x="150"/>
        <item x="165"/>
        <item x="144"/>
        <item x="153"/>
        <item x="155"/>
        <item x="146"/>
        <item x="169"/>
        <item x="157"/>
        <item x="160"/>
        <item x="149"/>
        <item x="163"/>
        <item x="166"/>
        <item x="174"/>
        <item x="151"/>
        <item x="158"/>
        <item x="156"/>
        <item x="175"/>
        <item x="170"/>
        <item x="178"/>
        <item x="161"/>
        <item x="180"/>
        <item x="172"/>
        <item x="183"/>
        <item x="185"/>
        <item x="164"/>
        <item x="188"/>
        <item x="167"/>
        <item x="176"/>
        <item x="181"/>
        <item x="168"/>
        <item x="186"/>
        <item x="191"/>
        <item x="171"/>
        <item x="189"/>
        <item x="193"/>
        <item x="182"/>
        <item x="173"/>
        <item x="179"/>
        <item x="177"/>
        <item x="184"/>
        <item x="187"/>
        <item x="190"/>
        <item x="192"/>
        <item x="196"/>
        <item x="194"/>
        <item x="198"/>
        <item x="195"/>
        <item x="197"/>
        <item x="200"/>
        <item x="199"/>
        <item x="202"/>
        <item x="201"/>
        <item x="204"/>
        <item x="205"/>
        <item x="203"/>
        <item x="207"/>
        <item x="208"/>
        <item x="206"/>
        <item x="210"/>
        <item x="209"/>
        <item x="214"/>
        <item x="217"/>
        <item x="213"/>
        <item x="212"/>
        <item x="220"/>
        <item x="216"/>
        <item x="223"/>
        <item x="219"/>
        <item x="222"/>
        <item x="215"/>
        <item x="226"/>
        <item x="225"/>
        <item x="228"/>
        <item x="218"/>
        <item x="221"/>
        <item x="224"/>
        <item x="230"/>
        <item x="231"/>
        <item x="227"/>
        <item x="234"/>
        <item x="237"/>
        <item x="229"/>
        <item x="233"/>
        <item x="236"/>
        <item x="239"/>
        <item x="232"/>
        <item x="240"/>
        <item x="235"/>
        <item x="242"/>
        <item x="246"/>
        <item x="241"/>
        <item x="238"/>
        <item x="243"/>
        <item x="249"/>
        <item x="248"/>
        <item x="245"/>
        <item x="252"/>
        <item x="244"/>
        <item x="247"/>
        <item x="253"/>
        <item x="251"/>
        <item x="256"/>
        <item x="255"/>
        <item x="250"/>
        <item x="258"/>
        <item x="261"/>
        <item x="254"/>
        <item x="264"/>
        <item x="260"/>
        <item x="257"/>
        <item x="263"/>
        <item x="267"/>
        <item x="266"/>
        <item x="259"/>
        <item x="270"/>
        <item x="262"/>
        <item x="269"/>
        <item x="265"/>
        <item x="273"/>
        <item x="272"/>
        <item x="268"/>
        <item x="276"/>
        <item x="275"/>
        <item x="279"/>
        <item x="271"/>
        <item x="278"/>
        <item x="282"/>
        <item x="284"/>
        <item x="274"/>
        <item x="281"/>
        <item x="287"/>
        <item x="277"/>
        <item x="290"/>
        <item x="286"/>
        <item x="280"/>
        <item x="289"/>
        <item x="295"/>
        <item x="283"/>
        <item x="292"/>
        <item x="298"/>
        <item x="294"/>
        <item x="285"/>
        <item x="301"/>
        <item x="304"/>
        <item x="297"/>
        <item x="288"/>
        <item x="291"/>
        <item x="300"/>
        <item x="293"/>
        <item x="303"/>
        <item x="306"/>
        <item x="296"/>
        <item x="299"/>
        <item x="302"/>
        <item x="305"/>
        <item x="211"/>
        <item t="default"/>
      </items>
    </pivotField>
    <pivotField showAll="0"/>
    <pivotField showAll="0">
      <items count="310">
        <item x="0"/>
        <item x="1"/>
        <item x="2"/>
        <item x="4"/>
        <item x="3"/>
        <item x="5"/>
        <item x="7"/>
        <item x="6"/>
        <item x="8"/>
        <item x="10"/>
        <item x="11"/>
        <item x="9"/>
        <item x="13"/>
        <item x="14"/>
        <item x="16"/>
        <item x="12"/>
        <item x="18"/>
        <item x="19"/>
        <item x="15"/>
        <item x="21"/>
        <item x="17"/>
        <item x="23"/>
        <item x="24"/>
        <item x="20"/>
        <item x="26"/>
        <item x="27"/>
        <item x="22"/>
        <item x="29"/>
        <item x="25"/>
        <item x="30"/>
        <item x="32"/>
        <item x="28"/>
        <item x="35"/>
        <item x="34"/>
        <item x="38"/>
        <item x="37"/>
        <item x="31"/>
        <item x="40"/>
        <item x="41"/>
        <item x="33"/>
        <item x="43"/>
        <item x="36"/>
        <item x="44"/>
        <item x="39"/>
        <item x="46"/>
        <item x="47"/>
        <item x="42"/>
        <item x="49"/>
        <item x="50"/>
        <item x="45"/>
        <item x="52"/>
        <item x="48"/>
        <item x="55"/>
        <item x="54"/>
        <item x="58"/>
        <item x="57"/>
        <item x="51"/>
        <item x="59"/>
        <item x="62"/>
        <item x="61"/>
        <item x="64"/>
        <item x="53"/>
        <item x="66"/>
        <item x="67"/>
        <item x="56"/>
        <item x="70"/>
        <item x="69"/>
        <item x="72"/>
        <item x="60"/>
        <item x="63"/>
        <item x="75"/>
        <item x="74"/>
        <item x="65"/>
        <item x="77"/>
        <item x="68"/>
        <item x="78"/>
        <item x="71"/>
        <item x="80"/>
        <item x="81"/>
        <item x="73"/>
        <item x="83"/>
        <item x="86"/>
        <item x="85"/>
        <item x="76"/>
        <item x="89"/>
        <item x="88"/>
        <item x="79"/>
        <item x="92"/>
        <item x="91"/>
        <item x="82"/>
        <item x="94"/>
        <item x="84"/>
        <item x="99"/>
        <item x="96"/>
        <item x="87"/>
        <item x="102"/>
        <item x="98"/>
        <item x="90"/>
        <item x="105"/>
        <item x="101"/>
        <item x="108"/>
        <item x="104"/>
        <item x="107"/>
        <item x="111"/>
        <item x="93"/>
        <item x="110"/>
        <item x="114"/>
        <item x="95"/>
        <item x="113"/>
        <item x="117"/>
        <item x="116"/>
        <item x="97"/>
        <item x="120"/>
        <item x="100"/>
        <item x="119"/>
        <item x="103"/>
        <item x="123"/>
        <item x="122"/>
        <item x="126"/>
        <item x="106"/>
        <item x="125"/>
        <item x="127"/>
        <item x="109"/>
        <item x="128"/>
        <item x="112"/>
        <item x="115"/>
        <item x="130"/>
        <item x="118"/>
        <item x="133"/>
        <item x="132"/>
        <item x="121"/>
        <item x="136"/>
        <item x="124"/>
        <item x="135"/>
        <item x="129"/>
        <item x="138"/>
        <item x="140"/>
        <item x="141"/>
        <item x="131"/>
        <item x="144"/>
        <item x="143"/>
        <item x="134"/>
        <item x="146"/>
        <item x="147"/>
        <item x="137"/>
        <item x="139"/>
        <item x="149"/>
        <item x="142"/>
        <item x="145"/>
        <item x="150"/>
        <item x="152"/>
        <item x="148"/>
        <item x="154"/>
        <item x="156"/>
        <item x="151"/>
        <item x="158"/>
        <item x="163"/>
        <item x="153"/>
        <item x="160"/>
        <item x="155"/>
        <item x="162"/>
        <item x="165"/>
        <item x="166"/>
        <item x="169"/>
        <item x="157"/>
        <item x="168"/>
        <item x="179"/>
        <item x="171"/>
        <item x="159"/>
        <item x="174"/>
        <item x="178"/>
        <item x="161"/>
        <item x="173"/>
        <item x="176"/>
        <item x="170"/>
        <item x="164"/>
        <item x="182"/>
        <item x="167"/>
        <item x="172"/>
        <item x="175"/>
        <item x="177"/>
        <item x="185"/>
        <item x="180"/>
        <item x="187"/>
        <item x="184"/>
        <item x="190"/>
        <item x="193"/>
        <item x="196"/>
        <item x="189"/>
        <item x="192"/>
        <item x="181"/>
        <item x="195"/>
        <item x="198"/>
        <item x="183"/>
        <item x="200"/>
        <item x="201"/>
        <item x="186"/>
        <item x="203"/>
        <item x="188"/>
        <item x="191"/>
        <item x="194"/>
        <item x="206"/>
        <item x="205"/>
        <item x="197"/>
        <item x="209"/>
        <item x="208"/>
        <item x="199"/>
        <item x="212"/>
        <item x="211"/>
        <item x="202"/>
        <item x="214"/>
        <item x="204"/>
        <item x="216"/>
        <item x="207"/>
        <item x="218"/>
        <item x="210"/>
        <item x="220"/>
        <item x="213"/>
        <item x="221"/>
        <item x="215"/>
        <item x="223"/>
        <item x="217"/>
        <item x="224"/>
        <item x="219"/>
        <item x="226"/>
        <item x="222"/>
        <item x="225"/>
        <item x="231"/>
        <item x="228"/>
        <item x="233"/>
        <item x="237"/>
        <item x="234"/>
        <item x="239"/>
        <item x="230"/>
        <item x="242"/>
        <item x="238"/>
        <item x="236"/>
        <item x="245"/>
        <item x="241"/>
        <item x="244"/>
        <item x="250"/>
        <item x="247"/>
        <item x="229"/>
        <item x="253"/>
        <item x="232"/>
        <item x="252"/>
        <item x="249"/>
        <item x="235"/>
        <item x="240"/>
        <item x="258"/>
        <item x="255"/>
        <item x="261"/>
        <item x="243"/>
        <item x="266"/>
        <item x="273"/>
        <item x="260"/>
        <item x="263"/>
        <item x="269"/>
        <item x="276"/>
        <item x="246"/>
        <item x="257"/>
        <item x="265"/>
        <item x="275"/>
        <item x="278"/>
        <item x="272"/>
        <item x="268"/>
        <item x="277"/>
        <item x="270"/>
        <item x="286"/>
        <item x="248"/>
        <item x="251"/>
        <item x="280"/>
        <item x="282"/>
        <item x="283"/>
        <item x="285"/>
        <item x="254"/>
        <item x="291"/>
        <item x="288"/>
        <item x="294"/>
        <item x="290"/>
        <item x="262"/>
        <item x="259"/>
        <item x="293"/>
        <item x="296"/>
        <item x="274"/>
        <item x="264"/>
        <item x="271"/>
        <item x="298"/>
        <item x="267"/>
        <item x="281"/>
        <item x="300"/>
        <item x="279"/>
        <item x="256"/>
        <item x="284"/>
        <item x="304"/>
        <item x="287"/>
        <item x="289"/>
        <item x="303"/>
        <item x="292"/>
        <item x="306"/>
        <item x="295"/>
        <item x="297"/>
        <item x="308"/>
        <item x="299"/>
        <item x="301"/>
        <item x="302"/>
        <item x="305"/>
        <item x="307"/>
        <item x="227"/>
        <item t="default"/>
      </items>
    </pivotField>
    <pivotField showAll="0"/>
    <pivotField showAll="0"/>
    <pivotField showAll="0">
      <items count="304">
        <item x="1"/>
        <item x="2"/>
        <item x="0"/>
        <item x="4"/>
        <item x="3"/>
        <item x="6"/>
        <item x="5"/>
        <item x="8"/>
        <item x="9"/>
        <item x="7"/>
        <item x="11"/>
        <item x="12"/>
        <item x="10"/>
        <item x="14"/>
        <item x="15"/>
        <item x="13"/>
        <item x="17"/>
        <item x="19"/>
        <item x="16"/>
        <item x="20"/>
        <item x="18"/>
        <item x="22"/>
        <item x="24"/>
        <item x="21"/>
        <item x="25"/>
        <item x="27"/>
        <item x="23"/>
        <item x="30"/>
        <item x="28"/>
        <item x="33"/>
        <item x="26"/>
        <item x="36"/>
        <item x="31"/>
        <item x="39"/>
        <item x="34"/>
        <item x="29"/>
        <item x="42"/>
        <item x="37"/>
        <item x="32"/>
        <item x="40"/>
        <item x="35"/>
        <item x="43"/>
        <item x="38"/>
        <item x="49"/>
        <item x="45"/>
        <item x="41"/>
        <item x="52"/>
        <item x="47"/>
        <item x="55"/>
        <item x="44"/>
        <item x="58"/>
        <item x="50"/>
        <item x="46"/>
        <item x="61"/>
        <item x="53"/>
        <item x="64"/>
        <item x="56"/>
        <item x="67"/>
        <item x="48"/>
        <item x="70"/>
        <item x="51"/>
        <item x="72"/>
        <item x="59"/>
        <item x="54"/>
        <item x="62"/>
        <item x="65"/>
        <item x="57"/>
        <item x="68"/>
        <item x="81"/>
        <item x="60"/>
        <item x="86"/>
        <item x="63"/>
        <item x="89"/>
        <item x="73"/>
        <item x="66"/>
        <item x="75"/>
        <item x="92"/>
        <item x="95"/>
        <item x="77"/>
        <item x="97"/>
        <item x="69"/>
        <item x="100"/>
        <item x="71"/>
        <item x="79"/>
        <item x="105"/>
        <item x="74"/>
        <item x="82"/>
        <item x="108"/>
        <item x="84"/>
        <item x="76"/>
        <item x="113"/>
        <item x="87"/>
        <item x="116"/>
        <item x="119"/>
        <item x="90"/>
        <item x="78"/>
        <item x="80"/>
        <item x="123"/>
        <item x="93"/>
        <item x="126"/>
        <item x="83"/>
        <item x="130"/>
        <item x="98"/>
        <item x="133"/>
        <item x="85"/>
        <item x="136"/>
        <item x="101"/>
        <item x="143"/>
        <item x="103"/>
        <item x="88"/>
        <item x="106"/>
        <item x="109"/>
        <item x="91"/>
        <item x="94"/>
        <item x="111"/>
        <item x="96"/>
        <item x="114"/>
        <item x="117"/>
        <item x="99"/>
        <item x="150"/>
        <item x="102"/>
        <item x="152"/>
        <item x="104"/>
        <item x="121"/>
        <item x="156"/>
        <item x="107"/>
        <item x="124"/>
        <item x="159"/>
        <item x="127"/>
        <item x="110"/>
        <item x="131"/>
        <item x="162"/>
        <item x="134"/>
        <item x="112"/>
        <item x="137"/>
        <item x="115"/>
        <item x="139"/>
        <item x="167"/>
        <item x="141"/>
        <item x="118"/>
        <item x="169"/>
        <item x="144"/>
        <item x="120"/>
        <item x="173"/>
        <item x="122"/>
        <item x="146"/>
        <item x="125"/>
        <item x="128"/>
        <item x="129"/>
        <item x="177"/>
        <item x="132"/>
        <item x="180"/>
        <item x="182"/>
        <item x="135"/>
        <item x="138"/>
        <item x="153"/>
        <item x="185"/>
        <item x="140"/>
        <item x="186"/>
        <item x="157"/>
        <item x="189"/>
        <item x="192"/>
        <item x="160"/>
        <item x="195"/>
        <item x="142"/>
        <item x="196"/>
        <item x="163"/>
        <item x="199"/>
        <item x="145"/>
        <item x="202"/>
        <item x="165"/>
        <item x="205"/>
        <item x="147"/>
        <item x="170"/>
        <item x="172"/>
        <item x="148"/>
        <item x="181"/>
        <item x="174"/>
        <item x="178"/>
        <item x="175"/>
        <item x="151"/>
        <item x="149"/>
        <item x="187"/>
        <item x="154"/>
        <item x="190"/>
        <item x="155"/>
        <item x="193"/>
        <item x="216"/>
        <item x="197"/>
        <item x="158"/>
        <item x="200"/>
        <item x="220"/>
        <item x="203"/>
        <item x="161"/>
        <item x="206"/>
        <item x="208"/>
        <item x="223"/>
        <item x="164"/>
        <item x="179"/>
        <item x="183"/>
        <item x="226"/>
        <item x="166"/>
        <item x="168"/>
        <item x="184"/>
        <item x="176"/>
        <item x="188"/>
        <item x="194"/>
        <item x="191"/>
        <item x="171"/>
        <item x="212"/>
        <item x="198"/>
        <item x="214"/>
        <item x="229"/>
        <item x="201"/>
        <item x="217"/>
        <item x="204"/>
        <item x="207"/>
        <item x="209"/>
        <item x="232"/>
        <item x="221"/>
        <item x="235"/>
        <item x="224"/>
        <item x="211"/>
        <item x="227"/>
        <item x="213"/>
        <item x="215"/>
        <item x="240"/>
        <item x="218"/>
        <item x="219"/>
        <item x="230"/>
        <item x="222"/>
        <item x="233"/>
        <item x="225"/>
        <item x="236"/>
        <item x="247"/>
        <item x="250"/>
        <item x="228"/>
        <item x="231"/>
        <item x="253"/>
        <item x="234"/>
        <item x="238"/>
        <item x="241"/>
        <item x="243"/>
        <item x="258"/>
        <item x="245"/>
        <item x="248"/>
        <item x="261"/>
        <item x="251"/>
        <item x="237"/>
        <item x="239"/>
        <item x="264"/>
        <item x="242"/>
        <item x="254"/>
        <item x="244"/>
        <item x="256"/>
        <item x="246"/>
        <item x="269"/>
        <item x="249"/>
        <item x="259"/>
        <item x="272"/>
        <item x="262"/>
        <item x="252"/>
        <item x="275"/>
        <item x="265"/>
        <item x="255"/>
        <item x="278"/>
        <item x="257"/>
        <item x="267"/>
        <item x="281"/>
        <item x="284"/>
        <item x="260"/>
        <item x="270"/>
        <item x="287"/>
        <item x="263"/>
        <item x="290"/>
        <item x="273"/>
        <item x="292"/>
        <item x="266"/>
        <item x="276"/>
        <item x="295"/>
        <item x="279"/>
        <item x="298"/>
        <item x="268"/>
        <item x="301"/>
        <item x="282"/>
        <item x="271"/>
        <item x="285"/>
        <item x="274"/>
        <item x="288"/>
        <item x="277"/>
        <item x="293"/>
        <item x="280"/>
        <item x="296"/>
        <item x="299"/>
        <item x="283"/>
        <item x="302"/>
        <item x="286"/>
        <item x="289"/>
        <item x="291"/>
        <item x="294"/>
        <item x="297"/>
        <item x="300"/>
        <item x="210"/>
        <item t="default"/>
      </items>
    </pivotField>
    <pivotField axis="axisPage" dataField="1" showAll="0">
      <items count="119">
        <item x="1"/>
        <item x="2"/>
        <item x="3"/>
        <item x="4"/>
        <item x="5"/>
        <item x="6"/>
        <item x="7"/>
        <item x="8"/>
        <item x="10"/>
        <item x="9"/>
        <item x="11"/>
        <item x="12"/>
        <item x="13"/>
        <item x="14"/>
        <item x="15"/>
        <item x="16"/>
        <item x="17"/>
        <item x="18"/>
        <item x="21"/>
        <item x="19"/>
        <item x="20"/>
        <item x="22"/>
        <item x="23"/>
        <item x="24"/>
        <item x="27"/>
        <item x="25"/>
        <item x="26"/>
        <item x="28"/>
        <item x="29"/>
        <item x="30"/>
        <item x="31"/>
        <item x="32"/>
        <item x="33"/>
        <item x="34"/>
        <item x="35"/>
        <item x="38"/>
        <item x="36"/>
        <item x="37"/>
        <item x="39"/>
        <item x="40"/>
        <item x="41"/>
        <item x="44"/>
        <item x="42"/>
        <item x="43"/>
        <item x="45"/>
        <item x="46"/>
        <item x="47"/>
        <item x="50"/>
        <item x="48"/>
        <item x="49"/>
        <item x="51"/>
        <item x="52"/>
        <item x="53"/>
        <item x="54"/>
        <item x="55"/>
        <item x="56"/>
        <item x="57"/>
        <item x="58"/>
        <item x="59"/>
        <item x="62"/>
        <item x="60"/>
        <item x="61"/>
        <item x="63"/>
        <item x="64"/>
        <item x="65"/>
        <item x="66"/>
        <item x="68"/>
        <item x="67"/>
        <item x="69"/>
        <item x="70"/>
        <item x="71"/>
        <item x="73"/>
        <item x="72"/>
        <item x="74"/>
        <item x="75"/>
        <item x="76"/>
        <item x="79"/>
        <item x="77"/>
        <item x="78"/>
        <item x="80"/>
        <item x="82"/>
        <item x="84"/>
        <item x="81"/>
        <item x="85"/>
        <item x="83"/>
        <item x="86"/>
        <item x="87"/>
        <item x="90"/>
        <item x="88"/>
        <item x="89"/>
        <item x="91"/>
        <item x="93"/>
        <item x="96"/>
        <item x="94"/>
        <item x="97"/>
        <item x="95"/>
        <item x="98"/>
        <item x="101"/>
        <item x="99"/>
        <item x="100"/>
        <item x="102"/>
        <item x="104"/>
        <item x="103"/>
        <item x="107"/>
        <item x="105"/>
        <item x="106"/>
        <item x="108"/>
        <item x="109"/>
        <item x="110"/>
        <item x="113"/>
        <item x="111"/>
        <item x="112"/>
        <item x="114"/>
        <item x="115"/>
        <item x="116"/>
        <item x="117"/>
        <item x="92"/>
        <item x="0"/>
        <item t="default"/>
      </items>
    </pivotField>
    <pivotField showAll="0"/>
    <pivotField showAll="0"/>
    <pivotField showAll="0"/>
    <pivotField showAll="0"/>
    <pivotField showAll="0"/>
    <pivotField showAll="0"/>
    <pivotField showAll="0"/>
    <pivotField showAll="0"/>
    <pivotField showAll="0"/>
  </pivotFields>
  <rowItems count="1">
    <i/>
  </rowItems>
  <colItems count="1">
    <i/>
  </colItems>
  <pageFields count="2">
    <pageField fld="1" hier="-1"/>
    <pageField fld="20" hier="-1"/>
  </pageFields>
  <dataFields count="1">
    <dataField name="Sum of Housing" fld="2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Q4:Q5" firstHeaderRow="1" firstDataRow="1" firstDataCol="0" rowPageCount="2" colPageCount="1"/>
  <pivotFields count="30">
    <pivotField showAll="0"/>
    <pivotField axis="axisPage" multipleItemSelectionAllowed="1" showAll="0">
      <items count="12">
        <item x="0"/>
        <item x="1"/>
        <item x="2"/>
        <item x="3"/>
        <item x="4"/>
        <item x="5"/>
        <item x="6"/>
        <item x="7"/>
        <item x="8"/>
        <item x="9"/>
        <item x="10"/>
        <item t="default"/>
      </items>
    </pivotField>
    <pivotField showAll="0"/>
    <pivotField showAll="0">
      <items count="254">
        <item x="0"/>
        <item x="2"/>
        <item x="3"/>
        <item x="6"/>
        <item x="5"/>
        <item x="1"/>
        <item x="11"/>
        <item x="8"/>
        <item x="10"/>
        <item x="13"/>
        <item x="4"/>
        <item x="16"/>
        <item x="15"/>
        <item x="7"/>
        <item x="19"/>
        <item x="9"/>
        <item x="18"/>
        <item x="12"/>
        <item x="21"/>
        <item x="24"/>
        <item x="23"/>
        <item x="14"/>
        <item x="26"/>
        <item x="27"/>
        <item x="17"/>
        <item x="29"/>
        <item x="20"/>
        <item x="30"/>
        <item x="22"/>
        <item x="25"/>
        <item x="32"/>
        <item x="35"/>
        <item x="34"/>
        <item x="28"/>
        <item x="38"/>
        <item x="37"/>
        <item x="43"/>
        <item x="31"/>
        <item x="40"/>
        <item x="42"/>
        <item x="45"/>
        <item x="33"/>
        <item x="47"/>
        <item x="48"/>
        <item x="51"/>
        <item x="36"/>
        <item x="39"/>
        <item x="53"/>
        <item x="50"/>
        <item x="41"/>
        <item x="56"/>
        <item x="44"/>
        <item x="55"/>
        <item x="46"/>
        <item x="58"/>
        <item x="60"/>
        <item x="62"/>
        <item x="65"/>
        <item x="66"/>
        <item x="64"/>
        <item x="49"/>
        <item x="68"/>
        <item x="61"/>
        <item x="67"/>
        <item x="54"/>
        <item x="63"/>
        <item x="59"/>
        <item x="57"/>
        <item x="69"/>
        <item x="52"/>
        <item x="83"/>
        <item x="72"/>
        <item x="70"/>
        <item x="74"/>
        <item x="71"/>
        <item x="76"/>
        <item x="87"/>
        <item x="73"/>
        <item x="75"/>
        <item x="79"/>
        <item x="81"/>
        <item x="84"/>
        <item x="77"/>
        <item x="78"/>
        <item x="80"/>
        <item x="82"/>
        <item x="85"/>
        <item x="88"/>
        <item x="93"/>
        <item x="90"/>
        <item x="86"/>
        <item x="96"/>
        <item x="89"/>
        <item x="94"/>
        <item x="91"/>
        <item x="99"/>
        <item x="97"/>
        <item x="92"/>
        <item x="95"/>
        <item x="100"/>
        <item x="102"/>
        <item x="98"/>
        <item x="105"/>
        <item x="103"/>
        <item x="101"/>
        <item x="109"/>
        <item x="106"/>
        <item x="112"/>
        <item x="111"/>
        <item x="104"/>
        <item x="110"/>
        <item x="107"/>
        <item x="113"/>
        <item x="108"/>
        <item x="120"/>
        <item x="114"/>
        <item x="116"/>
        <item x="125"/>
        <item x="128"/>
        <item x="118"/>
        <item x="115"/>
        <item x="131"/>
        <item x="117"/>
        <item x="121"/>
        <item x="138"/>
        <item x="123"/>
        <item x="126"/>
        <item x="119"/>
        <item x="129"/>
        <item x="132"/>
        <item x="122"/>
        <item x="124"/>
        <item x="141"/>
        <item x="127"/>
        <item x="130"/>
        <item x="136"/>
        <item x="144"/>
        <item x="133"/>
        <item x="134"/>
        <item x="139"/>
        <item x="135"/>
        <item x="150"/>
        <item x="147"/>
        <item x="142"/>
        <item x="137"/>
        <item x="148"/>
        <item x="145"/>
        <item x="153"/>
        <item x="140"/>
        <item x="146"/>
        <item x="143"/>
        <item x="149"/>
        <item x="156"/>
        <item x="151"/>
        <item x="152"/>
        <item x="158"/>
        <item x="159"/>
        <item x="154"/>
        <item x="161"/>
        <item x="155"/>
        <item x="163"/>
        <item x="157"/>
        <item x="164"/>
        <item x="196"/>
        <item x="160"/>
        <item x="166"/>
        <item x="162"/>
        <item x="169"/>
        <item x="168"/>
        <item x="172"/>
        <item x="194"/>
        <item x="171"/>
        <item x="165"/>
        <item x="174"/>
        <item x="191"/>
        <item x="167"/>
        <item x="188"/>
        <item x="206"/>
        <item x="170"/>
        <item x="199"/>
        <item x="203"/>
        <item x="173"/>
        <item x="205"/>
        <item x="201"/>
        <item x="193"/>
        <item x="185"/>
        <item x="175"/>
        <item x="208"/>
        <item x="190"/>
        <item x="182"/>
        <item x="197"/>
        <item x="179"/>
        <item x="210"/>
        <item x="187"/>
        <item x="177"/>
        <item x="198"/>
        <item x="184"/>
        <item x="195"/>
        <item x="202"/>
        <item x="200"/>
        <item x="204"/>
        <item x="212"/>
        <item x="181"/>
        <item x="192"/>
        <item x="214"/>
        <item x="207"/>
        <item x="215"/>
        <item x="189"/>
        <item x="209"/>
        <item x="217"/>
        <item x="186"/>
        <item x="183"/>
        <item x="176"/>
        <item x="211"/>
        <item x="213"/>
        <item x="180"/>
        <item x="219"/>
        <item x="216"/>
        <item x="222"/>
        <item x="221"/>
        <item x="224"/>
        <item x="225"/>
        <item x="218"/>
        <item x="227"/>
        <item x="220"/>
        <item x="223"/>
        <item x="226"/>
        <item x="228"/>
        <item x="230"/>
        <item x="229"/>
        <item x="231"/>
        <item x="233"/>
        <item x="234"/>
        <item x="232"/>
        <item x="236"/>
        <item x="235"/>
        <item x="237"/>
        <item x="239"/>
        <item x="238"/>
        <item x="240"/>
        <item x="242"/>
        <item x="241"/>
        <item x="251"/>
        <item x="244"/>
        <item x="252"/>
        <item x="245"/>
        <item x="243"/>
        <item x="246"/>
        <item x="249"/>
        <item x="248"/>
        <item x="247"/>
        <item x="250"/>
        <item x="178"/>
        <item t="default"/>
      </items>
    </pivotField>
    <pivotField showAll="0">
      <items count="292">
        <item x="0"/>
        <item x="2"/>
        <item x="3"/>
        <item x="6"/>
        <item x="1"/>
        <item x="9"/>
        <item x="8"/>
        <item x="12"/>
        <item x="5"/>
        <item x="11"/>
        <item x="14"/>
        <item x="7"/>
        <item x="15"/>
        <item x="4"/>
        <item x="10"/>
        <item x="13"/>
        <item x="17"/>
        <item x="20"/>
        <item x="23"/>
        <item x="28"/>
        <item x="27"/>
        <item x="19"/>
        <item x="29"/>
        <item x="25"/>
        <item x="30"/>
        <item x="22"/>
        <item x="33"/>
        <item x="26"/>
        <item x="32"/>
        <item x="36"/>
        <item x="24"/>
        <item x="18"/>
        <item x="35"/>
        <item x="38"/>
        <item x="16"/>
        <item x="39"/>
        <item x="21"/>
        <item x="34"/>
        <item x="41"/>
        <item x="37"/>
        <item x="31"/>
        <item x="50"/>
        <item x="44"/>
        <item x="55"/>
        <item x="47"/>
        <item x="43"/>
        <item x="59"/>
        <item x="52"/>
        <item x="57"/>
        <item x="54"/>
        <item x="46"/>
        <item x="40"/>
        <item x="49"/>
        <item x="58"/>
        <item x="62"/>
        <item x="51"/>
        <item x="60"/>
        <item x="56"/>
        <item x="42"/>
        <item x="53"/>
        <item x="45"/>
        <item x="61"/>
        <item x="63"/>
        <item x="65"/>
        <item x="48"/>
        <item x="67"/>
        <item x="64"/>
        <item x="79"/>
        <item x="78"/>
        <item x="66"/>
        <item x="80"/>
        <item x="82"/>
        <item x="68"/>
        <item x="81"/>
        <item x="77"/>
        <item x="74"/>
        <item x="76"/>
        <item x="71"/>
        <item x="75"/>
        <item x="70"/>
        <item x="73"/>
        <item x="83"/>
        <item x="86"/>
        <item x="85"/>
        <item x="88"/>
        <item x="72"/>
        <item x="69"/>
        <item x="87"/>
        <item x="90"/>
        <item x="84"/>
        <item x="89"/>
        <item x="92"/>
        <item x="113"/>
        <item x="110"/>
        <item x="93"/>
        <item x="107"/>
        <item x="105"/>
        <item x="112"/>
        <item x="109"/>
        <item x="106"/>
        <item x="104"/>
        <item x="115"/>
        <item x="108"/>
        <item x="111"/>
        <item x="96"/>
        <item x="119"/>
        <item x="102"/>
        <item x="114"/>
        <item x="118"/>
        <item x="95"/>
        <item x="91"/>
        <item x="117"/>
        <item x="99"/>
        <item x="116"/>
        <item x="103"/>
        <item x="98"/>
        <item x="120"/>
        <item x="101"/>
        <item x="122"/>
        <item x="133"/>
        <item x="130"/>
        <item x="94"/>
        <item x="135"/>
        <item x="132"/>
        <item x="136"/>
        <item x="137"/>
        <item x="134"/>
        <item x="131"/>
        <item x="128"/>
        <item x="138"/>
        <item x="129"/>
        <item x="140"/>
        <item x="142"/>
        <item x="123"/>
        <item x="141"/>
        <item x="97"/>
        <item x="121"/>
        <item x="100"/>
        <item x="144"/>
        <item x="139"/>
        <item x="143"/>
        <item x="158"/>
        <item x="125"/>
        <item x="127"/>
        <item x="156"/>
        <item x="161"/>
        <item x="153"/>
        <item x="146"/>
        <item x="155"/>
        <item x="157"/>
        <item x="164"/>
        <item x="154"/>
        <item x="147"/>
        <item x="145"/>
        <item x="126"/>
        <item x="150"/>
        <item x="124"/>
        <item x="152"/>
        <item x="151"/>
        <item x="162"/>
        <item x="149"/>
        <item x="167"/>
        <item x="159"/>
        <item x="148"/>
        <item x="170"/>
        <item x="165"/>
        <item x="160"/>
        <item x="173"/>
        <item x="168"/>
        <item x="163"/>
        <item x="171"/>
        <item x="166"/>
        <item x="169"/>
        <item x="172"/>
        <item x="175"/>
        <item x="184"/>
        <item x="176"/>
        <item x="186"/>
        <item x="174"/>
        <item x="178"/>
        <item x="189"/>
        <item x="181"/>
        <item x="185"/>
        <item x="187"/>
        <item x="190"/>
        <item x="188"/>
        <item x="183"/>
        <item x="179"/>
        <item x="192"/>
        <item x="182"/>
        <item x="193"/>
        <item x="177"/>
        <item x="191"/>
        <item x="180"/>
        <item x="195"/>
        <item x="196"/>
        <item x="194"/>
        <item x="201"/>
        <item x="202"/>
        <item x="197"/>
        <item x="199"/>
        <item x="200"/>
        <item x="198"/>
        <item x="210"/>
        <item x="224"/>
        <item x="213"/>
        <item x="226"/>
        <item x="212"/>
        <item x="207"/>
        <item x="221"/>
        <item x="219"/>
        <item x="216"/>
        <item x="215"/>
        <item x="227"/>
        <item x="223"/>
        <item x="204"/>
        <item x="209"/>
        <item x="218"/>
        <item x="225"/>
        <item x="229"/>
        <item x="206"/>
        <item x="211"/>
        <item x="214"/>
        <item x="222"/>
        <item x="217"/>
        <item x="220"/>
        <item x="252"/>
        <item x="205"/>
        <item x="228"/>
        <item x="208"/>
        <item x="231"/>
        <item x="254"/>
        <item x="232"/>
        <item x="253"/>
        <item x="251"/>
        <item x="247"/>
        <item x="235"/>
        <item x="234"/>
        <item x="256"/>
        <item x="249"/>
        <item x="237"/>
        <item x="244"/>
        <item x="250"/>
        <item x="241"/>
        <item x="230"/>
        <item x="243"/>
        <item x="271"/>
        <item x="233"/>
        <item x="238"/>
        <item x="246"/>
        <item x="248"/>
        <item x="255"/>
        <item x="236"/>
        <item x="272"/>
        <item x="273"/>
        <item x="240"/>
        <item x="281"/>
        <item x="278"/>
        <item x="242"/>
        <item x="287"/>
        <item x="257"/>
        <item x="284"/>
        <item x="245"/>
        <item x="276"/>
        <item x="283"/>
        <item x="275"/>
        <item x="288"/>
        <item x="280"/>
        <item x="260"/>
        <item x="259"/>
        <item x="268"/>
        <item x="239"/>
        <item x="289"/>
        <item x="261"/>
        <item x="286"/>
        <item x="282"/>
        <item x="270"/>
        <item x="279"/>
        <item x="274"/>
        <item x="290"/>
        <item x="262"/>
        <item x="277"/>
        <item x="285"/>
        <item x="258"/>
        <item x="264"/>
        <item x="269"/>
        <item x="265"/>
        <item x="267"/>
        <item x="263"/>
        <item x="266"/>
        <item x="203"/>
        <item t="default"/>
      </items>
    </pivotField>
    <pivotField showAll="0">
      <items count="284">
        <item x="13"/>
        <item x="14"/>
        <item x="12"/>
        <item x="10"/>
        <item x="11"/>
        <item x="9"/>
        <item x="0"/>
        <item x="16"/>
        <item x="6"/>
        <item x="2"/>
        <item x="3"/>
        <item x="17"/>
        <item x="20"/>
        <item x="8"/>
        <item x="69"/>
        <item x="22"/>
        <item x="19"/>
        <item x="23"/>
        <item x="15"/>
        <item x="24"/>
        <item x="21"/>
        <item x="5"/>
        <item x="1"/>
        <item x="7"/>
        <item x="26"/>
        <item x="65"/>
        <item x="18"/>
        <item x="43"/>
        <item x="68"/>
        <item x="25"/>
        <item x="70"/>
        <item x="46"/>
        <item x="76"/>
        <item x="47"/>
        <item x="44"/>
        <item x="45"/>
        <item x="27"/>
        <item x="53"/>
        <item x="51"/>
        <item x="66"/>
        <item x="4"/>
        <item x="67"/>
        <item x="52"/>
        <item x="48"/>
        <item x="50"/>
        <item x="49"/>
        <item x="42"/>
        <item x="54"/>
        <item x="29"/>
        <item x="64"/>
        <item x="62"/>
        <item x="55"/>
        <item x="75"/>
        <item x="30"/>
        <item x="33"/>
        <item x="39"/>
        <item x="77"/>
        <item x="71"/>
        <item x="41"/>
        <item x="63"/>
        <item x="36"/>
        <item x="74"/>
        <item x="40"/>
        <item x="72"/>
        <item x="78"/>
        <item x="57"/>
        <item x="73"/>
        <item x="59"/>
        <item x="38"/>
        <item x="28"/>
        <item x="56"/>
        <item x="79"/>
        <item x="91"/>
        <item x="32"/>
        <item x="89"/>
        <item x="61"/>
        <item x="35"/>
        <item x="92"/>
        <item x="37"/>
        <item x="90"/>
        <item x="81"/>
        <item x="88"/>
        <item x="94"/>
        <item x="117"/>
        <item x="115"/>
        <item x="58"/>
        <item x="82"/>
        <item x="60"/>
        <item x="116"/>
        <item x="93"/>
        <item x="80"/>
        <item x="85"/>
        <item x="118"/>
        <item x="119"/>
        <item x="96"/>
        <item x="114"/>
        <item x="31"/>
        <item x="84"/>
        <item x="87"/>
        <item x="113"/>
        <item x="112"/>
        <item x="121"/>
        <item x="97"/>
        <item x="123"/>
        <item x="120"/>
        <item x="34"/>
        <item x="122"/>
        <item x="104"/>
        <item x="105"/>
        <item x="86"/>
        <item x="102"/>
        <item x="103"/>
        <item x="143"/>
        <item x="95"/>
        <item x="124"/>
        <item x="126"/>
        <item x="125"/>
        <item x="101"/>
        <item x="109"/>
        <item x="83"/>
        <item x="111"/>
        <item x="99"/>
        <item x="110"/>
        <item x="152"/>
        <item x="108"/>
        <item x="155"/>
        <item x="145"/>
        <item x="100"/>
        <item x="144"/>
        <item x="106"/>
        <item x="168"/>
        <item x="154"/>
        <item x="107"/>
        <item x="153"/>
        <item x="140"/>
        <item x="147"/>
        <item x="142"/>
        <item x="169"/>
        <item x="170"/>
        <item x="98"/>
        <item x="146"/>
        <item x="158"/>
        <item x="156"/>
        <item x="159"/>
        <item x="157"/>
        <item x="151"/>
        <item x="162"/>
        <item x="141"/>
        <item x="172"/>
        <item x="175"/>
        <item x="167"/>
        <item x="161"/>
        <item x="149"/>
        <item x="150"/>
        <item x="148"/>
        <item x="177"/>
        <item x="137"/>
        <item x="139"/>
        <item x="164"/>
        <item x="138"/>
        <item x="171"/>
        <item x="127"/>
        <item x="136"/>
        <item x="174"/>
        <item x="160"/>
        <item x="178"/>
        <item x="166"/>
        <item x="176"/>
        <item x="173"/>
        <item x="180"/>
        <item x="129"/>
        <item x="163"/>
        <item x="134"/>
        <item x="135"/>
        <item x="133"/>
        <item x="179"/>
        <item x="130"/>
        <item x="132"/>
        <item x="165"/>
        <item x="182"/>
        <item x="131"/>
        <item x="128"/>
        <item x="195"/>
        <item x="192"/>
        <item x="194"/>
        <item x="181"/>
        <item x="197"/>
        <item x="193"/>
        <item x="199"/>
        <item x="183"/>
        <item x="203"/>
        <item x="189"/>
        <item x="185"/>
        <item x="201"/>
        <item x="191"/>
        <item x="196"/>
        <item x="205"/>
        <item x="190"/>
        <item x="186"/>
        <item x="184"/>
        <item x="202"/>
        <item x="200"/>
        <item x="188"/>
        <item x="187"/>
        <item x="204"/>
        <item x="206"/>
        <item x="208"/>
        <item x="255"/>
        <item x="219"/>
        <item x="222"/>
        <item x="221"/>
        <item x="254"/>
        <item x="253"/>
        <item x="224"/>
        <item x="220"/>
        <item x="207"/>
        <item x="223"/>
        <item x="251"/>
        <item x="252"/>
        <item x="250"/>
        <item x="216"/>
        <item x="261"/>
        <item x="225"/>
        <item x="218"/>
        <item x="264"/>
        <item x="263"/>
        <item x="256"/>
        <item x="266"/>
        <item x="217"/>
        <item x="238"/>
        <item x="227"/>
        <item x="262"/>
        <item x="257"/>
        <item x="265"/>
        <item x="280"/>
        <item x="239"/>
        <item x="240"/>
        <item x="209"/>
        <item x="267"/>
        <item x="237"/>
        <item x="279"/>
        <item x="236"/>
        <item x="226"/>
        <item x="282"/>
        <item x="212"/>
        <item x="211"/>
        <item x="277"/>
        <item x="235"/>
        <item x="258"/>
        <item x="260"/>
        <item x="214"/>
        <item x="241"/>
        <item x="247"/>
        <item x="249"/>
        <item x="248"/>
        <item x="234"/>
        <item x="259"/>
        <item x="281"/>
        <item x="210"/>
        <item x="278"/>
        <item x="243"/>
        <item x="244"/>
        <item x="213"/>
        <item x="215"/>
        <item x="246"/>
        <item x="228"/>
        <item x="242"/>
        <item x="245"/>
        <item x="268"/>
        <item x="231"/>
        <item x="230"/>
        <item x="270"/>
        <item x="233"/>
        <item x="229"/>
        <item x="269"/>
        <item x="232"/>
        <item x="271"/>
        <item x="273"/>
        <item x="272"/>
        <item x="274"/>
        <item x="276"/>
        <item x="275"/>
        <item x="198"/>
        <item t="default"/>
      </items>
    </pivotField>
    <pivotField showAll="0">
      <items count="270">
        <item x="1"/>
        <item x="4"/>
        <item x="6"/>
        <item x="2"/>
        <item x="9"/>
        <item x="0"/>
        <item x="7"/>
        <item x="3"/>
        <item x="12"/>
        <item x="5"/>
        <item x="10"/>
        <item x="8"/>
        <item x="13"/>
        <item x="15"/>
        <item x="11"/>
        <item x="16"/>
        <item x="14"/>
        <item x="18"/>
        <item x="17"/>
        <item x="20"/>
        <item x="19"/>
        <item x="24"/>
        <item x="22"/>
        <item x="21"/>
        <item x="25"/>
        <item x="23"/>
        <item x="27"/>
        <item x="28"/>
        <item x="26"/>
        <item x="30"/>
        <item x="32"/>
        <item x="29"/>
        <item x="33"/>
        <item x="31"/>
        <item x="34"/>
        <item x="36"/>
        <item x="35"/>
        <item x="37"/>
        <item x="38"/>
        <item x="39"/>
        <item x="40"/>
        <item x="42"/>
        <item x="41"/>
        <item x="43"/>
        <item x="45"/>
        <item x="44"/>
        <item x="46"/>
        <item x="48"/>
        <item x="47"/>
        <item x="49"/>
        <item x="51"/>
        <item x="50"/>
        <item x="52"/>
        <item x="54"/>
        <item x="53"/>
        <item x="55"/>
        <item x="57"/>
        <item x="59"/>
        <item x="56"/>
        <item x="58"/>
        <item x="61"/>
        <item x="60"/>
        <item x="63"/>
        <item x="64"/>
        <item x="62"/>
        <item x="66"/>
        <item x="65"/>
        <item x="68"/>
        <item x="69"/>
        <item x="67"/>
        <item x="71"/>
        <item x="70"/>
        <item x="76"/>
        <item x="73"/>
        <item x="74"/>
        <item x="77"/>
        <item x="83"/>
        <item x="72"/>
        <item x="75"/>
        <item x="79"/>
        <item x="81"/>
        <item x="78"/>
        <item x="80"/>
        <item x="82"/>
        <item x="88"/>
        <item x="90"/>
        <item x="84"/>
        <item x="86"/>
        <item x="91"/>
        <item x="85"/>
        <item x="95"/>
        <item x="89"/>
        <item x="87"/>
        <item x="93"/>
        <item x="98"/>
        <item x="92"/>
        <item x="96"/>
        <item x="101"/>
        <item x="104"/>
        <item x="94"/>
        <item x="99"/>
        <item x="109"/>
        <item x="112"/>
        <item x="115"/>
        <item x="102"/>
        <item x="97"/>
        <item x="105"/>
        <item x="107"/>
        <item x="100"/>
        <item x="110"/>
        <item x="121"/>
        <item x="113"/>
        <item x="116"/>
        <item x="103"/>
        <item x="118"/>
        <item x="106"/>
        <item x="120"/>
        <item x="108"/>
        <item x="111"/>
        <item x="114"/>
        <item x="117"/>
        <item x="124"/>
        <item x="119"/>
        <item x="126"/>
        <item x="122"/>
        <item x="127"/>
        <item x="123"/>
        <item x="131"/>
        <item x="129"/>
        <item x="125"/>
        <item x="133"/>
        <item x="128"/>
        <item x="136"/>
        <item x="130"/>
        <item x="138"/>
        <item x="134"/>
        <item x="144"/>
        <item x="132"/>
        <item x="148"/>
        <item x="137"/>
        <item x="151"/>
        <item x="139"/>
        <item x="145"/>
        <item x="141"/>
        <item x="143"/>
        <item x="146"/>
        <item x="135"/>
        <item x="149"/>
        <item x="161"/>
        <item x="160"/>
        <item x="140"/>
        <item x="142"/>
        <item x="152"/>
        <item x="162"/>
        <item x="154"/>
        <item x="147"/>
        <item x="156"/>
        <item x="158"/>
        <item x="150"/>
        <item x="153"/>
        <item x="163"/>
        <item x="155"/>
        <item x="157"/>
        <item x="159"/>
        <item x="164"/>
        <item x="166"/>
        <item x="165"/>
        <item x="167"/>
        <item x="169"/>
        <item x="168"/>
        <item x="171"/>
        <item x="173"/>
        <item x="170"/>
        <item x="176"/>
        <item x="174"/>
        <item x="172"/>
        <item x="177"/>
        <item x="175"/>
        <item x="179"/>
        <item x="180"/>
        <item x="178"/>
        <item x="182"/>
        <item x="183"/>
        <item x="181"/>
        <item x="185"/>
        <item x="186"/>
        <item x="184"/>
        <item x="188"/>
        <item x="189"/>
        <item x="187"/>
        <item x="193"/>
        <item x="194"/>
        <item x="196"/>
        <item x="197"/>
        <item x="198"/>
        <item x="195"/>
        <item x="199"/>
        <item x="201"/>
        <item x="200"/>
        <item x="202"/>
        <item x="205"/>
        <item x="204"/>
        <item x="206"/>
        <item x="207"/>
        <item x="203"/>
        <item x="209"/>
        <item x="191"/>
        <item x="190"/>
        <item x="210"/>
        <item x="208"/>
        <item x="212"/>
        <item x="213"/>
        <item x="211"/>
        <item x="214"/>
        <item x="216"/>
        <item x="219"/>
        <item x="215"/>
        <item x="218"/>
        <item x="221"/>
        <item x="220"/>
        <item x="217"/>
        <item x="223"/>
        <item x="222"/>
        <item x="224"/>
        <item x="226"/>
        <item x="225"/>
        <item x="228"/>
        <item x="227"/>
        <item x="230"/>
        <item x="229"/>
        <item x="231"/>
        <item x="233"/>
        <item x="232"/>
        <item x="234"/>
        <item x="236"/>
        <item x="235"/>
        <item x="237"/>
        <item x="239"/>
        <item x="238"/>
        <item x="241"/>
        <item x="242"/>
        <item x="240"/>
        <item x="244"/>
        <item x="243"/>
        <item x="245"/>
        <item x="247"/>
        <item x="246"/>
        <item x="248"/>
        <item x="250"/>
        <item x="249"/>
        <item x="251"/>
        <item x="252"/>
        <item x="253"/>
        <item x="254"/>
        <item x="256"/>
        <item x="255"/>
        <item x="257"/>
        <item x="259"/>
        <item x="258"/>
        <item x="260"/>
        <item x="262"/>
        <item x="261"/>
        <item x="263"/>
        <item x="265"/>
        <item x="264"/>
        <item x="267"/>
        <item x="268"/>
        <item x="266"/>
        <item x="192"/>
        <item t="default"/>
      </items>
    </pivotField>
    <pivotField showAll="0">
      <items count="258">
        <item x="18"/>
        <item x="16"/>
        <item x="13"/>
        <item x="23"/>
        <item x="10"/>
        <item x="25"/>
        <item x="33"/>
        <item x="7"/>
        <item x="36"/>
        <item x="32"/>
        <item x="50"/>
        <item x="39"/>
        <item x="27"/>
        <item x="1"/>
        <item x="4"/>
        <item x="46"/>
        <item x="14"/>
        <item x="17"/>
        <item x="19"/>
        <item x="11"/>
        <item x="21"/>
        <item x="57"/>
        <item x="8"/>
        <item x="2"/>
        <item x="61"/>
        <item x="12"/>
        <item x="5"/>
        <item x="9"/>
        <item x="15"/>
        <item x="64"/>
        <item x="0"/>
        <item x="6"/>
        <item x="67"/>
        <item x="20"/>
        <item x="34"/>
        <item x="3"/>
        <item x="28"/>
        <item x="37"/>
        <item x="72"/>
        <item x="30"/>
        <item x="22"/>
        <item x="51"/>
        <item x="24"/>
        <item x="42"/>
        <item x="44"/>
        <item x="47"/>
        <item x="83"/>
        <item x="53"/>
        <item x="26"/>
        <item x="31"/>
        <item x="55"/>
        <item x="58"/>
        <item x="35"/>
        <item x="29"/>
        <item x="87"/>
        <item x="38"/>
        <item x="62"/>
        <item x="76"/>
        <item x="40"/>
        <item x="49"/>
        <item x="41"/>
        <item x="43"/>
        <item x="48"/>
        <item x="45"/>
        <item x="68"/>
        <item x="52"/>
        <item x="65"/>
        <item x="70"/>
        <item x="54"/>
        <item x="56"/>
        <item x="59"/>
        <item x="60"/>
        <item x="98"/>
        <item x="74"/>
        <item x="109"/>
        <item x="66"/>
        <item x="69"/>
        <item x="63"/>
        <item x="104"/>
        <item x="85"/>
        <item x="71"/>
        <item x="84"/>
        <item x="77"/>
        <item x="88"/>
        <item x="116"/>
        <item x="79"/>
        <item x="81"/>
        <item x="73"/>
        <item x="118"/>
        <item x="121"/>
        <item x="91"/>
        <item x="123"/>
        <item x="125"/>
        <item x="130"/>
        <item x="93"/>
        <item x="95"/>
        <item x="132"/>
        <item x="75"/>
        <item x="99"/>
        <item x="110"/>
        <item x="86"/>
        <item x="78"/>
        <item x="108"/>
        <item x="82"/>
        <item x="89"/>
        <item x="106"/>
        <item x="80"/>
        <item x="115"/>
        <item x="102"/>
        <item x="105"/>
        <item x="141"/>
        <item x="90"/>
        <item x="92"/>
        <item x="94"/>
        <item x="122"/>
        <item x="112"/>
        <item x="113"/>
        <item x="96"/>
        <item x="111"/>
        <item x="126"/>
        <item x="97"/>
        <item x="107"/>
        <item x="114"/>
        <item x="147"/>
        <item x="100"/>
        <item x="138"/>
        <item x="101"/>
        <item x="103"/>
        <item x="133"/>
        <item x="142"/>
        <item x="149"/>
        <item x="135"/>
        <item x="120"/>
        <item x="117"/>
        <item x="119"/>
        <item x="124"/>
        <item x="127"/>
        <item x="137"/>
        <item x="128"/>
        <item x="129"/>
        <item x="136"/>
        <item x="139"/>
        <item x="140"/>
        <item x="134"/>
        <item x="143"/>
        <item x="131"/>
        <item x="144"/>
        <item x="145"/>
        <item x="150"/>
        <item x="146"/>
        <item x="152"/>
        <item x="155"/>
        <item x="148"/>
        <item x="153"/>
        <item x="158"/>
        <item x="156"/>
        <item x="160"/>
        <item x="151"/>
        <item x="164"/>
        <item x="157"/>
        <item x="167"/>
        <item x="154"/>
        <item x="170"/>
        <item x="161"/>
        <item x="172"/>
        <item x="165"/>
        <item x="159"/>
        <item x="168"/>
        <item x="175"/>
        <item x="163"/>
        <item x="166"/>
        <item x="173"/>
        <item x="169"/>
        <item x="178"/>
        <item x="171"/>
        <item x="176"/>
        <item x="181"/>
        <item x="174"/>
        <item x="179"/>
        <item x="177"/>
        <item x="182"/>
        <item x="184"/>
        <item x="180"/>
        <item x="187"/>
        <item x="185"/>
        <item x="190"/>
        <item x="183"/>
        <item x="188"/>
        <item x="255"/>
        <item x="186"/>
        <item x="252"/>
        <item x="193"/>
        <item x="256"/>
        <item x="191"/>
        <item x="199"/>
        <item x="215"/>
        <item x="217"/>
        <item x="196"/>
        <item x="254"/>
        <item x="212"/>
        <item x="253"/>
        <item x="202"/>
        <item x="189"/>
        <item x="209"/>
        <item x="206"/>
        <item x="239"/>
        <item x="246"/>
        <item x="251"/>
        <item x="194"/>
        <item x="244"/>
        <item x="250"/>
        <item x="237"/>
        <item x="220"/>
        <item x="200"/>
        <item x="234"/>
        <item x="249"/>
        <item x="248"/>
        <item x="197"/>
        <item x="192"/>
        <item x="216"/>
        <item x="232"/>
        <item x="218"/>
        <item x="223"/>
        <item x="240"/>
        <item x="247"/>
        <item x="213"/>
        <item x="203"/>
        <item x="245"/>
        <item x="229"/>
        <item x="198"/>
        <item x="242"/>
        <item x="226"/>
        <item x="210"/>
        <item x="195"/>
        <item x="207"/>
        <item x="201"/>
        <item x="238"/>
        <item x="235"/>
        <item x="214"/>
        <item x="243"/>
        <item x="241"/>
        <item x="236"/>
        <item x="221"/>
        <item x="204"/>
        <item x="211"/>
        <item x="233"/>
        <item x="208"/>
        <item x="205"/>
        <item x="224"/>
        <item x="230"/>
        <item x="231"/>
        <item x="227"/>
        <item x="219"/>
        <item x="222"/>
        <item x="228"/>
        <item x="225"/>
        <item x="162"/>
        <item t="default"/>
      </items>
    </pivotField>
    <pivotField showAll="0">
      <items count="282">
        <item x="1"/>
        <item x="4"/>
        <item x="2"/>
        <item x="5"/>
        <item x="0"/>
        <item x="3"/>
        <item x="7"/>
        <item x="8"/>
        <item x="6"/>
        <item x="26"/>
        <item x="25"/>
        <item x="12"/>
        <item x="9"/>
        <item x="22"/>
        <item x="11"/>
        <item x="15"/>
        <item x="14"/>
        <item x="10"/>
        <item x="23"/>
        <item x="27"/>
        <item x="29"/>
        <item x="18"/>
        <item x="13"/>
        <item x="17"/>
        <item x="21"/>
        <item x="24"/>
        <item x="20"/>
        <item x="33"/>
        <item x="16"/>
        <item x="19"/>
        <item x="32"/>
        <item x="30"/>
        <item x="34"/>
        <item x="35"/>
        <item x="36"/>
        <item x="31"/>
        <item x="28"/>
        <item x="38"/>
        <item x="96"/>
        <item x="39"/>
        <item x="95"/>
        <item x="37"/>
        <item x="99"/>
        <item x="93"/>
        <item x="66"/>
        <item x="69"/>
        <item x="61"/>
        <item x="64"/>
        <item x="58"/>
        <item x="90"/>
        <item x="71"/>
        <item x="85"/>
        <item x="87"/>
        <item x="55"/>
        <item x="97"/>
        <item x="40"/>
        <item x="62"/>
        <item x="46"/>
        <item x="42"/>
        <item x="67"/>
        <item x="43"/>
        <item x="59"/>
        <item x="94"/>
        <item x="41"/>
        <item x="56"/>
        <item x="72"/>
        <item x="45"/>
        <item x="91"/>
        <item x="48"/>
        <item x="86"/>
        <item x="63"/>
        <item x="60"/>
        <item x="57"/>
        <item x="88"/>
        <item x="49"/>
        <item x="44"/>
        <item x="118"/>
        <item x="68"/>
        <item x="119"/>
        <item x="51"/>
        <item x="54"/>
        <item x="84"/>
        <item x="65"/>
        <item x="74"/>
        <item x="77"/>
        <item x="70"/>
        <item x="53"/>
        <item x="47"/>
        <item x="122"/>
        <item x="92"/>
        <item x="98"/>
        <item x="89"/>
        <item x="80"/>
        <item x="75"/>
        <item x="78"/>
        <item x="52"/>
        <item x="81"/>
        <item x="120"/>
        <item x="83"/>
        <item x="79"/>
        <item x="82"/>
        <item x="102"/>
        <item x="50"/>
        <item x="150"/>
        <item x="76"/>
        <item x="73"/>
        <item x="115"/>
        <item x="101"/>
        <item x="148"/>
        <item x="130"/>
        <item x="123"/>
        <item x="177"/>
        <item x="105"/>
        <item x="117"/>
        <item x="111"/>
        <item x="103"/>
        <item x="113"/>
        <item x="145"/>
        <item x="106"/>
        <item x="125"/>
        <item x="116"/>
        <item x="108"/>
        <item x="133"/>
        <item x="104"/>
        <item x="140"/>
        <item x="178"/>
        <item x="128"/>
        <item x="109"/>
        <item x="131"/>
        <item x="100"/>
        <item x="126"/>
        <item x="114"/>
        <item x="107"/>
        <item x="121"/>
        <item x="112"/>
        <item x="135"/>
        <item x="174"/>
        <item x="124"/>
        <item x="129"/>
        <item x="171"/>
        <item x="110"/>
        <item x="197"/>
        <item x="132"/>
        <item x="151"/>
        <item x="143"/>
        <item x="127"/>
        <item x="146"/>
        <item x="175"/>
        <item x="137"/>
        <item x="176"/>
        <item x="153"/>
        <item x="141"/>
        <item x="198"/>
        <item x="196"/>
        <item x="181"/>
        <item x="179"/>
        <item x="188"/>
        <item x="134"/>
        <item x="194"/>
        <item x="195"/>
        <item x="173"/>
        <item x="172"/>
        <item x="138"/>
        <item x="191"/>
        <item x="211"/>
        <item x="155"/>
        <item x="169"/>
        <item x="184"/>
        <item x="180"/>
        <item x="190"/>
        <item x="142"/>
        <item x="183"/>
        <item x="202"/>
        <item x="205"/>
        <item x="147"/>
        <item x="144"/>
        <item x="193"/>
        <item x="212"/>
        <item x="139"/>
        <item x="149"/>
        <item x="136"/>
        <item x="210"/>
        <item x="192"/>
        <item x="152"/>
        <item x="214"/>
        <item x="166"/>
        <item x="189"/>
        <item x="199"/>
        <item x="157"/>
        <item x="186"/>
        <item x="204"/>
        <item x="209"/>
        <item x="170"/>
        <item x="216"/>
        <item x="182"/>
        <item x="208"/>
        <item x="160"/>
        <item x="242"/>
        <item x="167"/>
        <item x="201"/>
        <item x="239"/>
        <item x="163"/>
        <item x="213"/>
        <item x="233"/>
        <item x="154"/>
        <item x="164"/>
        <item x="165"/>
        <item x="158"/>
        <item x="218"/>
        <item x="187"/>
        <item x="215"/>
        <item x="162"/>
        <item x="168"/>
        <item x="203"/>
        <item x="161"/>
        <item x="185"/>
        <item x="241"/>
        <item x="206"/>
        <item x="207"/>
        <item x="243"/>
        <item x="270"/>
        <item x="156"/>
        <item x="238"/>
        <item x="235"/>
        <item x="232"/>
        <item x="217"/>
        <item x="159"/>
        <item x="245"/>
        <item x="228"/>
        <item x="269"/>
        <item x="240"/>
        <item x="225"/>
        <item x="265"/>
        <item x="236"/>
        <item x="268"/>
        <item x="244"/>
        <item x="237"/>
        <item x="271"/>
        <item x="219"/>
        <item x="267"/>
        <item x="234"/>
        <item x="231"/>
        <item x="263"/>
        <item x="222"/>
        <item x="266"/>
        <item x="264"/>
        <item x="230"/>
        <item x="260"/>
        <item x="221"/>
        <item x="227"/>
        <item x="262"/>
        <item x="252"/>
        <item x="224"/>
        <item x="272"/>
        <item x="261"/>
        <item x="249"/>
        <item x="220"/>
        <item x="278"/>
        <item x="257"/>
        <item x="274"/>
        <item x="254"/>
        <item x="246"/>
        <item x="229"/>
        <item x="251"/>
        <item x="226"/>
        <item x="273"/>
        <item x="280"/>
        <item x="223"/>
        <item x="248"/>
        <item x="259"/>
        <item x="275"/>
        <item x="253"/>
        <item x="256"/>
        <item x="250"/>
        <item x="279"/>
        <item x="247"/>
        <item x="277"/>
        <item x="258"/>
        <item x="276"/>
        <item x="255"/>
        <item x="200"/>
        <item t="default"/>
      </items>
    </pivotField>
    <pivotField showAll="0">
      <items count="313">
        <item x="6"/>
        <item x="0"/>
        <item x="2"/>
        <item x="3"/>
        <item x="1"/>
        <item x="5"/>
        <item x="8"/>
        <item x="7"/>
        <item x="4"/>
        <item x="10"/>
        <item x="11"/>
        <item x="9"/>
        <item x="38"/>
        <item x="13"/>
        <item x="41"/>
        <item x="39"/>
        <item x="37"/>
        <item x="42"/>
        <item x="40"/>
        <item x="14"/>
        <item x="134"/>
        <item x="35"/>
        <item x="136"/>
        <item x="135"/>
        <item x="138"/>
        <item x="139"/>
        <item x="133"/>
        <item x="137"/>
        <item x="43"/>
        <item x="45"/>
        <item x="131"/>
        <item x="44"/>
        <item x="140"/>
        <item x="36"/>
        <item x="142"/>
        <item x="12"/>
        <item x="143"/>
        <item x="34"/>
        <item x="47"/>
        <item x="132"/>
        <item x="144"/>
        <item x="16"/>
        <item x="46"/>
        <item x="141"/>
        <item x="77"/>
        <item x="173"/>
        <item x="75"/>
        <item x="107"/>
        <item x="72"/>
        <item x="80"/>
        <item x="79"/>
        <item x="196"/>
        <item x="145"/>
        <item x="17"/>
        <item x="48"/>
        <item x="74"/>
        <item x="198"/>
        <item x="108"/>
        <item x="105"/>
        <item x="194"/>
        <item x="106"/>
        <item x="78"/>
        <item x="82"/>
        <item x="195"/>
        <item x="76"/>
        <item x="197"/>
        <item x="193"/>
        <item x="73"/>
        <item x="50"/>
        <item x="69"/>
        <item x="192"/>
        <item x="174"/>
        <item x="71"/>
        <item x="147"/>
        <item x="200"/>
        <item x="109"/>
        <item x="70"/>
        <item x="171"/>
        <item x="111"/>
        <item x="172"/>
        <item x="83"/>
        <item x="81"/>
        <item x="191"/>
        <item x="110"/>
        <item x="169"/>
        <item x="49"/>
        <item x="175"/>
        <item x="170"/>
        <item x="254"/>
        <item x="20"/>
        <item x="85"/>
        <item x="19"/>
        <item x="102"/>
        <item x="66"/>
        <item x="68"/>
        <item x="203"/>
        <item x="86"/>
        <item x="304"/>
        <item x="67"/>
        <item x="199"/>
        <item x="104"/>
        <item x="112"/>
        <item x="130"/>
        <item x="129"/>
        <item x="146"/>
        <item x="168"/>
        <item x="308"/>
        <item x="302"/>
        <item x="202"/>
        <item x="176"/>
        <item x="15"/>
        <item x="178"/>
        <item x="177"/>
        <item x="103"/>
        <item x="257"/>
        <item x="32"/>
        <item x="88"/>
        <item x="190"/>
        <item x="33"/>
        <item x="100"/>
        <item x="31"/>
        <item x="84"/>
        <item x="189"/>
        <item x="187"/>
        <item x="256"/>
        <item x="310"/>
        <item x="232"/>
        <item x="101"/>
        <item x="126"/>
        <item x="184"/>
        <item x="123"/>
        <item x="250"/>
        <item x="186"/>
        <item x="51"/>
        <item x="299"/>
        <item x="166"/>
        <item x="125"/>
        <item x="128"/>
        <item x="185"/>
        <item x="113"/>
        <item x="148"/>
        <item x="167"/>
        <item x="22"/>
        <item x="63"/>
        <item x="165"/>
        <item x="227"/>
        <item x="65"/>
        <item x="114"/>
        <item x="306"/>
        <item x="260"/>
        <item x="124"/>
        <item x="188"/>
        <item x="64"/>
        <item x="87"/>
        <item x="89"/>
        <item x="263"/>
        <item x="23"/>
        <item x="179"/>
        <item x="153"/>
        <item x="127"/>
        <item x="97"/>
        <item x="60"/>
        <item x="259"/>
        <item x="278"/>
        <item x="181"/>
        <item x="207"/>
        <item x="182"/>
        <item x="233"/>
        <item x="155"/>
        <item x="62"/>
        <item x="120"/>
        <item x="156"/>
        <item x="183"/>
        <item x="91"/>
        <item x="53"/>
        <item x="117"/>
        <item x="99"/>
        <item x="57"/>
        <item x="92"/>
        <item x="122"/>
        <item x="180"/>
        <item x="150"/>
        <item x="61"/>
        <item x="116"/>
        <item x="301"/>
        <item x="252"/>
        <item x="206"/>
        <item x="96"/>
        <item x="154"/>
        <item x="18"/>
        <item x="162"/>
        <item x="54"/>
        <item x="201"/>
        <item x="164"/>
        <item x="59"/>
        <item x="94"/>
        <item x="265"/>
        <item x="158"/>
        <item x="229"/>
        <item x="151"/>
        <item x="163"/>
        <item x="210"/>
        <item x="121"/>
        <item x="262"/>
        <item x="98"/>
        <item x="25"/>
        <item x="224"/>
        <item x="119"/>
        <item x="90"/>
        <item x="95"/>
        <item x="253"/>
        <item x="281"/>
        <item x="255"/>
        <item x="279"/>
        <item x="228"/>
        <item x="284"/>
        <item x="209"/>
        <item x="159"/>
        <item x="56"/>
        <item x="93"/>
        <item x="58"/>
        <item x="277"/>
        <item x="204"/>
        <item x="266"/>
        <item x="226"/>
        <item x="234"/>
        <item x="27"/>
        <item x="297"/>
        <item x="272"/>
        <item x="52"/>
        <item x="289"/>
        <item x="157"/>
        <item x="115"/>
        <item x="161"/>
        <item x="24"/>
        <item x="283"/>
        <item x="149"/>
        <item x="303"/>
        <item x="305"/>
        <item x="307"/>
        <item x="258"/>
        <item x="291"/>
        <item x="21"/>
        <item x="28"/>
        <item x="300"/>
        <item x="212"/>
        <item x="118"/>
        <item x="152"/>
        <item x="309"/>
        <item x="230"/>
        <item x="205"/>
        <item x="251"/>
        <item x="225"/>
        <item x="55"/>
        <item x="288"/>
        <item x="286"/>
        <item x="30"/>
        <item x="264"/>
        <item x="26"/>
        <item x="269"/>
        <item x="294"/>
        <item x="311"/>
        <item x="160"/>
        <item x="268"/>
        <item x="261"/>
        <item x="237"/>
        <item x="247"/>
        <item x="274"/>
        <item x="214"/>
        <item x="208"/>
        <item x="280"/>
        <item x="215"/>
        <item x="221"/>
        <item x="293"/>
        <item x="235"/>
        <item x="211"/>
        <item x="29"/>
        <item x="249"/>
        <item x="223"/>
        <item x="276"/>
        <item x="271"/>
        <item x="217"/>
        <item x="296"/>
        <item x="238"/>
        <item x="236"/>
        <item x="282"/>
        <item x="275"/>
        <item x="298"/>
        <item x="248"/>
        <item x="213"/>
        <item x="222"/>
        <item x="287"/>
        <item x="240"/>
        <item x="218"/>
        <item x="285"/>
        <item x="290"/>
        <item x="267"/>
        <item x="216"/>
        <item x="220"/>
        <item x="273"/>
        <item x="292"/>
        <item x="241"/>
        <item x="244"/>
        <item x="239"/>
        <item x="295"/>
        <item x="270"/>
        <item x="243"/>
        <item x="246"/>
        <item x="219"/>
        <item x="245"/>
        <item x="242"/>
        <item x="231"/>
        <item t="default"/>
      </items>
    </pivotField>
    <pivotField showAll="0">
      <items count="266">
        <item x="7"/>
        <item x="4"/>
        <item x="9"/>
        <item x="18"/>
        <item x="8"/>
        <item x="15"/>
        <item x="10"/>
        <item x="5"/>
        <item x="12"/>
        <item x="6"/>
        <item x="1"/>
        <item x="3"/>
        <item x="2"/>
        <item x="0"/>
        <item x="13"/>
        <item x="16"/>
        <item x="19"/>
        <item x="11"/>
        <item x="14"/>
        <item x="22"/>
        <item x="17"/>
        <item x="28"/>
        <item x="20"/>
        <item x="24"/>
        <item x="21"/>
        <item x="26"/>
        <item x="29"/>
        <item x="23"/>
        <item x="31"/>
        <item x="25"/>
        <item x="27"/>
        <item x="30"/>
        <item x="32"/>
        <item x="33"/>
        <item x="34"/>
        <item x="36"/>
        <item x="37"/>
        <item x="169"/>
        <item x="39"/>
        <item x="35"/>
        <item x="38"/>
        <item x="41"/>
        <item x="40"/>
        <item x="176"/>
        <item x="174"/>
        <item x="166"/>
        <item x="42"/>
        <item x="44"/>
        <item x="45"/>
        <item x="43"/>
        <item x="178"/>
        <item x="48"/>
        <item x="47"/>
        <item x="50"/>
        <item x="51"/>
        <item x="54"/>
        <item x="46"/>
        <item x="161"/>
        <item x="53"/>
        <item x="49"/>
        <item x="179"/>
        <item x="56"/>
        <item x="181"/>
        <item x="158"/>
        <item x="59"/>
        <item x="58"/>
        <item x="52"/>
        <item x="155"/>
        <item x="62"/>
        <item x="55"/>
        <item x="182"/>
        <item x="183"/>
        <item x="61"/>
        <item x="177"/>
        <item x="180"/>
        <item x="170"/>
        <item x="65"/>
        <item x="172"/>
        <item x="184"/>
        <item x="153"/>
        <item x="167"/>
        <item x="64"/>
        <item x="57"/>
        <item x="145"/>
        <item x="151"/>
        <item x="68"/>
        <item x="185"/>
        <item x="148"/>
        <item x="164"/>
        <item x="143"/>
        <item x="67"/>
        <item x="186"/>
        <item x="60"/>
        <item x="175"/>
        <item x="162"/>
        <item x="168"/>
        <item x="171"/>
        <item x="173"/>
        <item x="63"/>
        <item x="159"/>
        <item x="188"/>
        <item x="140"/>
        <item x="189"/>
        <item x="165"/>
        <item x="187"/>
        <item x="191"/>
        <item x="156"/>
        <item x="163"/>
        <item x="193"/>
        <item x="192"/>
        <item x="160"/>
        <item x="196"/>
        <item x="70"/>
        <item x="190"/>
        <item x="194"/>
        <item x="154"/>
        <item x="66"/>
        <item x="137"/>
        <item x="197"/>
        <item x="157"/>
        <item x="71"/>
        <item x="195"/>
        <item x="152"/>
        <item x="199"/>
        <item x="146"/>
        <item x="149"/>
        <item x="198"/>
        <item x="144"/>
        <item x="74"/>
        <item x="200"/>
        <item x="201"/>
        <item x="132"/>
        <item x="141"/>
        <item x="150"/>
        <item x="147"/>
        <item x="203"/>
        <item x="73"/>
        <item x="77"/>
        <item x="142"/>
        <item x="138"/>
        <item x="202"/>
        <item x="76"/>
        <item x="206"/>
        <item x="207"/>
        <item x="139"/>
        <item x="205"/>
        <item x="135"/>
        <item x="204"/>
        <item x="136"/>
        <item x="80"/>
        <item x="69"/>
        <item x="129"/>
        <item x="133"/>
        <item x="79"/>
        <item x="134"/>
        <item x="131"/>
        <item x="72"/>
        <item x="217"/>
        <item x="75"/>
        <item x="218"/>
        <item x="215"/>
        <item x="82"/>
        <item x="208"/>
        <item x="212"/>
        <item x="210"/>
        <item x="209"/>
        <item x="214"/>
        <item x="216"/>
        <item x="213"/>
        <item x="130"/>
        <item x="83"/>
        <item x="126"/>
        <item x="219"/>
        <item x="78"/>
        <item x="221"/>
        <item x="128"/>
        <item x="225"/>
        <item x="220"/>
        <item x="227"/>
        <item x="228"/>
        <item x="127"/>
        <item x="226"/>
        <item x="223"/>
        <item x="224"/>
        <item x="86"/>
        <item x="229"/>
        <item x="98"/>
        <item x="222"/>
        <item x="125"/>
        <item x="89"/>
        <item x="101"/>
        <item x="95"/>
        <item x="243"/>
        <item x="245"/>
        <item x="234"/>
        <item x="244"/>
        <item x="92"/>
        <item x="239"/>
        <item x="236"/>
        <item x="238"/>
        <item x="241"/>
        <item x="100"/>
        <item x="242"/>
        <item x="237"/>
        <item x="247"/>
        <item x="235"/>
        <item x="246"/>
        <item x="230"/>
        <item x="240"/>
        <item x="85"/>
        <item x="81"/>
        <item x="232"/>
        <item x="231"/>
        <item x="104"/>
        <item x="233"/>
        <item x="248"/>
        <item x="250"/>
        <item x="249"/>
        <item x="97"/>
        <item x="103"/>
        <item x="123"/>
        <item x="124"/>
        <item x="251"/>
        <item x="252"/>
        <item x="107"/>
        <item x="253"/>
        <item x="255"/>
        <item x="254"/>
        <item x="121"/>
        <item x="118"/>
        <item x="99"/>
        <item x="116"/>
        <item x="257"/>
        <item x="94"/>
        <item x="259"/>
        <item x="260"/>
        <item x="256"/>
        <item x="261"/>
        <item x="88"/>
        <item x="258"/>
        <item x="91"/>
        <item x="106"/>
        <item x="110"/>
        <item x="120"/>
        <item x="113"/>
        <item x="262"/>
        <item x="264"/>
        <item x="117"/>
        <item x="109"/>
        <item x="263"/>
        <item x="122"/>
        <item x="115"/>
        <item x="119"/>
        <item x="96"/>
        <item x="102"/>
        <item x="112"/>
        <item x="114"/>
        <item x="105"/>
        <item x="93"/>
        <item x="108"/>
        <item x="84"/>
        <item x="111"/>
        <item x="90"/>
        <item x="87"/>
        <item x="211"/>
        <item t="default"/>
      </items>
    </pivotField>
    <pivotField showAll="0">
      <items count="206">
        <item x="66"/>
        <item x="63"/>
        <item x="69"/>
        <item x="72"/>
        <item x="61"/>
        <item x="70"/>
        <item x="67"/>
        <item x="59"/>
        <item x="64"/>
        <item x="56"/>
        <item x="73"/>
        <item x="68"/>
        <item x="76"/>
        <item x="65"/>
        <item x="54"/>
        <item x="75"/>
        <item x="71"/>
        <item x="62"/>
        <item x="74"/>
        <item x="51"/>
        <item x="60"/>
        <item x="33"/>
        <item x="57"/>
        <item x="48"/>
        <item x="36"/>
        <item x="78"/>
        <item x="31"/>
        <item x="55"/>
        <item x="79"/>
        <item x="58"/>
        <item x="77"/>
        <item x="45"/>
        <item x="52"/>
        <item x="28"/>
        <item x="80"/>
        <item x="82"/>
        <item x="53"/>
        <item x="49"/>
        <item x="81"/>
        <item x="34"/>
        <item x="25"/>
        <item x="37"/>
        <item x="43"/>
        <item x="50"/>
        <item x="22"/>
        <item x="38"/>
        <item x="83"/>
        <item x="47"/>
        <item x="46"/>
        <item x="20"/>
        <item x="84"/>
        <item x="19"/>
        <item x="32"/>
        <item x="35"/>
        <item x="17"/>
        <item x="14"/>
        <item x="29"/>
        <item x="30"/>
        <item x="11"/>
        <item x="8"/>
        <item x="44"/>
        <item x="26"/>
        <item x="6"/>
        <item x="23"/>
        <item x="39"/>
        <item x="27"/>
        <item x="12"/>
        <item x="15"/>
        <item x="18"/>
        <item x="9"/>
        <item x="24"/>
        <item x="10"/>
        <item x="4"/>
        <item x="21"/>
        <item x="42"/>
        <item x="13"/>
        <item x="7"/>
        <item x="16"/>
        <item x="41"/>
        <item x="40"/>
        <item x="5"/>
        <item x="1"/>
        <item x="147"/>
        <item x="3"/>
        <item x="2"/>
        <item x="86"/>
        <item x="0"/>
        <item x="87"/>
        <item x="161"/>
        <item x="150"/>
        <item x="89"/>
        <item x="90"/>
        <item x="162"/>
        <item x="85"/>
        <item x="163"/>
        <item x="148"/>
        <item x="92"/>
        <item x="93"/>
        <item x="160"/>
        <item x="144"/>
        <item x="165"/>
        <item x="159"/>
        <item x="88"/>
        <item x="164"/>
        <item x="95"/>
        <item x="157"/>
        <item x="166"/>
        <item x="146"/>
        <item x="156"/>
        <item x="91"/>
        <item x="96"/>
        <item x="183"/>
        <item x="154"/>
        <item x="149"/>
        <item x="158"/>
        <item x="172"/>
        <item x="167"/>
        <item x="155"/>
        <item x="98"/>
        <item x="99"/>
        <item x="169"/>
        <item x="94"/>
        <item x="102"/>
        <item x="152"/>
        <item x="170"/>
        <item x="145"/>
        <item x="101"/>
        <item x="185"/>
        <item x="168"/>
        <item x="104"/>
        <item x="141"/>
        <item x="151"/>
        <item x="107"/>
        <item x="186"/>
        <item x="97"/>
        <item x="153"/>
        <item x="108"/>
        <item x="180"/>
        <item x="171"/>
        <item x="100"/>
        <item x="143"/>
        <item x="178"/>
        <item x="103"/>
        <item x="106"/>
        <item x="105"/>
        <item x="182"/>
        <item x="184"/>
        <item x="142"/>
        <item x="110"/>
        <item x="175"/>
        <item x="177"/>
        <item x="176"/>
        <item x="112"/>
        <item x="140"/>
        <item x="181"/>
        <item x="109"/>
        <item x="115"/>
        <item x="139"/>
        <item x="114"/>
        <item x="179"/>
        <item x="194"/>
        <item x="117"/>
        <item x="118"/>
        <item x="138"/>
        <item x="121"/>
        <item x="195"/>
        <item x="196"/>
        <item x="198"/>
        <item x="189"/>
        <item x="120"/>
        <item x="111"/>
        <item x="123"/>
        <item x="188"/>
        <item x="173"/>
        <item x="197"/>
        <item x="124"/>
        <item x="199"/>
        <item x="113"/>
        <item x="187"/>
        <item x="126"/>
        <item x="192"/>
        <item x="137"/>
        <item x="116"/>
        <item x="122"/>
        <item x="119"/>
        <item x="201"/>
        <item x="128"/>
        <item x="193"/>
        <item x="130"/>
        <item x="125"/>
        <item x="190"/>
        <item x="132"/>
        <item x="136"/>
        <item x="127"/>
        <item x="200"/>
        <item x="129"/>
        <item x="133"/>
        <item x="131"/>
        <item x="203"/>
        <item x="135"/>
        <item x="191"/>
        <item x="202"/>
        <item x="134"/>
        <item x="204"/>
        <item x="174"/>
        <item t="default"/>
      </items>
    </pivotField>
    <pivotField showAll="0">
      <items count="283">
        <item x="1"/>
        <item x="3"/>
        <item x="6"/>
        <item x="2"/>
        <item x="4"/>
        <item x="7"/>
        <item x="0"/>
        <item x="8"/>
        <item x="5"/>
        <item x="9"/>
        <item x="10"/>
        <item x="12"/>
        <item x="11"/>
        <item x="13"/>
        <item x="15"/>
        <item x="14"/>
        <item x="17"/>
        <item x="18"/>
        <item x="20"/>
        <item x="16"/>
        <item x="21"/>
        <item x="24"/>
        <item x="23"/>
        <item x="19"/>
        <item x="26"/>
        <item x="27"/>
        <item x="22"/>
        <item x="29"/>
        <item x="25"/>
        <item x="30"/>
        <item x="33"/>
        <item x="28"/>
        <item x="36"/>
        <item x="32"/>
        <item x="39"/>
        <item x="35"/>
        <item x="42"/>
        <item x="38"/>
        <item x="45"/>
        <item x="41"/>
        <item x="31"/>
        <item x="48"/>
        <item x="44"/>
        <item x="34"/>
        <item x="51"/>
        <item x="47"/>
        <item x="37"/>
        <item x="40"/>
        <item x="50"/>
        <item x="54"/>
        <item x="57"/>
        <item x="43"/>
        <item x="53"/>
        <item x="62"/>
        <item x="65"/>
        <item x="46"/>
        <item x="56"/>
        <item x="68"/>
        <item x="59"/>
        <item x="61"/>
        <item x="49"/>
        <item x="71"/>
        <item x="64"/>
        <item x="67"/>
        <item x="74"/>
        <item x="76"/>
        <item x="52"/>
        <item x="70"/>
        <item x="78"/>
        <item x="73"/>
        <item x="55"/>
        <item x="77"/>
        <item x="58"/>
        <item x="81"/>
        <item x="80"/>
        <item x="60"/>
        <item x="86"/>
        <item x="63"/>
        <item x="66"/>
        <item x="83"/>
        <item x="85"/>
        <item x="69"/>
        <item x="88"/>
        <item x="75"/>
        <item x="72"/>
        <item x="93"/>
        <item x="90"/>
        <item x="79"/>
        <item x="96"/>
        <item x="99"/>
        <item x="92"/>
        <item x="82"/>
        <item x="102"/>
        <item x="105"/>
        <item x="95"/>
        <item x="108"/>
        <item x="84"/>
        <item x="98"/>
        <item x="110"/>
        <item x="87"/>
        <item x="101"/>
        <item x="113"/>
        <item x="144"/>
        <item x="104"/>
        <item x="107"/>
        <item x="142"/>
        <item x="139"/>
        <item x="116"/>
        <item x="89"/>
        <item x="147"/>
        <item x="119"/>
        <item x="146"/>
        <item x="112"/>
        <item x="136"/>
        <item x="91"/>
        <item x="133"/>
        <item x="115"/>
        <item x="141"/>
        <item x="126"/>
        <item x="130"/>
        <item x="94"/>
        <item x="152"/>
        <item x="148"/>
        <item x="154"/>
        <item x="118"/>
        <item x="155"/>
        <item x="145"/>
        <item x="138"/>
        <item x="121"/>
        <item x="153"/>
        <item x="149"/>
        <item x="157"/>
        <item x="97"/>
        <item x="135"/>
        <item x="123"/>
        <item x="159"/>
        <item x="167"/>
        <item x="125"/>
        <item x="161"/>
        <item x="100"/>
        <item x="132"/>
        <item x="103"/>
        <item x="143"/>
        <item x="156"/>
        <item x="106"/>
        <item x="129"/>
        <item x="158"/>
        <item x="109"/>
        <item x="150"/>
        <item x="164"/>
        <item x="151"/>
        <item x="168"/>
        <item x="166"/>
        <item x="163"/>
        <item x="160"/>
        <item x="162"/>
        <item x="140"/>
        <item x="165"/>
        <item x="111"/>
        <item x="170"/>
        <item x="169"/>
        <item x="172"/>
        <item x="137"/>
        <item x="171"/>
        <item x="114"/>
        <item x="174"/>
        <item x="117"/>
        <item x="134"/>
        <item x="175"/>
        <item x="173"/>
        <item x="120"/>
        <item x="122"/>
        <item x="131"/>
        <item x="176"/>
        <item x="124"/>
        <item x="127"/>
        <item x="128"/>
        <item x="178"/>
        <item x="179"/>
        <item x="177"/>
        <item x="181"/>
        <item x="182"/>
        <item x="180"/>
        <item x="184"/>
        <item x="187"/>
        <item x="185"/>
        <item x="190"/>
        <item x="183"/>
        <item x="188"/>
        <item x="186"/>
        <item x="191"/>
        <item x="189"/>
        <item x="193"/>
        <item x="192"/>
        <item x="196"/>
        <item x="197"/>
        <item x="195"/>
        <item x="198"/>
        <item x="200"/>
        <item x="199"/>
        <item x="202"/>
        <item x="201"/>
        <item x="204"/>
        <item x="205"/>
        <item x="207"/>
        <item x="203"/>
        <item x="212"/>
        <item x="214"/>
        <item x="216"/>
        <item x="208"/>
        <item x="206"/>
        <item x="217"/>
        <item x="210"/>
        <item x="213"/>
        <item x="215"/>
        <item x="209"/>
        <item x="211"/>
        <item x="219"/>
        <item x="222"/>
        <item x="226"/>
        <item x="230"/>
        <item x="233"/>
        <item x="220"/>
        <item x="224"/>
        <item x="223"/>
        <item x="227"/>
        <item x="231"/>
        <item x="234"/>
        <item x="218"/>
        <item x="225"/>
        <item x="221"/>
        <item x="228"/>
        <item x="236"/>
        <item x="229"/>
        <item x="232"/>
        <item x="235"/>
        <item x="238"/>
        <item x="240"/>
        <item x="237"/>
        <item x="241"/>
        <item x="243"/>
        <item x="239"/>
        <item x="244"/>
        <item x="246"/>
        <item x="242"/>
        <item x="247"/>
        <item x="249"/>
        <item x="245"/>
        <item x="252"/>
        <item x="250"/>
        <item x="255"/>
        <item x="248"/>
        <item x="253"/>
        <item x="251"/>
        <item x="258"/>
        <item x="256"/>
        <item x="254"/>
        <item x="259"/>
        <item x="257"/>
        <item x="263"/>
        <item x="261"/>
        <item x="266"/>
        <item x="260"/>
        <item x="264"/>
        <item x="269"/>
        <item x="262"/>
        <item x="267"/>
        <item x="272"/>
        <item x="265"/>
        <item x="270"/>
        <item x="268"/>
        <item x="277"/>
        <item x="273"/>
        <item x="275"/>
        <item x="271"/>
        <item x="280"/>
        <item x="274"/>
        <item x="278"/>
        <item x="276"/>
        <item x="281"/>
        <item x="279"/>
        <item x="194"/>
        <item t="default"/>
      </items>
    </pivotField>
    <pivotField showAll="0">
      <items count="269">
        <item x="0"/>
        <item x="2"/>
        <item x="1"/>
        <item x="4"/>
        <item x="5"/>
        <item x="3"/>
        <item x="7"/>
        <item x="8"/>
        <item x="6"/>
        <item x="10"/>
        <item x="11"/>
        <item x="13"/>
        <item x="9"/>
        <item x="15"/>
        <item x="12"/>
        <item x="17"/>
        <item x="18"/>
        <item x="14"/>
        <item x="20"/>
        <item x="16"/>
        <item x="22"/>
        <item x="19"/>
        <item x="21"/>
        <item x="24"/>
        <item x="23"/>
        <item x="25"/>
        <item x="26"/>
        <item x="32"/>
        <item x="28"/>
        <item x="27"/>
        <item x="30"/>
        <item x="33"/>
        <item x="29"/>
        <item x="31"/>
        <item x="35"/>
        <item x="34"/>
        <item x="37"/>
        <item x="40"/>
        <item x="36"/>
        <item x="43"/>
        <item x="41"/>
        <item x="38"/>
        <item x="44"/>
        <item x="39"/>
        <item x="42"/>
        <item x="47"/>
        <item x="48"/>
        <item x="45"/>
        <item x="46"/>
        <item x="54"/>
        <item x="57"/>
        <item x="49"/>
        <item x="60"/>
        <item x="50"/>
        <item x="52"/>
        <item x="55"/>
        <item x="65"/>
        <item x="58"/>
        <item x="51"/>
        <item x="53"/>
        <item x="70"/>
        <item x="61"/>
        <item x="56"/>
        <item x="63"/>
        <item x="66"/>
        <item x="59"/>
        <item x="68"/>
        <item x="78"/>
        <item x="81"/>
        <item x="71"/>
        <item x="64"/>
        <item x="62"/>
        <item x="67"/>
        <item x="89"/>
        <item x="74"/>
        <item x="69"/>
        <item x="76"/>
        <item x="96"/>
        <item x="72"/>
        <item x="99"/>
        <item x="79"/>
        <item x="82"/>
        <item x="73"/>
        <item x="104"/>
        <item x="75"/>
        <item x="106"/>
        <item x="85"/>
        <item x="111"/>
        <item x="87"/>
        <item x="77"/>
        <item x="90"/>
        <item x="120"/>
        <item x="80"/>
        <item x="83"/>
        <item x="92"/>
        <item x="123"/>
        <item x="84"/>
        <item x="94"/>
        <item x="127"/>
        <item x="129"/>
        <item x="97"/>
        <item x="86"/>
        <item x="100"/>
        <item x="88"/>
        <item x="132"/>
        <item x="102"/>
        <item x="137"/>
        <item x="138"/>
        <item x="107"/>
        <item x="109"/>
        <item x="91"/>
        <item x="112"/>
        <item x="114"/>
        <item x="141"/>
        <item x="116"/>
        <item x="146"/>
        <item x="93"/>
        <item x="152"/>
        <item x="118"/>
        <item x="131"/>
        <item x="98"/>
        <item x="95"/>
        <item x="155"/>
        <item x="103"/>
        <item x="101"/>
        <item x="125"/>
        <item x="105"/>
        <item x="160"/>
        <item x="133"/>
        <item x="108"/>
        <item x="135"/>
        <item x="110"/>
        <item x="165"/>
        <item x="113"/>
        <item x="115"/>
        <item x="130"/>
        <item x="142"/>
        <item x="126"/>
        <item x="128"/>
        <item x="122"/>
        <item x="117"/>
        <item x="174"/>
        <item x="119"/>
        <item x="121"/>
        <item x="124"/>
        <item x="134"/>
        <item x="136"/>
        <item x="140"/>
        <item x="150"/>
        <item x="147"/>
        <item x="144"/>
        <item x="153"/>
        <item x="139"/>
        <item x="156"/>
        <item x="158"/>
        <item x="143"/>
        <item x="161"/>
        <item x="162"/>
        <item x="163"/>
        <item x="166"/>
        <item x="168"/>
        <item x="181"/>
        <item x="170"/>
        <item x="172"/>
        <item x="175"/>
        <item x="176"/>
        <item x="178"/>
        <item x="149"/>
        <item x="151"/>
        <item x="145"/>
        <item x="154"/>
        <item x="148"/>
        <item x="157"/>
        <item x="159"/>
        <item x="164"/>
        <item x="167"/>
        <item x="177"/>
        <item x="169"/>
        <item x="182"/>
        <item x="171"/>
        <item x="173"/>
        <item x="184"/>
        <item x="190"/>
        <item x="180"/>
        <item x="186"/>
        <item x="193"/>
        <item x="183"/>
        <item x="188"/>
        <item x="185"/>
        <item x="196"/>
        <item x="191"/>
        <item x="187"/>
        <item x="194"/>
        <item x="189"/>
        <item x="201"/>
        <item x="204"/>
        <item x="197"/>
        <item x="207"/>
        <item x="210"/>
        <item x="192"/>
        <item x="214"/>
        <item x="218"/>
        <item x="199"/>
        <item x="195"/>
        <item x="202"/>
        <item x="225"/>
        <item x="228"/>
        <item x="231"/>
        <item x="234"/>
        <item x="205"/>
        <item x="236"/>
        <item x="239"/>
        <item x="208"/>
        <item x="242"/>
        <item x="198"/>
        <item x="245"/>
        <item x="200"/>
        <item x="212"/>
        <item x="247"/>
        <item x="250"/>
        <item x="203"/>
        <item x="253"/>
        <item x="215"/>
        <item x="256"/>
        <item x="219"/>
        <item x="221"/>
        <item x="223"/>
        <item x="226"/>
        <item x="206"/>
        <item x="229"/>
        <item x="261"/>
        <item x="232"/>
        <item x="209"/>
        <item x="266"/>
        <item x="211"/>
        <item x="237"/>
        <item x="213"/>
        <item x="240"/>
        <item x="216"/>
        <item x="243"/>
        <item x="217"/>
        <item x="220"/>
        <item x="248"/>
        <item x="222"/>
        <item x="224"/>
        <item x="251"/>
        <item x="254"/>
        <item x="227"/>
        <item x="257"/>
        <item x="230"/>
        <item x="259"/>
        <item x="262"/>
        <item x="233"/>
        <item x="264"/>
        <item x="235"/>
        <item x="267"/>
        <item x="238"/>
        <item x="241"/>
        <item x="244"/>
        <item x="246"/>
        <item x="249"/>
        <item x="252"/>
        <item x="255"/>
        <item x="258"/>
        <item x="260"/>
        <item x="263"/>
        <item x="265"/>
        <item x="179"/>
        <item t="default"/>
      </items>
    </pivotField>
    <pivotField showAll="0">
      <items count="308">
        <item x="0"/>
        <item x="2"/>
        <item x="3"/>
        <item x="1"/>
        <item x="6"/>
        <item x="5"/>
        <item x="9"/>
        <item x="8"/>
        <item x="4"/>
        <item x="11"/>
        <item x="7"/>
        <item x="12"/>
        <item x="14"/>
        <item x="10"/>
        <item x="15"/>
        <item x="13"/>
        <item x="17"/>
        <item x="18"/>
        <item x="16"/>
        <item x="20"/>
        <item x="19"/>
        <item x="22"/>
        <item x="23"/>
        <item x="21"/>
        <item x="25"/>
        <item x="26"/>
        <item x="24"/>
        <item x="27"/>
        <item x="29"/>
        <item x="30"/>
        <item x="28"/>
        <item x="33"/>
        <item x="32"/>
        <item x="35"/>
        <item x="31"/>
        <item x="38"/>
        <item x="41"/>
        <item x="37"/>
        <item x="34"/>
        <item x="44"/>
        <item x="40"/>
        <item x="43"/>
        <item x="36"/>
        <item x="47"/>
        <item x="46"/>
        <item x="39"/>
        <item x="50"/>
        <item x="42"/>
        <item x="49"/>
        <item x="45"/>
        <item x="52"/>
        <item x="48"/>
        <item x="55"/>
        <item x="54"/>
        <item x="58"/>
        <item x="51"/>
        <item x="57"/>
        <item x="60"/>
        <item x="53"/>
        <item x="63"/>
        <item x="56"/>
        <item x="62"/>
        <item x="59"/>
        <item x="65"/>
        <item x="67"/>
        <item x="68"/>
        <item x="61"/>
        <item x="64"/>
        <item x="70"/>
        <item x="66"/>
        <item x="72"/>
        <item x="69"/>
        <item x="73"/>
        <item x="75"/>
        <item x="71"/>
        <item x="74"/>
        <item x="76"/>
        <item x="77"/>
        <item x="79"/>
        <item x="80"/>
        <item x="82"/>
        <item x="78"/>
        <item x="83"/>
        <item x="81"/>
        <item x="85"/>
        <item x="87"/>
        <item x="84"/>
        <item x="86"/>
        <item x="89"/>
        <item x="90"/>
        <item x="88"/>
        <item x="92"/>
        <item x="93"/>
        <item x="91"/>
        <item x="95"/>
        <item x="94"/>
        <item x="99"/>
        <item x="97"/>
        <item x="102"/>
        <item x="100"/>
        <item x="96"/>
        <item x="103"/>
        <item x="98"/>
        <item x="105"/>
        <item x="108"/>
        <item x="101"/>
        <item x="104"/>
        <item x="111"/>
        <item x="109"/>
        <item x="106"/>
        <item x="112"/>
        <item x="107"/>
        <item x="114"/>
        <item x="118"/>
        <item x="110"/>
        <item x="116"/>
        <item x="121"/>
        <item x="113"/>
        <item x="124"/>
        <item x="119"/>
        <item x="115"/>
        <item x="127"/>
        <item x="122"/>
        <item x="130"/>
        <item x="125"/>
        <item x="117"/>
        <item x="135"/>
        <item x="128"/>
        <item x="138"/>
        <item x="120"/>
        <item x="131"/>
        <item x="123"/>
        <item x="143"/>
        <item x="126"/>
        <item x="133"/>
        <item x="136"/>
        <item x="129"/>
        <item x="139"/>
        <item x="141"/>
        <item x="147"/>
        <item x="132"/>
        <item x="134"/>
        <item x="137"/>
        <item x="152"/>
        <item x="154"/>
        <item x="140"/>
        <item x="145"/>
        <item x="159"/>
        <item x="148"/>
        <item x="162"/>
        <item x="142"/>
        <item x="150"/>
        <item x="165"/>
        <item x="144"/>
        <item x="153"/>
        <item x="155"/>
        <item x="146"/>
        <item x="169"/>
        <item x="157"/>
        <item x="160"/>
        <item x="149"/>
        <item x="163"/>
        <item x="166"/>
        <item x="174"/>
        <item x="151"/>
        <item x="158"/>
        <item x="156"/>
        <item x="175"/>
        <item x="170"/>
        <item x="178"/>
        <item x="161"/>
        <item x="180"/>
        <item x="172"/>
        <item x="183"/>
        <item x="185"/>
        <item x="164"/>
        <item x="188"/>
        <item x="167"/>
        <item x="176"/>
        <item x="181"/>
        <item x="168"/>
        <item x="186"/>
        <item x="191"/>
        <item x="171"/>
        <item x="189"/>
        <item x="193"/>
        <item x="182"/>
        <item x="173"/>
        <item x="179"/>
        <item x="177"/>
        <item x="184"/>
        <item x="187"/>
        <item x="190"/>
        <item x="192"/>
        <item x="196"/>
        <item x="194"/>
        <item x="198"/>
        <item x="195"/>
        <item x="197"/>
        <item x="200"/>
        <item x="199"/>
        <item x="202"/>
        <item x="201"/>
        <item x="204"/>
        <item x="205"/>
        <item x="203"/>
        <item x="207"/>
        <item x="208"/>
        <item x="206"/>
        <item x="210"/>
        <item x="209"/>
        <item x="214"/>
        <item x="217"/>
        <item x="213"/>
        <item x="212"/>
        <item x="220"/>
        <item x="216"/>
        <item x="223"/>
        <item x="219"/>
        <item x="222"/>
        <item x="215"/>
        <item x="226"/>
        <item x="225"/>
        <item x="228"/>
        <item x="218"/>
        <item x="221"/>
        <item x="224"/>
        <item x="230"/>
        <item x="231"/>
        <item x="227"/>
        <item x="234"/>
        <item x="237"/>
        <item x="229"/>
        <item x="233"/>
        <item x="236"/>
        <item x="239"/>
        <item x="232"/>
        <item x="240"/>
        <item x="235"/>
        <item x="242"/>
        <item x="246"/>
        <item x="241"/>
        <item x="238"/>
        <item x="243"/>
        <item x="249"/>
        <item x="248"/>
        <item x="245"/>
        <item x="252"/>
        <item x="244"/>
        <item x="247"/>
        <item x="253"/>
        <item x="251"/>
        <item x="256"/>
        <item x="255"/>
        <item x="250"/>
        <item x="258"/>
        <item x="261"/>
        <item x="254"/>
        <item x="264"/>
        <item x="260"/>
        <item x="257"/>
        <item x="263"/>
        <item x="267"/>
        <item x="266"/>
        <item x="259"/>
        <item x="270"/>
        <item x="262"/>
        <item x="269"/>
        <item x="265"/>
        <item x="273"/>
        <item x="272"/>
        <item x="268"/>
        <item x="276"/>
        <item x="275"/>
        <item x="279"/>
        <item x="271"/>
        <item x="278"/>
        <item x="282"/>
        <item x="284"/>
        <item x="274"/>
        <item x="281"/>
        <item x="287"/>
        <item x="277"/>
        <item x="290"/>
        <item x="286"/>
        <item x="280"/>
        <item x="289"/>
        <item x="295"/>
        <item x="283"/>
        <item x="292"/>
        <item x="298"/>
        <item x="294"/>
        <item x="285"/>
        <item x="301"/>
        <item x="304"/>
        <item x="297"/>
        <item x="288"/>
        <item x="291"/>
        <item x="300"/>
        <item x="293"/>
        <item x="303"/>
        <item x="306"/>
        <item x="296"/>
        <item x="299"/>
        <item x="302"/>
        <item x="305"/>
        <item x="211"/>
        <item t="default"/>
      </items>
    </pivotField>
    <pivotField showAll="0"/>
    <pivotField showAll="0">
      <items count="310">
        <item x="0"/>
        <item x="1"/>
        <item x="2"/>
        <item x="4"/>
        <item x="3"/>
        <item x="5"/>
        <item x="7"/>
        <item x="6"/>
        <item x="8"/>
        <item x="10"/>
        <item x="11"/>
        <item x="9"/>
        <item x="13"/>
        <item x="14"/>
        <item x="16"/>
        <item x="12"/>
        <item x="18"/>
        <item x="19"/>
        <item x="15"/>
        <item x="21"/>
        <item x="17"/>
        <item x="23"/>
        <item x="24"/>
        <item x="20"/>
        <item x="26"/>
        <item x="27"/>
        <item x="22"/>
        <item x="29"/>
        <item x="25"/>
        <item x="30"/>
        <item x="32"/>
        <item x="28"/>
        <item x="35"/>
        <item x="34"/>
        <item x="38"/>
        <item x="37"/>
        <item x="31"/>
        <item x="40"/>
        <item x="41"/>
        <item x="33"/>
        <item x="43"/>
        <item x="36"/>
        <item x="44"/>
        <item x="39"/>
        <item x="46"/>
        <item x="47"/>
        <item x="42"/>
        <item x="49"/>
        <item x="50"/>
        <item x="45"/>
        <item x="52"/>
        <item x="48"/>
        <item x="55"/>
        <item x="54"/>
        <item x="58"/>
        <item x="57"/>
        <item x="51"/>
        <item x="59"/>
        <item x="62"/>
        <item x="61"/>
        <item x="64"/>
        <item x="53"/>
        <item x="66"/>
        <item x="67"/>
        <item x="56"/>
        <item x="70"/>
        <item x="69"/>
        <item x="72"/>
        <item x="60"/>
        <item x="63"/>
        <item x="75"/>
        <item x="74"/>
        <item x="65"/>
        <item x="77"/>
        <item x="68"/>
        <item x="78"/>
        <item x="71"/>
        <item x="80"/>
        <item x="81"/>
        <item x="73"/>
        <item x="83"/>
        <item x="86"/>
        <item x="85"/>
        <item x="76"/>
        <item x="89"/>
        <item x="88"/>
        <item x="79"/>
        <item x="92"/>
        <item x="91"/>
        <item x="82"/>
        <item x="94"/>
        <item x="84"/>
        <item x="99"/>
        <item x="96"/>
        <item x="87"/>
        <item x="102"/>
        <item x="98"/>
        <item x="90"/>
        <item x="105"/>
        <item x="101"/>
        <item x="108"/>
        <item x="104"/>
        <item x="107"/>
        <item x="111"/>
        <item x="93"/>
        <item x="110"/>
        <item x="114"/>
        <item x="95"/>
        <item x="113"/>
        <item x="117"/>
        <item x="116"/>
        <item x="97"/>
        <item x="120"/>
        <item x="100"/>
        <item x="119"/>
        <item x="103"/>
        <item x="123"/>
        <item x="122"/>
        <item x="126"/>
        <item x="106"/>
        <item x="125"/>
        <item x="127"/>
        <item x="109"/>
        <item x="128"/>
        <item x="112"/>
        <item x="115"/>
        <item x="130"/>
        <item x="118"/>
        <item x="133"/>
        <item x="132"/>
        <item x="121"/>
        <item x="136"/>
        <item x="124"/>
        <item x="135"/>
        <item x="129"/>
        <item x="138"/>
        <item x="140"/>
        <item x="141"/>
        <item x="131"/>
        <item x="144"/>
        <item x="143"/>
        <item x="134"/>
        <item x="146"/>
        <item x="147"/>
        <item x="137"/>
        <item x="139"/>
        <item x="149"/>
        <item x="142"/>
        <item x="145"/>
        <item x="150"/>
        <item x="152"/>
        <item x="148"/>
        <item x="154"/>
        <item x="156"/>
        <item x="151"/>
        <item x="158"/>
        <item x="163"/>
        <item x="153"/>
        <item x="160"/>
        <item x="155"/>
        <item x="162"/>
        <item x="165"/>
        <item x="166"/>
        <item x="169"/>
        <item x="157"/>
        <item x="168"/>
        <item x="179"/>
        <item x="171"/>
        <item x="159"/>
        <item x="174"/>
        <item x="178"/>
        <item x="161"/>
        <item x="173"/>
        <item x="176"/>
        <item x="170"/>
        <item x="164"/>
        <item x="182"/>
        <item x="167"/>
        <item x="172"/>
        <item x="175"/>
        <item x="177"/>
        <item x="185"/>
        <item x="180"/>
        <item x="187"/>
        <item x="184"/>
        <item x="190"/>
        <item x="193"/>
        <item x="196"/>
        <item x="189"/>
        <item x="192"/>
        <item x="181"/>
        <item x="195"/>
        <item x="198"/>
        <item x="183"/>
        <item x="200"/>
        <item x="201"/>
        <item x="186"/>
        <item x="203"/>
        <item x="188"/>
        <item x="191"/>
        <item x="194"/>
        <item x="206"/>
        <item x="205"/>
        <item x="197"/>
        <item x="209"/>
        <item x="208"/>
        <item x="199"/>
        <item x="212"/>
        <item x="211"/>
        <item x="202"/>
        <item x="214"/>
        <item x="204"/>
        <item x="216"/>
        <item x="207"/>
        <item x="218"/>
        <item x="210"/>
        <item x="220"/>
        <item x="213"/>
        <item x="221"/>
        <item x="215"/>
        <item x="223"/>
        <item x="217"/>
        <item x="224"/>
        <item x="219"/>
        <item x="226"/>
        <item x="222"/>
        <item x="225"/>
        <item x="231"/>
        <item x="228"/>
        <item x="233"/>
        <item x="237"/>
        <item x="234"/>
        <item x="239"/>
        <item x="230"/>
        <item x="242"/>
        <item x="238"/>
        <item x="236"/>
        <item x="245"/>
        <item x="241"/>
        <item x="244"/>
        <item x="250"/>
        <item x="247"/>
        <item x="229"/>
        <item x="253"/>
        <item x="232"/>
        <item x="252"/>
        <item x="249"/>
        <item x="235"/>
        <item x="240"/>
        <item x="258"/>
        <item x="255"/>
        <item x="261"/>
        <item x="243"/>
        <item x="266"/>
        <item x="273"/>
        <item x="260"/>
        <item x="263"/>
        <item x="269"/>
        <item x="276"/>
        <item x="246"/>
        <item x="257"/>
        <item x="265"/>
        <item x="275"/>
        <item x="278"/>
        <item x="272"/>
        <item x="268"/>
        <item x="277"/>
        <item x="270"/>
        <item x="286"/>
        <item x="248"/>
        <item x="251"/>
        <item x="280"/>
        <item x="282"/>
        <item x="283"/>
        <item x="285"/>
        <item x="254"/>
        <item x="291"/>
        <item x="288"/>
        <item x="294"/>
        <item x="290"/>
        <item x="262"/>
        <item x="259"/>
        <item x="293"/>
        <item x="296"/>
        <item x="274"/>
        <item x="264"/>
        <item x="271"/>
        <item x="298"/>
        <item x="267"/>
        <item x="281"/>
        <item x="300"/>
        <item x="279"/>
        <item x="256"/>
        <item x="284"/>
        <item x="304"/>
        <item x="287"/>
        <item x="289"/>
        <item x="303"/>
        <item x="292"/>
        <item x="306"/>
        <item x="295"/>
        <item x="297"/>
        <item x="308"/>
        <item x="299"/>
        <item x="301"/>
        <item x="302"/>
        <item x="305"/>
        <item x="307"/>
        <item x="227"/>
        <item t="default"/>
      </items>
    </pivotField>
    <pivotField showAll="0"/>
    <pivotField showAll="0"/>
    <pivotField axis="axisPage" dataField="1" showAll="0">
      <items count="304">
        <item x="1"/>
        <item x="2"/>
        <item x="0"/>
        <item x="4"/>
        <item x="3"/>
        <item x="6"/>
        <item x="5"/>
        <item x="8"/>
        <item x="9"/>
        <item x="7"/>
        <item x="11"/>
        <item x="12"/>
        <item x="10"/>
        <item x="14"/>
        <item x="15"/>
        <item x="13"/>
        <item x="17"/>
        <item x="19"/>
        <item x="16"/>
        <item x="20"/>
        <item x="18"/>
        <item x="22"/>
        <item x="24"/>
        <item x="21"/>
        <item x="25"/>
        <item x="27"/>
        <item x="23"/>
        <item x="30"/>
        <item x="28"/>
        <item x="33"/>
        <item x="26"/>
        <item x="36"/>
        <item x="31"/>
        <item x="39"/>
        <item x="34"/>
        <item x="29"/>
        <item x="42"/>
        <item x="37"/>
        <item x="32"/>
        <item x="40"/>
        <item x="35"/>
        <item x="43"/>
        <item x="38"/>
        <item x="49"/>
        <item x="45"/>
        <item x="41"/>
        <item x="52"/>
        <item x="47"/>
        <item x="55"/>
        <item x="44"/>
        <item x="58"/>
        <item x="50"/>
        <item x="46"/>
        <item x="61"/>
        <item x="53"/>
        <item x="64"/>
        <item x="56"/>
        <item x="67"/>
        <item x="48"/>
        <item x="70"/>
        <item x="51"/>
        <item x="72"/>
        <item x="59"/>
        <item x="54"/>
        <item x="62"/>
        <item x="65"/>
        <item x="57"/>
        <item x="68"/>
        <item x="81"/>
        <item x="60"/>
        <item x="86"/>
        <item x="63"/>
        <item x="89"/>
        <item x="73"/>
        <item x="66"/>
        <item x="75"/>
        <item x="92"/>
        <item x="95"/>
        <item x="77"/>
        <item x="97"/>
        <item x="69"/>
        <item x="100"/>
        <item x="71"/>
        <item x="79"/>
        <item x="105"/>
        <item x="74"/>
        <item x="82"/>
        <item x="108"/>
        <item x="84"/>
        <item x="76"/>
        <item x="113"/>
        <item x="87"/>
        <item x="116"/>
        <item x="119"/>
        <item x="90"/>
        <item x="78"/>
        <item x="80"/>
        <item x="123"/>
        <item x="93"/>
        <item x="126"/>
        <item x="83"/>
        <item x="130"/>
        <item x="98"/>
        <item x="133"/>
        <item x="85"/>
        <item x="136"/>
        <item x="101"/>
        <item x="143"/>
        <item x="103"/>
        <item x="88"/>
        <item x="106"/>
        <item x="109"/>
        <item x="91"/>
        <item x="94"/>
        <item x="111"/>
        <item x="96"/>
        <item x="114"/>
        <item x="117"/>
        <item x="99"/>
        <item x="150"/>
        <item x="102"/>
        <item x="152"/>
        <item x="104"/>
        <item x="121"/>
        <item x="156"/>
        <item x="107"/>
        <item x="124"/>
        <item x="159"/>
        <item x="127"/>
        <item x="110"/>
        <item x="131"/>
        <item x="162"/>
        <item x="134"/>
        <item x="112"/>
        <item x="137"/>
        <item x="115"/>
        <item x="139"/>
        <item x="167"/>
        <item x="141"/>
        <item x="118"/>
        <item x="169"/>
        <item x="144"/>
        <item x="120"/>
        <item x="173"/>
        <item x="122"/>
        <item x="146"/>
        <item x="125"/>
        <item x="128"/>
        <item x="129"/>
        <item x="177"/>
        <item x="132"/>
        <item x="180"/>
        <item x="182"/>
        <item x="135"/>
        <item x="138"/>
        <item x="153"/>
        <item x="185"/>
        <item x="140"/>
        <item x="186"/>
        <item x="157"/>
        <item x="189"/>
        <item x="192"/>
        <item x="160"/>
        <item x="195"/>
        <item x="142"/>
        <item x="196"/>
        <item x="163"/>
        <item x="199"/>
        <item x="145"/>
        <item x="202"/>
        <item x="165"/>
        <item x="205"/>
        <item x="147"/>
        <item x="170"/>
        <item x="172"/>
        <item x="148"/>
        <item x="181"/>
        <item x="174"/>
        <item x="178"/>
        <item x="175"/>
        <item x="151"/>
        <item x="149"/>
        <item x="187"/>
        <item x="154"/>
        <item x="190"/>
        <item x="155"/>
        <item x="193"/>
        <item x="216"/>
        <item x="197"/>
        <item x="158"/>
        <item x="200"/>
        <item x="220"/>
        <item x="203"/>
        <item x="161"/>
        <item x="206"/>
        <item x="208"/>
        <item x="223"/>
        <item x="164"/>
        <item x="179"/>
        <item x="183"/>
        <item x="226"/>
        <item x="166"/>
        <item x="168"/>
        <item x="184"/>
        <item x="176"/>
        <item x="188"/>
        <item x="194"/>
        <item x="191"/>
        <item x="171"/>
        <item x="212"/>
        <item x="198"/>
        <item x="214"/>
        <item x="229"/>
        <item x="201"/>
        <item x="217"/>
        <item x="204"/>
        <item x="207"/>
        <item x="209"/>
        <item x="232"/>
        <item x="221"/>
        <item x="235"/>
        <item x="224"/>
        <item x="211"/>
        <item x="227"/>
        <item x="213"/>
        <item x="215"/>
        <item x="240"/>
        <item x="218"/>
        <item x="219"/>
        <item x="230"/>
        <item x="222"/>
        <item x="233"/>
        <item x="225"/>
        <item x="236"/>
        <item x="247"/>
        <item x="250"/>
        <item x="228"/>
        <item x="231"/>
        <item x="253"/>
        <item x="234"/>
        <item x="238"/>
        <item x="241"/>
        <item x="243"/>
        <item x="258"/>
        <item x="245"/>
        <item x="248"/>
        <item x="261"/>
        <item x="251"/>
        <item x="237"/>
        <item x="239"/>
        <item x="264"/>
        <item x="242"/>
        <item x="254"/>
        <item x="244"/>
        <item x="256"/>
        <item x="246"/>
        <item x="269"/>
        <item x="249"/>
        <item x="259"/>
        <item x="272"/>
        <item x="262"/>
        <item x="252"/>
        <item x="275"/>
        <item x="265"/>
        <item x="255"/>
        <item x="278"/>
        <item x="257"/>
        <item x="267"/>
        <item x="281"/>
        <item x="284"/>
        <item x="260"/>
        <item x="270"/>
        <item x="287"/>
        <item x="263"/>
        <item x="290"/>
        <item x="273"/>
        <item x="292"/>
        <item x="266"/>
        <item x="276"/>
        <item x="295"/>
        <item x="279"/>
        <item x="298"/>
        <item x="268"/>
        <item x="301"/>
        <item x="282"/>
        <item x="271"/>
        <item x="285"/>
        <item x="274"/>
        <item x="288"/>
        <item x="277"/>
        <item x="293"/>
        <item x="280"/>
        <item x="296"/>
        <item x="299"/>
        <item x="283"/>
        <item x="302"/>
        <item x="286"/>
        <item x="289"/>
        <item x="291"/>
        <item x="294"/>
        <item x="297"/>
        <item x="300"/>
        <item x="210"/>
        <item t="default"/>
      </items>
    </pivotField>
    <pivotField showAll="0"/>
    <pivotField showAll="0"/>
    <pivotField showAll="0"/>
    <pivotField showAll="0"/>
    <pivotField showAll="0"/>
    <pivotField showAll="0"/>
    <pivotField showAll="0"/>
    <pivotField showAll="0"/>
    <pivotField showAll="0"/>
    <pivotField showAll="0"/>
  </pivotFields>
  <rowItems count="1">
    <i/>
  </rowItems>
  <colItems count="1">
    <i/>
  </colItems>
  <pageFields count="2">
    <pageField fld="1" hier="-1"/>
    <pageField fld="19" hier="-1"/>
  </pageFields>
  <dataFields count="1">
    <dataField name="Sum of Clothing and footwear" fld="1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N4:N5" firstHeaderRow="1" firstDataRow="1" firstDataCol="0" rowPageCount="2" colPageCount="1"/>
  <pivotFields count="30">
    <pivotField showAll="0"/>
    <pivotField axis="axisPage" multipleItemSelectionAllowed="1" showAll="0">
      <items count="12">
        <item x="0"/>
        <item x="1"/>
        <item x="2"/>
        <item x="3"/>
        <item x="4"/>
        <item x="5"/>
        <item x="6"/>
        <item x="7"/>
        <item x="8"/>
        <item x="9"/>
        <item x="10"/>
        <item t="default"/>
      </items>
    </pivotField>
    <pivotField showAll="0"/>
    <pivotField showAll="0">
      <items count="254">
        <item x="0"/>
        <item x="2"/>
        <item x="3"/>
        <item x="6"/>
        <item x="5"/>
        <item x="1"/>
        <item x="11"/>
        <item x="8"/>
        <item x="10"/>
        <item x="13"/>
        <item x="4"/>
        <item x="16"/>
        <item x="15"/>
        <item x="7"/>
        <item x="19"/>
        <item x="9"/>
        <item x="18"/>
        <item x="12"/>
        <item x="21"/>
        <item x="24"/>
        <item x="23"/>
        <item x="14"/>
        <item x="26"/>
        <item x="27"/>
        <item x="17"/>
        <item x="29"/>
        <item x="20"/>
        <item x="30"/>
        <item x="22"/>
        <item x="25"/>
        <item x="32"/>
        <item x="35"/>
        <item x="34"/>
        <item x="28"/>
        <item x="38"/>
        <item x="37"/>
        <item x="43"/>
        <item x="31"/>
        <item x="40"/>
        <item x="42"/>
        <item x="45"/>
        <item x="33"/>
        <item x="47"/>
        <item x="48"/>
        <item x="51"/>
        <item x="36"/>
        <item x="39"/>
        <item x="53"/>
        <item x="50"/>
        <item x="41"/>
        <item x="56"/>
        <item x="44"/>
        <item x="55"/>
        <item x="46"/>
        <item x="58"/>
        <item x="60"/>
        <item x="62"/>
        <item x="65"/>
        <item x="66"/>
        <item x="64"/>
        <item x="49"/>
        <item x="68"/>
        <item x="61"/>
        <item x="67"/>
        <item x="54"/>
        <item x="63"/>
        <item x="59"/>
        <item x="57"/>
        <item x="69"/>
        <item x="52"/>
        <item x="83"/>
        <item x="72"/>
        <item x="70"/>
        <item x="74"/>
        <item x="71"/>
        <item x="76"/>
        <item x="87"/>
        <item x="73"/>
        <item x="75"/>
        <item x="79"/>
        <item x="81"/>
        <item x="84"/>
        <item x="77"/>
        <item x="78"/>
        <item x="80"/>
        <item x="82"/>
        <item x="85"/>
        <item x="88"/>
        <item x="93"/>
        <item x="90"/>
        <item x="86"/>
        <item x="96"/>
        <item x="89"/>
        <item x="94"/>
        <item x="91"/>
        <item x="99"/>
        <item x="97"/>
        <item x="92"/>
        <item x="95"/>
        <item x="100"/>
        <item x="102"/>
        <item x="98"/>
        <item x="105"/>
        <item x="103"/>
        <item x="101"/>
        <item x="109"/>
        <item x="106"/>
        <item x="112"/>
        <item x="111"/>
        <item x="104"/>
        <item x="110"/>
        <item x="107"/>
        <item x="113"/>
        <item x="108"/>
        <item x="120"/>
        <item x="114"/>
        <item x="116"/>
        <item x="125"/>
        <item x="128"/>
        <item x="118"/>
        <item x="115"/>
        <item x="131"/>
        <item x="117"/>
        <item x="121"/>
        <item x="138"/>
        <item x="123"/>
        <item x="126"/>
        <item x="119"/>
        <item x="129"/>
        <item x="132"/>
        <item x="122"/>
        <item x="124"/>
        <item x="141"/>
        <item x="127"/>
        <item x="130"/>
        <item x="136"/>
        <item x="144"/>
        <item x="133"/>
        <item x="134"/>
        <item x="139"/>
        <item x="135"/>
        <item x="150"/>
        <item x="147"/>
        <item x="142"/>
        <item x="137"/>
        <item x="148"/>
        <item x="145"/>
        <item x="153"/>
        <item x="140"/>
        <item x="146"/>
        <item x="143"/>
        <item x="149"/>
        <item x="156"/>
        <item x="151"/>
        <item x="152"/>
        <item x="158"/>
        <item x="159"/>
        <item x="154"/>
        <item x="161"/>
        <item x="155"/>
        <item x="163"/>
        <item x="157"/>
        <item x="164"/>
        <item x="196"/>
        <item x="160"/>
        <item x="166"/>
        <item x="162"/>
        <item x="169"/>
        <item x="168"/>
        <item x="172"/>
        <item x="194"/>
        <item x="171"/>
        <item x="165"/>
        <item x="174"/>
        <item x="191"/>
        <item x="167"/>
        <item x="188"/>
        <item x="206"/>
        <item x="170"/>
        <item x="199"/>
        <item x="203"/>
        <item x="173"/>
        <item x="205"/>
        <item x="201"/>
        <item x="193"/>
        <item x="185"/>
        <item x="175"/>
        <item x="208"/>
        <item x="190"/>
        <item x="182"/>
        <item x="197"/>
        <item x="179"/>
        <item x="210"/>
        <item x="187"/>
        <item x="177"/>
        <item x="198"/>
        <item x="184"/>
        <item x="195"/>
        <item x="202"/>
        <item x="200"/>
        <item x="204"/>
        <item x="212"/>
        <item x="181"/>
        <item x="192"/>
        <item x="214"/>
        <item x="207"/>
        <item x="215"/>
        <item x="189"/>
        <item x="209"/>
        <item x="217"/>
        <item x="186"/>
        <item x="183"/>
        <item x="176"/>
        <item x="211"/>
        <item x="213"/>
        <item x="180"/>
        <item x="219"/>
        <item x="216"/>
        <item x="222"/>
        <item x="221"/>
        <item x="224"/>
        <item x="225"/>
        <item x="218"/>
        <item x="227"/>
        <item x="220"/>
        <item x="223"/>
        <item x="226"/>
        <item x="228"/>
        <item x="230"/>
        <item x="229"/>
        <item x="231"/>
        <item x="233"/>
        <item x="234"/>
        <item x="232"/>
        <item x="236"/>
        <item x="235"/>
        <item x="237"/>
        <item x="239"/>
        <item x="238"/>
        <item x="240"/>
        <item x="242"/>
        <item x="241"/>
        <item x="251"/>
        <item x="244"/>
        <item x="252"/>
        <item x="245"/>
        <item x="243"/>
        <item x="246"/>
        <item x="249"/>
        <item x="248"/>
        <item x="247"/>
        <item x="250"/>
        <item x="178"/>
        <item t="default"/>
      </items>
    </pivotField>
    <pivotField showAll="0">
      <items count="292">
        <item x="0"/>
        <item x="2"/>
        <item x="3"/>
        <item x="6"/>
        <item x="1"/>
        <item x="9"/>
        <item x="8"/>
        <item x="12"/>
        <item x="5"/>
        <item x="11"/>
        <item x="14"/>
        <item x="7"/>
        <item x="15"/>
        <item x="4"/>
        <item x="10"/>
        <item x="13"/>
        <item x="17"/>
        <item x="20"/>
        <item x="23"/>
        <item x="28"/>
        <item x="27"/>
        <item x="19"/>
        <item x="29"/>
        <item x="25"/>
        <item x="30"/>
        <item x="22"/>
        <item x="33"/>
        <item x="26"/>
        <item x="32"/>
        <item x="36"/>
        <item x="24"/>
        <item x="18"/>
        <item x="35"/>
        <item x="38"/>
        <item x="16"/>
        <item x="39"/>
        <item x="21"/>
        <item x="34"/>
        <item x="41"/>
        <item x="37"/>
        <item x="31"/>
        <item x="50"/>
        <item x="44"/>
        <item x="55"/>
        <item x="47"/>
        <item x="43"/>
        <item x="59"/>
        <item x="52"/>
        <item x="57"/>
        <item x="54"/>
        <item x="46"/>
        <item x="40"/>
        <item x="49"/>
        <item x="58"/>
        <item x="62"/>
        <item x="51"/>
        <item x="60"/>
        <item x="56"/>
        <item x="42"/>
        <item x="53"/>
        <item x="45"/>
        <item x="61"/>
        <item x="63"/>
        <item x="65"/>
        <item x="48"/>
        <item x="67"/>
        <item x="64"/>
        <item x="79"/>
        <item x="78"/>
        <item x="66"/>
        <item x="80"/>
        <item x="82"/>
        <item x="68"/>
        <item x="81"/>
        <item x="77"/>
        <item x="74"/>
        <item x="76"/>
        <item x="71"/>
        <item x="75"/>
        <item x="70"/>
        <item x="73"/>
        <item x="83"/>
        <item x="86"/>
        <item x="85"/>
        <item x="88"/>
        <item x="72"/>
        <item x="69"/>
        <item x="87"/>
        <item x="90"/>
        <item x="84"/>
        <item x="89"/>
        <item x="92"/>
        <item x="113"/>
        <item x="110"/>
        <item x="93"/>
        <item x="107"/>
        <item x="105"/>
        <item x="112"/>
        <item x="109"/>
        <item x="106"/>
        <item x="104"/>
        <item x="115"/>
        <item x="108"/>
        <item x="111"/>
        <item x="96"/>
        <item x="119"/>
        <item x="102"/>
        <item x="114"/>
        <item x="118"/>
        <item x="95"/>
        <item x="91"/>
        <item x="117"/>
        <item x="99"/>
        <item x="116"/>
        <item x="103"/>
        <item x="98"/>
        <item x="120"/>
        <item x="101"/>
        <item x="122"/>
        <item x="133"/>
        <item x="130"/>
        <item x="94"/>
        <item x="135"/>
        <item x="132"/>
        <item x="136"/>
        <item x="137"/>
        <item x="134"/>
        <item x="131"/>
        <item x="128"/>
        <item x="138"/>
        <item x="129"/>
        <item x="140"/>
        <item x="142"/>
        <item x="123"/>
        <item x="141"/>
        <item x="97"/>
        <item x="121"/>
        <item x="100"/>
        <item x="144"/>
        <item x="139"/>
        <item x="143"/>
        <item x="158"/>
        <item x="125"/>
        <item x="127"/>
        <item x="156"/>
        <item x="161"/>
        <item x="153"/>
        <item x="146"/>
        <item x="155"/>
        <item x="157"/>
        <item x="164"/>
        <item x="154"/>
        <item x="147"/>
        <item x="145"/>
        <item x="126"/>
        <item x="150"/>
        <item x="124"/>
        <item x="152"/>
        <item x="151"/>
        <item x="162"/>
        <item x="149"/>
        <item x="167"/>
        <item x="159"/>
        <item x="148"/>
        <item x="170"/>
        <item x="165"/>
        <item x="160"/>
        <item x="173"/>
        <item x="168"/>
        <item x="163"/>
        <item x="171"/>
        <item x="166"/>
        <item x="169"/>
        <item x="172"/>
        <item x="175"/>
        <item x="184"/>
        <item x="176"/>
        <item x="186"/>
        <item x="174"/>
        <item x="178"/>
        <item x="189"/>
        <item x="181"/>
        <item x="185"/>
        <item x="187"/>
        <item x="190"/>
        <item x="188"/>
        <item x="183"/>
        <item x="179"/>
        <item x="192"/>
        <item x="182"/>
        <item x="193"/>
        <item x="177"/>
        <item x="191"/>
        <item x="180"/>
        <item x="195"/>
        <item x="196"/>
        <item x="194"/>
        <item x="201"/>
        <item x="202"/>
        <item x="197"/>
        <item x="199"/>
        <item x="200"/>
        <item x="198"/>
        <item x="210"/>
        <item x="224"/>
        <item x="213"/>
        <item x="226"/>
        <item x="212"/>
        <item x="207"/>
        <item x="221"/>
        <item x="219"/>
        <item x="216"/>
        <item x="215"/>
        <item x="227"/>
        <item x="223"/>
        <item x="204"/>
        <item x="209"/>
        <item x="218"/>
        <item x="225"/>
        <item x="229"/>
        <item x="206"/>
        <item x="211"/>
        <item x="214"/>
        <item x="222"/>
        <item x="217"/>
        <item x="220"/>
        <item x="252"/>
        <item x="205"/>
        <item x="228"/>
        <item x="208"/>
        <item x="231"/>
        <item x="254"/>
        <item x="232"/>
        <item x="253"/>
        <item x="251"/>
        <item x="247"/>
        <item x="235"/>
        <item x="234"/>
        <item x="256"/>
        <item x="249"/>
        <item x="237"/>
        <item x="244"/>
        <item x="250"/>
        <item x="241"/>
        <item x="230"/>
        <item x="243"/>
        <item x="271"/>
        <item x="233"/>
        <item x="238"/>
        <item x="246"/>
        <item x="248"/>
        <item x="255"/>
        <item x="236"/>
        <item x="272"/>
        <item x="273"/>
        <item x="240"/>
        <item x="281"/>
        <item x="278"/>
        <item x="242"/>
        <item x="287"/>
        <item x="257"/>
        <item x="284"/>
        <item x="245"/>
        <item x="276"/>
        <item x="283"/>
        <item x="275"/>
        <item x="288"/>
        <item x="280"/>
        <item x="260"/>
        <item x="259"/>
        <item x="268"/>
        <item x="239"/>
        <item x="289"/>
        <item x="261"/>
        <item x="286"/>
        <item x="282"/>
        <item x="270"/>
        <item x="279"/>
        <item x="274"/>
        <item x="290"/>
        <item x="262"/>
        <item x="277"/>
        <item x="285"/>
        <item x="258"/>
        <item x="264"/>
        <item x="269"/>
        <item x="265"/>
        <item x="267"/>
        <item x="263"/>
        <item x="266"/>
        <item x="203"/>
        <item t="default"/>
      </items>
    </pivotField>
    <pivotField showAll="0">
      <items count="284">
        <item x="13"/>
        <item x="14"/>
        <item x="12"/>
        <item x="10"/>
        <item x="11"/>
        <item x="9"/>
        <item x="0"/>
        <item x="16"/>
        <item x="6"/>
        <item x="2"/>
        <item x="3"/>
        <item x="17"/>
        <item x="20"/>
        <item x="8"/>
        <item x="69"/>
        <item x="22"/>
        <item x="19"/>
        <item x="23"/>
        <item x="15"/>
        <item x="24"/>
        <item x="21"/>
        <item x="5"/>
        <item x="1"/>
        <item x="7"/>
        <item x="26"/>
        <item x="65"/>
        <item x="18"/>
        <item x="43"/>
        <item x="68"/>
        <item x="25"/>
        <item x="70"/>
        <item x="46"/>
        <item x="76"/>
        <item x="47"/>
        <item x="44"/>
        <item x="45"/>
        <item x="27"/>
        <item x="53"/>
        <item x="51"/>
        <item x="66"/>
        <item x="4"/>
        <item x="67"/>
        <item x="52"/>
        <item x="48"/>
        <item x="50"/>
        <item x="49"/>
        <item x="42"/>
        <item x="54"/>
        <item x="29"/>
        <item x="64"/>
        <item x="62"/>
        <item x="55"/>
        <item x="75"/>
        <item x="30"/>
        <item x="33"/>
        <item x="39"/>
        <item x="77"/>
        <item x="71"/>
        <item x="41"/>
        <item x="63"/>
        <item x="36"/>
        <item x="74"/>
        <item x="40"/>
        <item x="72"/>
        <item x="78"/>
        <item x="57"/>
        <item x="73"/>
        <item x="59"/>
        <item x="38"/>
        <item x="28"/>
        <item x="56"/>
        <item x="79"/>
        <item x="91"/>
        <item x="32"/>
        <item x="89"/>
        <item x="61"/>
        <item x="35"/>
        <item x="92"/>
        <item x="37"/>
        <item x="90"/>
        <item x="81"/>
        <item x="88"/>
        <item x="94"/>
        <item x="117"/>
        <item x="115"/>
        <item x="58"/>
        <item x="82"/>
        <item x="60"/>
        <item x="116"/>
        <item x="93"/>
        <item x="80"/>
        <item x="85"/>
        <item x="118"/>
        <item x="119"/>
        <item x="96"/>
        <item x="114"/>
        <item x="31"/>
        <item x="84"/>
        <item x="87"/>
        <item x="113"/>
        <item x="112"/>
        <item x="121"/>
        <item x="97"/>
        <item x="123"/>
        <item x="120"/>
        <item x="34"/>
        <item x="122"/>
        <item x="104"/>
        <item x="105"/>
        <item x="86"/>
        <item x="102"/>
        <item x="103"/>
        <item x="143"/>
        <item x="95"/>
        <item x="124"/>
        <item x="126"/>
        <item x="125"/>
        <item x="101"/>
        <item x="109"/>
        <item x="83"/>
        <item x="111"/>
        <item x="99"/>
        <item x="110"/>
        <item x="152"/>
        <item x="108"/>
        <item x="155"/>
        <item x="145"/>
        <item x="100"/>
        <item x="144"/>
        <item x="106"/>
        <item x="168"/>
        <item x="154"/>
        <item x="107"/>
        <item x="153"/>
        <item x="140"/>
        <item x="147"/>
        <item x="142"/>
        <item x="169"/>
        <item x="170"/>
        <item x="98"/>
        <item x="146"/>
        <item x="158"/>
        <item x="156"/>
        <item x="159"/>
        <item x="157"/>
        <item x="151"/>
        <item x="162"/>
        <item x="141"/>
        <item x="172"/>
        <item x="175"/>
        <item x="167"/>
        <item x="161"/>
        <item x="149"/>
        <item x="150"/>
        <item x="148"/>
        <item x="177"/>
        <item x="137"/>
        <item x="139"/>
        <item x="164"/>
        <item x="138"/>
        <item x="171"/>
        <item x="127"/>
        <item x="136"/>
        <item x="174"/>
        <item x="160"/>
        <item x="178"/>
        <item x="166"/>
        <item x="176"/>
        <item x="173"/>
        <item x="180"/>
        <item x="129"/>
        <item x="163"/>
        <item x="134"/>
        <item x="135"/>
        <item x="133"/>
        <item x="179"/>
        <item x="130"/>
        <item x="132"/>
        <item x="165"/>
        <item x="182"/>
        <item x="131"/>
        <item x="128"/>
        <item x="195"/>
        <item x="192"/>
        <item x="194"/>
        <item x="181"/>
        <item x="197"/>
        <item x="193"/>
        <item x="199"/>
        <item x="183"/>
        <item x="203"/>
        <item x="189"/>
        <item x="185"/>
        <item x="201"/>
        <item x="191"/>
        <item x="196"/>
        <item x="205"/>
        <item x="190"/>
        <item x="186"/>
        <item x="184"/>
        <item x="202"/>
        <item x="200"/>
        <item x="188"/>
        <item x="187"/>
        <item x="204"/>
        <item x="206"/>
        <item x="208"/>
        <item x="255"/>
        <item x="219"/>
        <item x="222"/>
        <item x="221"/>
        <item x="254"/>
        <item x="253"/>
        <item x="224"/>
        <item x="220"/>
        <item x="207"/>
        <item x="223"/>
        <item x="251"/>
        <item x="252"/>
        <item x="250"/>
        <item x="216"/>
        <item x="261"/>
        <item x="225"/>
        <item x="218"/>
        <item x="264"/>
        <item x="263"/>
        <item x="256"/>
        <item x="266"/>
        <item x="217"/>
        <item x="238"/>
        <item x="227"/>
        <item x="262"/>
        <item x="257"/>
        <item x="265"/>
        <item x="280"/>
        <item x="239"/>
        <item x="240"/>
        <item x="209"/>
        <item x="267"/>
        <item x="237"/>
        <item x="279"/>
        <item x="236"/>
        <item x="226"/>
        <item x="282"/>
        <item x="212"/>
        <item x="211"/>
        <item x="277"/>
        <item x="235"/>
        <item x="258"/>
        <item x="260"/>
        <item x="214"/>
        <item x="241"/>
        <item x="247"/>
        <item x="249"/>
        <item x="248"/>
        <item x="234"/>
        <item x="259"/>
        <item x="281"/>
        <item x="210"/>
        <item x="278"/>
        <item x="243"/>
        <item x="244"/>
        <item x="213"/>
        <item x="215"/>
        <item x="246"/>
        <item x="228"/>
        <item x="242"/>
        <item x="245"/>
        <item x="268"/>
        <item x="231"/>
        <item x="230"/>
        <item x="270"/>
        <item x="233"/>
        <item x="229"/>
        <item x="269"/>
        <item x="232"/>
        <item x="271"/>
        <item x="273"/>
        <item x="272"/>
        <item x="274"/>
        <item x="276"/>
        <item x="275"/>
        <item x="198"/>
        <item t="default"/>
      </items>
    </pivotField>
    <pivotField showAll="0">
      <items count="270">
        <item x="1"/>
        <item x="4"/>
        <item x="6"/>
        <item x="2"/>
        <item x="9"/>
        <item x="0"/>
        <item x="7"/>
        <item x="3"/>
        <item x="12"/>
        <item x="5"/>
        <item x="10"/>
        <item x="8"/>
        <item x="13"/>
        <item x="15"/>
        <item x="11"/>
        <item x="16"/>
        <item x="14"/>
        <item x="18"/>
        <item x="17"/>
        <item x="20"/>
        <item x="19"/>
        <item x="24"/>
        <item x="22"/>
        <item x="21"/>
        <item x="25"/>
        <item x="23"/>
        <item x="27"/>
        <item x="28"/>
        <item x="26"/>
        <item x="30"/>
        <item x="32"/>
        <item x="29"/>
        <item x="33"/>
        <item x="31"/>
        <item x="34"/>
        <item x="36"/>
        <item x="35"/>
        <item x="37"/>
        <item x="38"/>
        <item x="39"/>
        <item x="40"/>
        <item x="42"/>
        <item x="41"/>
        <item x="43"/>
        <item x="45"/>
        <item x="44"/>
        <item x="46"/>
        <item x="48"/>
        <item x="47"/>
        <item x="49"/>
        <item x="51"/>
        <item x="50"/>
        <item x="52"/>
        <item x="54"/>
        <item x="53"/>
        <item x="55"/>
        <item x="57"/>
        <item x="59"/>
        <item x="56"/>
        <item x="58"/>
        <item x="61"/>
        <item x="60"/>
        <item x="63"/>
        <item x="64"/>
        <item x="62"/>
        <item x="66"/>
        <item x="65"/>
        <item x="68"/>
        <item x="69"/>
        <item x="67"/>
        <item x="71"/>
        <item x="70"/>
        <item x="76"/>
        <item x="73"/>
        <item x="74"/>
        <item x="77"/>
        <item x="83"/>
        <item x="72"/>
        <item x="75"/>
        <item x="79"/>
        <item x="81"/>
        <item x="78"/>
        <item x="80"/>
        <item x="82"/>
        <item x="88"/>
        <item x="90"/>
        <item x="84"/>
        <item x="86"/>
        <item x="91"/>
        <item x="85"/>
        <item x="95"/>
        <item x="89"/>
        <item x="87"/>
        <item x="93"/>
        <item x="98"/>
        <item x="92"/>
        <item x="96"/>
        <item x="101"/>
        <item x="104"/>
        <item x="94"/>
        <item x="99"/>
        <item x="109"/>
        <item x="112"/>
        <item x="115"/>
        <item x="102"/>
        <item x="97"/>
        <item x="105"/>
        <item x="107"/>
        <item x="100"/>
        <item x="110"/>
        <item x="121"/>
        <item x="113"/>
        <item x="116"/>
        <item x="103"/>
        <item x="118"/>
        <item x="106"/>
        <item x="120"/>
        <item x="108"/>
        <item x="111"/>
        <item x="114"/>
        <item x="117"/>
        <item x="124"/>
        <item x="119"/>
        <item x="126"/>
        <item x="122"/>
        <item x="127"/>
        <item x="123"/>
        <item x="131"/>
        <item x="129"/>
        <item x="125"/>
        <item x="133"/>
        <item x="128"/>
        <item x="136"/>
        <item x="130"/>
        <item x="138"/>
        <item x="134"/>
        <item x="144"/>
        <item x="132"/>
        <item x="148"/>
        <item x="137"/>
        <item x="151"/>
        <item x="139"/>
        <item x="145"/>
        <item x="141"/>
        <item x="143"/>
        <item x="146"/>
        <item x="135"/>
        <item x="149"/>
        <item x="161"/>
        <item x="160"/>
        <item x="140"/>
        <item x="142"/>
        <item x="152"/>
        <item x="162"/>
        <item x="154"/>
        <item x="147"/>
        <item x="156"/>
        <item x="158"/>
        <item x="150"/>
        <item x="153"/>
        <item x="163"/>
        <item x="155"/>
        <item x="157"/>
        <item x="159"/>
        <item x="164"/>
        <item x="166"/>
        <item x="165"/>
        <item x="167"/>
        <item x="169"/>
        <item x="168"/>
        <item x="171"/>
        <item x="173"/>
        <item x="170"/>
        <item x="176"/>
        <item x="174"/>
        <item x="172"/>
        <item x="177"/>
        <item x="175"/>
        <item x="179"/>
        <item x="180"/>
        <item x="178"/>
        <item x="182"/>
        <item x="183"/>
        <item x="181"/>
        <item x="185"/>
        <item x="186"/>
        <item x="184"/>
        <item x="188"/>
        <item x="189"/>
        <item x="187"/>
        <item x="193"/>
        <item x="194"/>
        <item x="196"/>
        <item x="197"/>
        <item x="198"/>
        <item x="195"/>
        <item x="199"/>
        <item x="201"/>
        <item x="200"/>
        <item x="202"/>
        <item x="205"/>
        <item x="204"/>
        <item x="206"/>
        <item x="207"/>
        <item x="203"/>
        <item x="209"/>
        <item x="191"/>
        <item x="190"/>
        <item x="210"/>
        <item x="208"/>
        <item x="212"/>
        <item x="213"/>
        <item x="211"/>
        <item x="214"/>
        <item x="216"/>
        <item x="219"/>
        <item x="215"/>
        <item x="218"/>
        <item x="221"/>
        <item x="220"/>
        <item x="217"/>
        <item x="223"/>
        <item x="222"/>
        <item x="224"/>
        <item x="226"/>
        <item x="225"/>
        <item x="228"/>
        <item x="227"/>
        <item x="230"/>
        <item x="229"/>
        <item x="231"/>
        <item x="233"/>
        <item x="232"/>
        <item x="234"/>
        <item x="236"/>
        <item x="235"/>
        <item x="237"/>
        <item x="239"/>
        <item x="238"/>
        <item x="241"/>
        <item x="242"/>
        <item x="240"/>
        <item x="244"/>
        <item x="243"/>
        <item x="245"/>
        <item x="247"/>
        <item x="246"/>
        <item x="248"/>
        <item x="250"/>
        <item x="249"/>
        <item x="251"/>
        <item x="252"/>
        <item x="253"/>
        <item x="254"/>
        <item x="256"/>
        <item x="255"/>
        <item x="257"/>
        <item x="259"/>
        <item x="258"/>
        <item x="260"/>
        <item x="262"/>
        <item x="261"/>
        <item x="263"/>
        <item x="265"/>
        <item x="264"/>
        <item x="267"/>
        <item x="268"/>
        <item x="266"/>
        <item x="192"/>
        <item t="default"/>
      </items>
    </pivotField>
    <pivotField showAll="0">
      <items count="258">
        <item x="18"/>
        <item x="16"/>
        <item x="13"/>
        <item x="23"/>
        <item x="10"/>
        <item x="25"/>
        <item x="33"/>
        <item x="7"/>
        <item x="36"/>
        <item x="32"/>
        <item x="50"/>
        <item x="39"/>
        <item x="27"/>
        <item x="1"/>
        <item x="4"/>
        <item x="46"/>
        <item x="14"/>
        <item x="17"/>
        <item x="19"/>
        <item x="11"/>
        <item x="21"/>
        <item x="57"/>
        <item x="8"/>
        <item x="2"/>
        <item x="61"/>
        <item x="12"/>
        <item x="5"/>
        <item x="9"/>
        <item x="15"/>
        <item x="64"/>
        <item x="0"/>
        <item x="6"/>
        <item x="67"/>
        <item x="20"/>
        <item x="34"/>
        <item x="3"/>
        <item x="28"/>
        <item x="37"/>
        <item x="72"/>
        <item x="30"/>
        <item x="22"/>
        <item x="51"/>
        <item x="24"/>
        <item x="42"/>
        <item x="44"/>
        <item x="47"/>
        <item x="83"/>
        <item x="53"/>
        <item x="26"/>
        <item x="31"/>
        <item x="55"/>
        <item x="58"/>
        <item x="35"/>
        <item x="29"/>
        <item x="87"/>
        <item x="38"/>
        <item x="62"/>
        <item x="76"/>
        <item x="40"/>
        <item x="49"/>
        <item x="41"/>
        <item x="43"/>
        <item x="48"/>
        <item x="45"/>
        <item x="68"/>
        <item x="52"/>
        <item x="65"/>
        <item x="70"/>
        <item x="54"/>
        <item x="56"/>
        <item x="59"/>
        <item x="60"/>
        <item x="98"/>
        <item x="74"/>
        <item x="109"/>
        <item x="66"/>
        <item x="69"/>
        <item x="63"/>
        <item x="104"/>
        <item x="85"/>
        <item x="71"/>
        <item x="84"/>
        <item x="77"/>
        <item x="88"/>
        <item x="116"/>
        <item x="79"/>
        <item x="81"/>
        <item x="73"/>
        <item x="118"/>
        <item x="121"/>
        <item x="91"/>
        <item x="123"/>
        <item x="125"/>
        <item x="130"/>
        <item x="93"/>
        <item x="95"/>
        <item x="132"/>
        <item x="75"/>
        <item x="99"/>
        <item x="110"/>
        <item x="86"/>
        <item x="78"/>
        <item x="108"/>
        <item x="82"/>
        <item x="89"/>
        <item x="106"/>
        <item x="80"/>
        <item x="115"/>
        <item x="102"/>
        <item x="105"/>
        <item x="141"/>
        <item x="90"/>
        <item x="92"/>
        <item x="94"/>
        <item x="122"/>
        <item x="112"/>
        <item x="113"/>
        <item x="96"/>
        <item x="111"/>
        <item x="126"/>
        <item x="97"/>
        <item x="107"/>
        <item x="114"/>
        <item x="147"/>
        <item x="100"/>
        <item x="138"/>
        <item x="101"/>
        <item x="103"/>
        <item x="133"/>
        <item x="142"/>
        <item x="149"/>
        <item x="135"/>
        <item x="120"/>
        <item x="117"/>
        <item x="119"/>
        <item x="124"/>
        <item x="127"/>
        <item x="137"/>
        <item x="128"/>
        <item x="129"/>
        <item x="136"/>
        <item x="139"/>
        <item x="140"/>
        <item x="134"/>
        <item x="143"/>
        <item x="131"/>
        <item x="144"/>
        <item x="145"/>
        <item x="150"/>
        <item x="146"/>
        <item x="152"/>
        <item x="155"/>
        <item x="148"/>
        <item x="153"/>
        <item x="158"/>
        <item x="156"/>
        <item x="160"/>
        <item x="151"/>
        <item x="164"/>
        <item x="157"/>
        <item x="167"/>
        <item x="154"/>
        <item x="170"/>
        <item x="161"/>
        <item x="172"/>
        <item x="165"/>
        <item x="159"/>
        <item x="168"/>
        <item x="175"/>
        <item x="163"/>
        <item x="166"/>
        <item x="173"/>
        <item x="169"/>
        <item x="178"/>
        <item x="171"/>
        <item x="176"/>
        <item x="181"/>
        <item x="174"/>
        <item x="179"/>
        <item x="177"/>
        <item x="182"/>
        <item x="184"/>
        <item x="180"/>
        <item x="187"/>
        <item x="185"/>
        <item x="190"/>
        <item x="183"/>
        <item x="188"/>
        <item x="255"/>
        <item x="186"/>
        <item x="252"/>
        <item x="193"/>
        <item x="256"/>
        <item x="191"/>
        <item x="199"/>
        <item x="215"/>
        <item x="217"/>
        <item x="196"/>
        <item x="254"/>
        <item x="212"/>
        <item x="253"/>
        <item x="202"/>
        <item x="189"/>
        <item x="209"/>
        <item x="206"/>
        <item x="239"/>
        <item x="246"/>
        <item x="251"/>
        <item x="194"/>
        <item x="244"/>
        <item x="250"/>
        <item x="237"/>
        <item x="220"/>
        <item x="200"/>
        <item x="234"/>
        <item x="249"/>
        <item x="248"/>
        <item x="197"/>
        <item x="192"/>
        <item x="216"/>
        <item x="232"/>
        <item x="218"/>
        <item x="223"/>
        <item x="240"/>
        <item x="247"/>
        <item x="213"/>
        <item x="203"/>
        <item x="245"/>
        <item x="229"/>
        <item x="198"/>
        <item x="242"/>
        <item x="226"/>
        <item x="210"/>
        <item x="195"/>
        <item x="207"/>
        <item x="201"/>
        <item x="238"/>
        <item x="235"/>
        <item x="214"/>
        <item x="243"/>
        <item x="241"/>
        <item x="236"/>
        <item x="221"/>
        <item x="204"/>
        <item x="211"/>
        <item x="233"/>
        <item x="208"/>
        <item x="205"/>
        <item x="224"/>
        <item x="230"/>
        <item x="231"/>
        <item x="227"/>
        <item x="219"/>
        <item x="222"/>
        <item x="228"/>
        <item x="225"/>
        <item x="162"/>
        <item t="default"/>
      </items>
    </pivotField>
    <pivotField showAll="0">
      <items count="282">
        <item x="1"/>
        <item x="4"/>
        <item x="2"/>
        <item x="5"/>
        <item x="0"/>
        <item x="3"/>
        <item x="7"/>
        <item x="8"/>
        <item x="6"/>
        <item x="26"/>
        <item x="25"/>
        <item x="12"/>
        <item x="9"/>
        <item x="22"/>
        <item x="11"/>
        <item x="15"/>
        <item x="14"/>
        <item x="10"/>
        <item x="23"/>
        <item x="27"/>
        <item x="29"/>
        <item x="18"/>
        <item x="13"/>
        <item x="17"/>
        <item x="21"/>
        <item x="24"/>
        <item x="20"/>
        <item x="33"/>
        <item x="16"/>
        <item x="19"/>
        <item x="32"/>
        <item x="30"/>
        <item x="34"/>
        <item x="35"/>
        <item x="36"/>
        <item x="31"/>
        <item x="28"/>
        <item x="38"/>
        <item x="96"/>
        <item x="39"/>
        <item x="95"/>
        <item x="37"/>
        <item x="99"/>
        <item x="93"/>
        <item x="66"/>
        <item x="69"/>
        <item x="61"/>
        <item x="64"/>
        <item x="58"/>
        <item x="90"/>
        <item x="71"/>
        <item x="85"/>
        <item x="87"/>
        <item x="55"/>
        <item x="97"/>
        <item x="40"/>
        <item x="62"/>
        <item x="46"/>
        <item x="42"/>
        <item x="67"/>
        <item x="43"/>
        <item x="59"/>
        <item x="94"/>
        <item x="41"/>
        <item x="56"/>
        <item x="72"/>
        <item x="45"/>
        <item x="91"/>
        <item x="48"/>
        <item x="86"/>
        <item x="63"/>
        <item x="60"/>
        <item x="57"/>
        <item x="88"/>
        <item x="49"/>
        <item x="44"/>
        <item x="118"/>
        <item x="68"/>
        <item x="119"/>
        <item x="51"/>
        <item x="54"/>
        <item x="84"/>
        <item x="65"/>
        <item x="74"/>
        <item x="77"/>
        <item x="70"/>
        <item x="53"/>
        <item x="47"/>
        <item x="122"/>
        <item x="92"/>
        <item x="98"/>
        <item x="89"/>
        <item x="80"/>
        <item x="75"/>
        <item x="78"/>
        <item x="52"/>
        <item x="81"/>
        <item x="120"/>
        <item x="83"/>
        <item x="79"/>
        <item x="82"/>
        <item x="102"/>
        <item x="50"/>
        <item x="150"/>
        <item x="76"/>
        <item x="73"/>
        <item x="115"/>
        <item x="101"/>
        <item x="148"/>
        <item x="130"/>
        <item x="123"/>
        <item x="177"/>
        <item x="105"/>
        <item x="117"/>
        <item x="111"/>
        <item x="103"/>
        <item x="113"/>
        <item x="145"/>
        <item x="106"/>
        <item x="125"/>
        <item x="116"/>
        <item x="108"/>
        <item x="133"/>
        <item x="104"/>
        <item x="140"/>
        <item x="178"/>
        <item x="128"/>
        <item x="109"/>
        <item x="131"/>
        <item x="100"/>
        <item x="126"/>
        <item x="114"/>
        <item x="107"/>
        <item x="121"/>
        <item x="112"/>
        <item x="135"/>
        <item x="174"/>
        <item x="124"/>
        <item x="129"/>
        <item x="171"/>
        <item x="110"/>
        <item x="197"/>
        <item x="132"/>
        <item x="151"/>
        <item x="143"/>
        <item x="127"/>
        <item x="146"/>
        <item x="175"/>
        <item x="137"/>
        <item x="176"/>
        <item x="153"/>
        <item x="141"/>
        <item x="198"/>
        <item x="196"/>
        <item x="181"/>
        <item x="179"/>
        <item x="188"/>
        <item x="134"/>
        <item x="194"/>
        <item x="195"/>
        <item x="173"/>
        <item x="172"/>
        <item x="138"/>
        <item x="191"/>
        <item x="211"/>
        <item x="155"/>
        <item x="169"/>
        <item x="184"/>
        <item x="180"/>
        <item x="190"/>
        <item x="142"/>
        <item x="183"/>
        <item x="202"/>
        <item x="205"/>
        <item x="147"/>
        <item x="144"/>
        <item x="193"/>
        <item x="212"/>
        <item x="139"/>
        <item x="149"/>
        <item x="136"/>
        <item x="210"/>
        <item x="192"/>
        <item x="152"/>
        <item x="214"/>
        <item x="166"/>
        <item x="189"/>
        <item x="199"/>
        <item x="157"/>
        <item x="186"/>
        <item x="204"/>
        <item x="209"/>
        <item x="170"/>
        <item x="216"/>
        <item x="182"/>
        <item x="208"/>
        <item x="160"/>
        <item x="242"/>
        <item x="167"/>
        <item x="201"/>
        <item x="239"/>
        <item x="163"/>
        <item x="213"/>
        <item x="233"/>
        <item x="154"/>
        <item x="164"/>
        <item x="165"/>
        <item x="158"/>
        <item x="218"/>
        <item x="187"/>
        <item x="215"/>
        <item x="162"/>
        <item x="168"/>
        <item x="203"/>
        <item x="161"/>
        <item x="185"/>
        <item x="241"/>
        <item x="206"/>
        <item x="207"/>
        <item x="243"/>
        <item x="270"/>
        <item x="156"/>
        <item x="238"/>
        <item x="235"/>
        <item x="232"/>
        <item x="217"/>
        <item x="159"/>
        <item x="245"/>
        <item x="228"/>
        <item x="269"/>
        <item x="240"/>
        <item x="225"/>
        <item x="265"/>
        <item x="236"/>
        <item x="268"/>
        <item x="244"/>
        <item x="237"/>
        <item x="271"/>
        <item x="219"/>
        <item x="267"/>
        <item x="234"/>
        <item x="231"/>
        <item x="263"/>
        <item x="222"/>
        <item x="266"/>
        <item x="264"/>
        <item x="230"/>
        <item x="260"/>
        <item x="221"/>
        <item x="227"/>
        <item x="262"/>
        <item x="252"/>
        <item x="224"/>
        <item x="272"/>
        <item x="261"/>
        <item x="249"/>
        <item x="220"/>
        <item x="278"/>
        <item x="257"/>
        <item x="274"/>
        <item x="254"/>
        <item x="246"/>
        <item x="229"/>
        <item x="251"/>
        <item x="226"/>
        <item x="273"/>
        <item x="280"/>
        <item x="223"/>
        <item x="248"/>
        <item x="259"/>
        <item x="275"/>
        <item x="253"/>
        <item x="256"/>
        <item x="250"/>
        <item x="279"/>
        <item x="247"/>
        <item x="277"/>
        <item x="258"/>
        <item x="276"/>
        <item x="255"/>
        <item x="200"/>
        <item t="default"/>
      </items>
    </pivotField>
    <pivotField showAll="0">
      <items count="313">
        <item x="6"/>
        <item x="0"/>
        <item x="2"/>
        <item x="3"/>
        <item x="1"/>
        <item x="5"/>
        <item x="8"/>
        <item x="7"/>
        <item x="4"/>
        <item x="10"/>
        <item x="11"/>
        <item x="9"/>
        <item x="38"/>
        <item x="13"/>
        <item x="41"/>
        <item x="39"/>
        <item x="37"/>
        <item x="42"/>
        <item x="40"/>
        <item x="14"/>
        <item x="134"/>
        <item x="35"/>
        <item x="136"/>
        <item x="135"/>
        <item x="138"/>
        <item x="139"/>
        <item x="133"/>
        <item x="137"/>
        <item x="43"/>
        <item x="45"/>
        <item x="131"/>
        <item x="44"/>
        <item x="140"/>
        <item x="36"/>
        <item x="142"/>
        <item x="12"/>
        <item x="143"/>
        <item x="34"/>
        <item x="47"/>
        <item x="132"/>
        <item x="144"/>
        <item x="16"/>
        <item x="46"/>
        <item x="141"/>
        <item x="77"/>
        <item x="173"/>
        <item x="75"/>
        <item x="107"/>
        <item x="72"/>
        <item x="80"/>
        <item x="79"/>
        <item x="196"/>
        <item x="145"/>
        <item x="17"/>
        <item x="48"/>
        <item x="74"/>
        <item x="198"/>
        <item x="108"/>
        <item x="105"/>
        <item x="194"/>
        <item x="106"/>
        <item x="78"/>
        <item x="82"/>
        <item x="195"/>
        <item x="76"/>
        <item x="197"/>
        <item x="193"/>
        <item x="73"/>
        <item x="50"/>
        <item x="69"/>
        <item x="192"/>
        <item x="174"/>
        <item x="71"/>
        <item x="147"/>
        <item x="200"/>
        <item x="109"/>
        <item x="70"/>
        <item x="171"/>
        <item x="111"/>
        <item x="172"/>
        <item x="83"/>
        <item x="81"/>
        <item x="191"/>
        <item x="110"/>
        <item x="169"/>
        <item x="49"/>
        <item x="175"/>
        <item x="170"/>
        <item x="254"/>
        <item x="20"/>
        <item x="85"/>
        <item x="19"/>
        <item x="102"/>
        <item x="66"/>
        <item x="68"/>
        <item x="203"/>
        <item x="86"/>
        <item x="304"/>
        <item x="67"/>
        <item x="199"/>
        <item x="104"/>
        <item x="112"/>
        <item x="130"/>
        <item x="129"/>
        <item x="146"/>
        <item x="168"/>
        <item x="308"/>
        <item x="302"/>
        <item x="202"/>
        <item x="176"/>
        <item x="15"/>
        <item x="178"/>
        <item x="177"/>
        <item x="103"/>
        <item x="257"/>
        <item x="32"/>
        <item x="88"/>
        <item x="190"/>
        <item x="33"/>
        <item x="100"/>
        <item x="31"/>
        <item x="84"/>
        <item x="189"/>
        <item x="187"/>
        <item x="256"/>
        <item x="310"/>
        <item x="232"/>
        <item x="101"/>
        <item x="126"/>
        <item x="184"/>
        <item x="123"/>
        <item x="250"/>
        <item x="186"/>
        <item x="51"/>
        <item x="299"/>
        <item x="166"/>
        <item x="125"/>
        <item x="128"/>
        <item x="185"/>
        <item x="113"/>
        <item x="148"/>
        <item x="167"/>
        <item x="22"/>
        <item x="63"/>
        <item x="165"/>
        <item x="227"/>
        <item x="65"/>
        <item x="114"/>
        <item x="306"/>
        <item x="260"/>
        <item x="124"/>
        <item x="188"/>
        <item x="64"/>
        <item x="87"/>
        <item x="89"/>
        <item x="263"/>
        <item x="23"/>
        <item x="179"/>
        <item x="153"/>
        <item x="127"/>
        <item x="97"/>
        <item x="60"/>
        <item x="259"/>
        <item x="278"/>
        <item x="181"/>
        <item x="207"/>
        <item x="182"/>
        <item x="233"/>
        <item x="155"/>
        <item x="62"/>
        <item x="120"/>
        <item x="156"/>
        <item x="183"/>
        <item x="91"/>
        <item x="53"/>
        <item x="117"/>
        <item x="99"/>
        <item x="57"/>
        <item x="92"/>
        <item x="122"/>
        <item x="180"/>
        <item x="150"/>
        <item x="61"/>
        <item x="116"/>
        <item x="301"/>
        <item x="252"/>
        <item x="206"/>
        <item x="96"/>
        <item x="154"/>
        <item x="18"/>
        <item x="162"/>
        <item x="54"/>
        <item x="201"/>
        <item x="164"/>
        <item x="59"/>
        <item x="94"/>
        <item x="265"/>
        <item x="158"/>
        <item x="229"/>
        <item x="151"/>
        <item x="163"/>
        <item x="210"/>
        <item x="121"/>
        <item x="262"/>
        <item x="98"/>
        <item x="25"/>
        <item x="224"/>
        <item x="119"/>
        <item x="90"/>
        <item x="95"/>
        <item x="253"/>
        <item x="281"/>
        <item x="255"/>
        <item x="279"/>
        <item x="228"/>
        <item x="284"/>
        <item x="209"/>
        <item x="159"/>
        <item x="56"/>
        <item x="93"/>
        <item x="58"/>
        <item x="277"/>
        <item x="204"/>
        <item x="266"/>
        <item x="226"/>
        <item x="234"/>
        <item x="27"/>
        <item x="297"/>
        <item x="272"/>
        <item x="52"/>
        <item x="289"/>
        <item x="157"/>
        <item x="115"/>
        <item x="161"/>
        <item x="24"/>
        <item x="283"/>
        <item x="149"/>
        <item x="303"/>
        <item x="305"/>
        <item x="307"/>
        <item x="258"/>
        <item x="291"/>
        <item x="21"/>
        <item x="28"/>
        <item x="300"/>
        <item x="212"/>
        <item x="118"/>
        <item x="152"/>
        <item x="309"/>
        <item x="230"/>
        <item x="205"/>
        <item x="251"/>
        <item x="225"/>
        <item x="55"/>
        <item x="288"/>
        <item x="286"/>
        <item x="30"/>
        <item x="264"/>
        <item x="26"/>
        <item x="269"/>
        <item x="294"/>
        <item x="311"/>
        <item x="160"/>
        <item x="268"/>
        <item x="261"/>
        <item x="237"/>
        <item x="247"/>
        <item x="274"/>
        <item x="214"/>
        <item x="208"/>
        <item x="280"/>
        <item x="215"/>
        <item x="221"/>
        <item x="293"/>
        <item x="235"/>
        <item x="211"/>
        <item x="29"/>
        <item x="249"/>
        <item x="223"/>
        <item x="276"/>
        <item x="271"/>
        <item x="217"/>
        <item x="296"/>
        <item x="238"/>
        <item x="236"/>
        <item x="282"/>
        <item x="275"/>
        <item x="298"/>
        <item x="248"/>
        <item x="213"/>
        <item x="222"/>
        <item x="287"/>
        <item x="240"/>
        <item x="218"/>
        <item x="285"/>
        <item x="290"/>
        <item x="267"/>
        <item x="216"/>
        <item x="220"/>
        <item x="273"/>
        <item x="292"/>
        <item x="241"/>
        <item x="244"/>
        <item x="239"/>
        <item x="295"/>
        <item x="270"/>
        <item x="243"/>
        <item x="246"/>
        <item x="219"/>
        <item x="245"/>
        <item x="242"/>
        <item x="231"/>
        <item t="default"/>
      </items>
    </pivotField>
    <pivotField showAll="0">
      <items count="266">
        <item x="7"/>
        <item x="4"/>
        <item x="9"/>
        <item x="18"/>
        <item x="8"/>
        <item x="15"/>
        <item x="10"/>
        <item x="5"/>
        <item x="12"/>
        <item x="6"/>
        <item x="1"/>
        <item x="3"/>
        <item x="2"/>
        <item x="0"/>
        <item x="13"/>
        <item x="16"/>
        <item x="19"/>
        <item x="11"/>
        <item x="14"/>
        <item x="22"/>
        <item x="17"/>
        <item x="28"/>
        <item x="20"/>
        <item x="24"/>
        <item x="21"/>
        <item x="26"/>
        <item x="29"/>
        <item x="23"/>
        <item x="31"/>
        <item x="25"/>
        <item x="27"/>
        <item x="30"/>
        <item x="32"/>
        <item x="33"/>
        <item x="34"/>
        <item x="36"/>
        <item x="37"/>
        <item x="169"/>
        <item x="39"/>
        <item x="35"/>
        <item x="38"/>
        <item x="41"/>
        <item x="40"/>
        <item x="176"/>
        <item x="174"/>
        <item x="166"/>
        <item x="42"/>
        <item x="44"/>
        <item x="45"/>
        <item x="43"/>
        <item x="178"/>
        <item x="48"/>
        <item x="47"/>
        <item x="50"/>
        <item x="51"/>
        <item x="54"/>
        <item x="46"/>
        <item x="161"/>
        <item x="53"/>
        <item x="49"/>
        <item x="179"/>
        <item x="56"/>
        <item x="181"/>
        <item x="158"/>
        <item x="59"/>
        <item x="58"/>
        <item x="52"/>
        <item x="155"/>
        <item x="62"/>
        <item x="55"/>
        <item x="182"/>
        <item x="183"/>
        <item x="61"/>
        <item x="177"/>
        <item x="180"/>
        <item x="170"/>
        <item x="65"/>
        <item x="172"/>
        <item x="184"/>
        <item x="153"/>
        <item x="167"/>
        <item x="64"/>
        <item x="57"/>
        <item x="145"/>
        <item x="151"/>
        <item x="68"/>
        <item x="185"/>
        <item x="148"/>
        <item x="164"/>
        <item x="143"/>
        <item x="67"/>
        <item x="186"/>
        <item x="60"/>
        <item x="175"/>
        <item x="162"/>
        <item x="168"/>
        <item x="171"/>
        <item x="173"/>
        <item x="63"/>
        <item x="159"/>
        <item x="188"/>
        <item x="140"/>
        <item x="189"/>
        <item x="165"/>
        <item x="187"/>
        <item x="191"/>
        <item x="156"/>
        <item x="163"/>
        <item x="193"/>
        <item x="192"/>
        <item x="160"/>
        <item x="196"/>
        <item x="70"/>
        <item x="190"/>
        <item x="194"/>
        <item x="154"/>
        <item x="66"/>
        <item x="137"/>
        <item x="197"/>
        <item x="157"/>
        <item x="71"/>
        <item x="195"/>
        <item x="152"/>
        <item x="199"/>
        <item x="146"/>
        <item x="149"/>
        <item x="198"/>
        <item x="144"/>
        <item x="74"/>
        <item x="200"/>
        <item x="201"/>
        <item x="132"/>
        <item x="141"/>
        <item x="150"/>
        <item x="147"/>
        <item x="203"/>
        <item x="73"/>
        <item x="77"/>
        <item x="142"/>
        <item x="138"/>
        <item x="202"/>
        <item x="76"/>
        <item x="206"/>
        <item x="207"/>
        <item x="139"/>
        <item x="205"/>
        <item x="135"/>
        <item x="204"/>
        <item x="136"/>
        <item x="80"/>
        <item x="69"/>
        <item x="129"/>
        <item x="133"/>
        <item x="79"/>
        <item x="134"/>
        <item x="131"/>
        <item x="72"/>
        <item x="217"/>
        <item x="75"/>
        <item x="218"/>
        <item x="215"/>
        <item x="82"/>
        <item x="208"/>
        <item x="212"/>
        <item x="210"/>
        <item x="209"/>
        <item x="214"/>
        <item x="216"/>
        <item x="213"/>
        <item x="130"/>
        <item x="83"/>
        <item x="126"/>
        <item x="219"/>
        <item x="78"/>
        <item x="221"/>
        <item x="128"/>
        <item x="225"/>
        <item x="220"/>
        <item x="227"/>
        <item x="228"/>
        <item x="127"/>
        <item x="226"/>
        <item x="223"/>
        <item x="224"/>
        <item x="86"/>
        <item x="229"/>
        <item x="98"/>
        <item x="222"/>
        <item x="125"/>
        <item x="89"/>
        <item x="101"/>
        <item x="95"/>
        <item x="243"/>
        <item x="245"/>
        <item x="234"/>
        <item x="244"/>
        <item x="92"/>
        <item x="239"/>
        <item x="236"/>
        <item x="238"/>
        <item x="241"/>
        <item x="100"/>
        <item x="242"/>
        <item x="237"/>
        <item x="247"/>
        <item x="235"/>
        <item x="246"/>
        <item x="230"/>
        <item x="240"/>
        <item x="85"/>
        <item x="81"/>
        <item x="232"/>
        <item x="231"/>
        <item x="104"/>
        <item x="233"/>
        <item x="248"/>
        <item x="250"/>
        <item x="249"/>
        <item x="97"/>
        <item x="103"/>
        <item x="123"/>
        <item x="124"/>
        <item x="251"/>
        <item x="252"/>
        <item x="107"/>
        <item x="253"/>
        <item x="255"/>
        <item x="254"/>
        <item x="121"/>
        <item x="118"/>
        <item x="99"/>
        <item x="116"/>
        <item x="257"/>
        <item x="94"/>
        <item x="259"/>
        <item x="260"/>
        <item x="256"/>
        <item x="261"/>
        <item x="88"/>
        <item x="258"/>
        <item x="91"/>
        <item x="106"/>
        <item x="110"/>
        <item x="120"/>
        <item x="113"/>
        <item x="262"/>
        <item x="264"/>
        <item x="117"/>
        <item x="109"/>
        <item x="263"/>
        <item x="122"/>
        <item x="115"/>
        <item x="119"/>
        <item x="96"/>
        <item x="102"/>
        <item x="112"/>
        <item x="114"/>
        <item x="105"/>
        <item x="93"/>
        <item x="108"/>
        <item x="84"/>
        <item x="111"/>
        <item x="90"/>
        <item x="87"/>
        <item x="211"/>
        <item t="default"/>
      </items>
    </pivotField>
    <pivotField showAll="0">
      <items count="206">
        <item x="66"/>
        <item x="63"/>
        <item x="69"/>
        <item x="72"/>
        <item x="61"/>
        <item x="70"/>
        <item x="67"/>
        <item x="59"/>
        <item x="64"/>
        <item x="56"/>
        <item x="73"/>
        <item x="68"/>
        <item x="76"/>
        <item x="65"/>
        <item x="54"/>
        <item x="75"/>
        <item x="71"/>
        <item x="62"/>
        <item x="74"/>
        <item x="51"/>
        <item x="60"/>
        <item x="33"/>
        <item x="57"/>
        <item x="48"/>
        <item x="36"/>
        <item x="78"/>
        <item x="31"/>
        <item x="55"/>
        <item x="79"/>
        <item x="58"/>
        <item x="77"/>
        <item x="45"/>
        <item x="52"/>
        <item x="28"/>
        <item x="80"/>
        <item x="82"/>
        <item x="53"/>
        <item x="49"/>
        <item x="81"/>
        <item x="34"/>
        <item x="25"/>
        <item x="37"/>
        <item x="43"/>
        <item x="50"/>
        <item x="22"/>
        <item x="38"/>
        <item x="83"/>
        <item x="47"/>
        <item x="46"/>
        <item x="20"/>
        <item x="84"/>
        <item x="19"/>
        <item x="32"/>
        <item x="35"/>
        <item x="17"/>
        <item x="14"/>
        <item x="29"/>
        <item x="30"/>
        <item x="11"/>
        <item x="8"/>
        <item x="44"/>
        <item x="26"/>
        <item x="6"/>
        <item x="23"/>
        <item x="39"/>
        <item x="27"/>
        <item x="12"/>
        <item x="15"/>
        <item x="18"/>
        <item x="9"/>
        <item x="24"/>
        <item x="10"/>
        <item x="4"/>
        <item x="21"/>
        <item x="42"/>
        <item x="13"/>
        <item x="7"/>
        <item x="16"/>
        <item x="41"/>
        <item x="40"/>
        <item x="5"/>
        <item x="1"/>
        <item x="147"/>
        <item x="3"/>
        <item x="2"/>
        <item x="86"/>
        <item x="0"/>
        <item x="87"/>
        <item x="161"/>
        <item x="150"/>
        <item x="89"/>
        <item x="90"/>
        <item x="162"/>
        <item x="85"/>
        <item x="163"/>
        <item x="148"/>
        <item x="92"/>
        <item x="93"/>
        <item x="160"/>
        <item x="144"/>
        <item x="165"/>
        <item x="159"/>
        <item x="88"/>
        <item x="164"/>
        <item x="95"/>
        <item x="157"/>
        <item x="166"/>
        <item x="146"/>
        <item x="156"/>
        <item x="91"/>
        <item x="96"/>
        <item x="183"/>
        <item x="154"/>
        <item x="149"/>
        <item x="158"/>
        <item x="172"/>
        <item x="167"/>
        <item x="155"/>
        <item x="98"/>
        <item x="99"/>
        <item x="169"/>
        <item x="94"/>
        <item x="102"/>
        <item x="152"/>
        <item x="170"/>
        <item x="145"/>
        <item x="101"/>
        <item x="185"/>
        <item x="168"/>
        <item x="104"/>
        <item x="141"/>
        <item x="151"/>
        <item x="107"/>
        <item x="186"/>
        <item x="97"/>
        <item x="153"/>
        <item x="108"/>
        <item x="180"/>
        <item x="171"/>
        <item x="100"/>
        <item x="143"/>
        <item x="178"/>
        <item x="103"/>
        <item x="106"/>
        <item x="105"/>
        <item x="182"/>
        <item x="184"/>
        <item x="142"/>
        <item x="110"/>
        <item x="175"/>
        <item x="177"/>
        <item x="176"/>
        <item x="112"/>
        <item x="140"/>
        <item x="181"/>
        <item x="109"/>
        <item x="115"/>
        <item x="139"/>
        <item x="114"/>
        <item x="179"/>
        <item x="194"/>
        <item x="117"/>
        <item x="118"/>
        <item x="138"/>
        <item x="121"/>
        <item x="195"/>
        <item x="196"/>
        <item x="198"/>
        <item x="189"/>
        <item x="120"/>
        <item x="111"/>
        <item x="123"/>
        <item x="188"/>
        <item x="173"/>
        <item x="197"/>
        <item x="124"/>
        <item x="199"/>
        <item x="113"/>
        <item x="187"/>
        <item x="126"/>
        <item x="192"/>
        <item x="137"/>
        <item x="116"/>
        <item x="122"/>
        <item x="119"/>
        <item x="201"/>
        <item x="128"/>
        <item x="193"/>
        <item x="130"/>
        <item x="125"/>
        <item x="190"/>
        <item x="132"/>
        <item x="136"/>
        <item x="127"/>
        <item x="200"/>
        <item x="129"/>
        <item x="133"/>
        <item x="131"/>
        <item x="203"/>
        <item x="135"/>
        <item x="191"/>
        <item x="202"/>
        <item x="134"/>
        <item x="204"/>
        <item x="174"/>
        <item t="default"/>
      </items>
    </pivotField>
    <pivotField showAll="0">
      <items count="283">
        <item x="1"/>
        <item x="3"/>
        <item x="6"/>
        <item x="2"/>
        <item x="4"/>
        <item x="7"/>
        <item x="0"/>
        <item x="8"/>
        <item x="5"/>
        <item x="9"/>
        <item x="10"/>
        <item x="12"/>
        <item x="11"/>
        <item x="13"/>
        <item x="15"/>
        <item x="14"/>
        <item x="17"/>
        <item x="18"/>
        <item x="20"/>
        <item x="16"/>
        <item x="21"/>
        <item x="24"/>
        <item x="23"/>
        <item x="19"/>
        <item x="26"/>
        <item x="27"/>
        <item x="22"/>
        <item x="29"/>
        <item x="25"/>
        <item x="30"/>
        <item x="33"/>
        <item x="28"/>
        <item x="36"/>
        <item x="32"/>
        <item x="39"/>
        <item x="35"/>
        <item x="42"/>
        <item x="38"/>
        <item x="45"/>
        <item x="41"/>
        <item x="31"/>
        <item x="48"/>
        <item x="44"/>
        <item x="34"/>
        <item x="51"/>
        <item x="47"/>
        <item x="37"/>
        <item x="40"/>
        <item x="50"/>
        <item x="54"/>
        <item x="57"/>
        <item x="43"/>
        <item x="53"/>
        <item x="62"/>
        <item x="65"/>
        <item x="46"/>
        <item x="56"/>
        <item x="68"/>
        <item x="59"/>
        <item x="61"/>
        <item x="49"/>
        <item x="71"/>
        <item x="64"/>
        <item x="67"/>
        <item x="74"/>
        <item x="76"/>
        <item x="52"/>
        <item x="70"/>
        <item x="78"/>
        <item x="73"/>
        <item x="55"/>
        <item x="77"/>
        <item x="58"/>
        <item x="81"/>
        <item x="80"/>
        <item x="60"/>
        <item x="86"/>
        <item x="63"/>
        <item x="66"/>
        <item x="83"/>
        <item x="85"/>
        <item x="69"/>
        <item x="88"/>
        <item x="75"/>
        <item x="72"/>
        <item x="93"/>
        <item x="90"/>
        <item x="79"/>
        <item x="96"/>
        <item x="99"/>
        <item x="92"/>
        <item x="82"/>
        <item x="102"/>
        <item x="105"/>
        <item x="95"/>
        <item x="108"/>
        <item x="84"/>
        <item x="98"/>
        <item x="110"/>
        <item x="87"/>
        <item x="101"/>
        <item x="113"/>
        <item x="144"/>
        <item x="104"/>
        <item x="107"/>
        <item x="142"/>
        <item x="139"/>
        <item x="116"/>
        <item x="89"/>
        <item x="147"/>
        <item x="119"/>
        <item x="146"/>
        <item x="112"/>
        <item x="136"/>
        <item x="91"/>
        <item x="133"/>
        <item x="115"/>
        <item x="141"/>
        <item x="126"/>
        <item x="130"/>
        <item x="94"/>
        <item x="152"/>
        <item x="148"/>
        <item x="154"/>
        <item x="118"/>
        <item x="155"/>
        <item x="145"/>
        <item x="138"/>
        <item x="121"/>
        <item x="153"/>
        <item x="149"/>
        <item x="157"/>
        <item x="97"/>
        <item x="135"/>
        <item x="123"/>
        <item x="159"/>
        <item x="167"/>
        <item x="125"/>
        <item x="161"/>
        <item x="100"/>
        <item x="132"/>
        <item x="103"/>
        <item x="143"/>
        <item x="156"/>
        <item x="106"/>
        <item x="129"/>
        <item x="158"/>
        <item x="109"/>
        <item x="150"/>
        <item x="164"/>
        <item x="151"/>
        <item x="168"/>
        <item x="166"/>
        <item x="163"/>
        <item x="160"/>
        <item x="162"/>
        <item x="140"/>
        <item x="165"/>
        <item x="111"/>
        <item x="170"/>
        <item x="169"/>
        <item x="172"/>
        <item x="137"/>
        <item x="171"/>
        <item x="114"/>
        <item x="174"/>
        <item x="117"/>
        <item x="134"/>
        <item x="175"/>
        <item x="173"/>
        <item x="120"/>
        <item x="122"/>
        <item x="131"/>
        <item x="176"/>
        <item x="124"/>
        <item x="127"/>
        <item x="128"/>
        <item x="178"/>
        <item x="179"/>
        <item x="177"/>
        <item x="181"/>
        <item x="182"/>
        <item x="180"/>
        <item x="184"/>
        <item x="187"/>
        <item x="185"/>
        <item x="190"/>
        <item x="183"/>
        <item x="188"/>
        <item x="186"/>
        <item x="191"/>
        <item x="189"/>
        <item x="193"/>
        <item x="192"/>
        <item x="196"/>
        <item x="197"/>
        <item x="195"/>
        <item x="198"/>
        <item x="200"/>
        <item x="199"/>
        <item x="202"/>
        <item x="201"/>
        <item x="204"/>
        <item x="205"/>
        <item x="207"/>
        <item x="203"/>
        <item x="212"/>
        <item x="214"/>
        <item x="216"/>
        <item x="208"/>
        <item x="206"/>
        <item x="217"/>
        <item x="210"/>
        <item x="213"/>
        <item x="215"/>
        <item x="209"/>
        <item x="211"/>
        <item x="219"/>
        <item x="222"/>
        <item x="226"/>
        <item x="230"/>
        <item x="233"/>
        <item x="220"/>
        <item x="224"/>
        <item x="223"/>
        <item x="227"/>
        <item x="231"/>
        <item x="234"/>
        <item x="218"/>
        <item x="225"/>
        <item x="221"/>
        <item x="228"/>
        <item x="236"/>
        <item x="229"/>
        <item x="232"/>
        <item x="235"/>
        <item x="238"/>
        <item x="240"/>
        <item x="237"/>
        <item x="241"/>
        <item x="243"/>
        <item x="239"/>
        <item x="244"/>
        <item x="246"/>
        <item x="242"/>
        <item x="247"/>
        <item x="249"/>
        <item x="245"/>
        <item x="252"/>
        <item x="250"/>
        <item x="255"/>
        <item x="248"/>
        <item x="253"/>
        <item x="251"/>
        <item x="258"/>
        <item x="256"/>
        <item x="254"/>
        <item x="259"/>
        <item x="257"/>
        <item x="263"/>
        <item x="261"/>
        <item x="266"/>
        <item x="260"/>
        <item x="264"/>
        <item x="269"/>
        <item x="262"/>
        <item x="267"/>
        <item x="272"/>
        <item x="265"/>
        <item x="270"/>
        <item x="268"/>
        <item x="277"/>
        <item x="273"/>
        <item x="275"/>
        <item x="271"/>
        <item x="280"/>
        <item x="274"/>
        <item x="278"/>
        <item x="276"/>
        <item x="281"/>
        <item x="279"/>
        <item x="194"/>
        <item t="default"/>
      </items>
    </pivotField>
    <pivotField showAll="0">
      <items count="269">
        <item x="0"/>
        <item x="2"/>
        <item x="1"/>
        <item x="4"/>
        <item x="5"/>
        <item x="3"/>
        <item x="7"/>
        <item x="8"/>
        <item x="6"/>
        <item x="10"/>
        <item x="11"/>
        <item x="13"/>
        <item x="9"/>
        <item x="15"/>
        <item x="12"/>
        <item x="17"/>
        <item x="18"/>
        <item x="14"/>
        <item x="20"/>
        <item x="16"/>
        <item x="22"/>
        <item x="19"/>
        <item x="21"/>
        <item x="24"/>
        <item x="23"/>
        <item x="25"/>
        <item x="26"/>
        <item x="32"/>
        <item x="28"/>
        <item x="27"/>
        <item x="30"/>
        <item x="33"/>
        <item x="29"/>
        <item x="31"/>
        <item x="35"/>
        <item x="34"/>
        <item x="37"/>
        <item x="40"/>
        <item x="36"/>
        <item x="43"/>
        <item x="41"/>
        <item x="38"/>
        <item x="44"/>
        <item x="39"/>
        <item x="42"/>
        <item x="47"/>
        <item x="48"/>
        <item x="45"/>
        <item x="46"/>
        <item x="54"/>
        <item x="57"/>
        <item x="49"/>
        <item x="60"/>
        <item x="50"/>
        <item x="52"/>
        <item x="55"/>
        <item x="65"/>
        <item x="58"/>
        <item x="51"/>
        <item x="53"/>
        <item x="70"/>
        <item x="61"/>
        <item x="56"/>
        <item x="63"/>
        <item x="66"/>
        <item x="59"/>
        <item x="68"/>
        <item x="78"/>
        <item x="81"/>
        <item x="71"/>
        <item x="64"/>
        <item x="62"/>
        <item x="67"/>
        <item x="89"/>
        <item x="74"/>
        <item x="69"/>
        <item x="76"/>
        <item x="96"/>
        <item x="72"/>
        <item x="99"/>
        <item x="79"/>
        <item x="82"/>
        <item x="73"/>
        <item x="104"/>
        <item x="75"/>
        <item x="106"/>
        <item x="85"/>
        <item x="111"/>
        <item x="87"/>
        <item x="77"/>
        <item x="90"/>
        <item x="120"/>
        <item x="80"/>
        <item x="83"/>
        <item x="92"/>
        <item x="123"/>
        <item x="84"/>
        <item x="94"/>
        <item x="127"/>
        <item x="129"/>
        <item x="97"/>
        <item x="86"/>
        <item x="100"/>
        <item x="88"/>
        <item x="132"/>
        <item x="102"/>
        <item x="137"/>
        <item x="138"/>
        <item x="107"/>
        <item x="109"/>
        <item x="91"/>
        <item x="112"/>
        <item x="114"/>
        <item x="141"/>
        <item x="116"/>
        <item x="146"/>
        <item x="93"/>
        <item x="152"/>
        <item x="118"/>
        <item x="131"/>
        <item x="98"/>
        <item x="95"/>
        <item x="155"/>
        <item x="103"/>
        <item x="101"/>
        <item x="125"/>
        <item x="105"/>
        <item x="160"/>
        <item x="133"/>
        <item x="108"/>
        <item x="135"/>
        <item x="110"/>
        <item x="165"/>
        <item x="113"/>
        <item x="115"/>
        <item x="130"/>
        <item x="142"/>
        <item x="126"/>
        <item x="128"/>
        <item x="122"/>
        <item x="117"/>
        <item x="174"/>
        <item x="119"/>
        <item x="121"/>
        <item x="124"/>
        <item x="134"/>
        <item x="136"/>
        <item x="140"/>
        <item x="150"/>
        <item x="147"/>
        <item x="144"/>
        <item x="153"/>
        <item x="139"/>
        <item x="156"/>
        <item x="158"/>
        <item x="143"/>
        <item x="161"/>
        <item x="162"/>
        <item x="163"/>
        <item x="166"/>
        <item x="168"/>
        <item x="181"/>
        <item x="170"/>
        <item x="172"/>
        <item x="175"/>
        <item x="176"/>
        <item x="178"/>
        <item x="149"/>
        <item x="151"/>
        <item x="145"/>
        <item x="154"/>
        <item x="148"/>
        <item x="157"/>
        <item x="159"/>
        <item x="164"/>
        <item x="167"/>
        <item x="177"/>
        <item x="169"/>
        <item x="182"/>
        <item x="171"/>
        <item x="173"/>
        <item x="184"/>
        <item x="190"/>
        <item x="180"/>
        <item x="186"/>
        <item x="193"/>
        <item x="183"/>
        <item x="188"/>
        <item x="185"/>
        <item x="196"/>
        <item x="191"/>
        <item x="187"/>
        <item x="194"/>
        <item x="189"/>
        <item x="201"/>
        <item x="204"/>
        <item x="197"/>
        <item x="207"/>
        <item x="210"/>
        <item x="192"/>
        <item x="214"/>
        <item x="218"/>
        <item x="199"/>
        <item x="195"/>
        <item x="202"/>
        <item x="225"/>
        <item x="228"/>
        <item x="231"/>
        <item x="234"/>
        <item x="205"/>
        <item x="236"/>
        <item x="239"/>
        <item x="208"/>
        <item x="242"/>
        <item x="198"/>
        <item x="245"/>
        <item x="200"/>
        <item x="212"/>
        <item x="247"/>
        <item x="250"/>
        <item x="203"/>
        <item x="253"/>
        <item x="215"/>
        <item x="256"/>
        <item x="219"/>
        <item x="221"/>
        <item x="223"/>
        <item x="226"/>
        <item x="206"/>
        <item x="229"/>
        <item x="261"/>
        <item x="232"/>
        <item x="209"/>
        <item x="266"/>
        <item x="211"/>
        <item x="237"/>
        <item x="213"/>
        <item x="240"/>
        <item x="216"/>
        <item x="243"/>
        <item x="217"/>
        <item x="220"/>
        <item x="248"/>
        <item x="222"/>
        <item x="224"/>
        <item x="251"/>
        <item x="254"/>
        <item x="227"/>
        <item x="257"/>
        <item x="230"/>
        <item x="259"/>
        <item x="262"/>
        <item x="233"/>
        <item x="264"/>
        <item x="235"/>
        <item x="267"/>
        <item x="238"/>
        <item x="241"/>
        <item x="244"/>
        <item x="246"/>
        <item x="249"/>
        <item x="252"/>
        <item x="255"/>
        <item x="258"/>
        <item x="260"/>
        <item x="263"/>
        <item x="265"/>
        <item x="179"/>
        <item t="default"/>
      </items>
    </pivotField>
    <pivotField showAll="0">
      <items count="308">
        <item x="0"/>
        <item x="2"/>
        <item x="3"/>
        <item x="1"/>
        <item x="6"/>
        <item x="5"/>
        <item x="9"/>
        <item x="8"/>
        <item x="4"/>
        <item x="11"/>
        <item x="7"/>
        <item x="12"/>
        <item x="14"/>
        <item x="10"/>
        <item x="15"/>
        <item x="13"/>
        <item x="17"/>
        <item x="18"/>
        <item x="16"/>
        <item x="20"/>
        <item x="19"/>
        <item x="22"/>
        <item x="23"/>
        <item x="21"/>
        <item x="25"/>
        <item x="26"/>
        <item x="24"/>
        <item x="27"/>
        <item x="29"/>
        <item x="30"/>
        <item x="28"/>
        <item x="33"/>
        <item x="32"/>
        <item x="35"/>
        <item x="31"/>
        <item x="38"/>
        <item x="41"/>
        <item x="37"/>
        <item x="34"/>
        <item x="44"/>
        <item x="40"/>
        <item x="43"/>
        <item x="36"/>
        <item x="47"/>
        <item x="46"/>
        <item x="39"/>
        <item x="50"/>
        <item x="42"/>
        <item x="49"/>
        <item x="45"/>
        <item x="52"/>
        <item x="48"/>
        <item x="55"/>
        <item x="54"/>
        <item x="58"/>
        <item x="51"/>
        <item x="57"/>
        <item x="60"/>
        <item x="53"/>
        <item x="63"/>
        <item x="56"/>
        <item x="62"/>
        <item x="59"/>
        <item x="65"/>
        <item x="67"/>
        <item x="68"/>
        <item x="61"/>
        <item x="64"/>
        <item x="70"/>
        <item x="66"/>
        <item x="72"/>
        <item x="69"/>
        <item x="73"/>
        <item x="75"/>
        <item x="71"/>
        <item x="74"/>
        <item x="76"/>
        <item x="77"/>
        <item x="79"/>
        <item x="80"/>
        <item x="82"/>
        <item x="78"/>
        <item x="83"/>
        <item x="81"/>
        <item x="85"/>
        <item x="87"/>
        <item x="84"/>
        <item x="86"/>
        <item x="89"/>
        <item x="90"/>
        <item x="88"/>
        <item x="92"/>
        <item x="93"/>
        <item x="91"/>
        <item x="95"/>
        <item x="94"/>
        <item x="99"/>
        <item x="97"/>
        <item x="102"/>
        <item x="100"/>
        <item x="96"/>
        <item x="103"/>
        <item x="98"/>
        <item x="105"/>
        <item x="108"/>
        <item x="101"/>
        <item x="104"/>
        <item x="111"/>
        <item x="109"/>
        <item x="106"/>
        <item x="112"/>
        <item x="107"/>
        <item x="114"/>
        <item x="118"/>
        <item x="110"/>
        <item x="116"/>
        <item x="121"/>
        <item x="113"/>
        <item x="124"/>
        <item x="119"/>
        <item x="115"/>
        <item x="127"/>
        <item x="122"/>
        <item x="130"/>
        <item x="125"/>
        <item x="117"/>
        <item x="135"/>
        <item x="128"/>
        <item x="138"/>
        <item x="120"/>
        <item x="131"/>
        <item x="123"/>
        <item x="143"/>
        <item x="126"/>
        <item x="133"/>
        <item x="136"/>
        <item x="129"/>
        <item x="139"/>
        <item x="141"/>
        <item x="147"/>
        <item x="132"/>
        <item x="134"/>
        <item x="137"/>
        <item x="152"/>
        <item x="154"/>
        <item x="140"/>
        <item x="145"/>
        <item x="159"/>
        <item x="148"/>
        <item x="162"/>
        <item x="142"/>
        <item x="150"/>
        <item x="165"/>
        <item x="144"/>
        <item x="153"/>
        <item x="155"/>
        <item x="146"/>
        <item x="169"/>
        <item x="157"/>
        <item x="160"/>
        <item x="149"/>
        <item x="163"/>
        <item x="166"/>
        <item x="174"/>
        <item x="151"/>
        <item x="158"/>
        <item x="156"/>
        <item x="175"/>
        <item x="170"/>
        <item x="178"/>
        <item x="161"/>
        <item x="180"/>
        <item x="172"/>
        <item x="183"/>
        <item x="185"/>
        <item x="164"/>
        <item x="188"/>
        <item x="167"/>
        <item x="176"/>
        <item x="181"/>
        <item x="168"/>
        <item x="186"/>
        <item x="191"/>
        <item x="171"/>
        <item x="189"/>
        <item x="193"/>
        <item x="182"/>
        <item x="173"/>
        <item x="179"/>
        <item x="177"/>
        <item x="184"/>
        <item x="187"/>
        <item x="190"/>
        <item x="192"/>
        <item x="196"/>
        <item x="194"/>
        <item x="198"/>
        <item x="195"/>
        <item x="197"/>
        <item x="200"/>
        <item x="199"/>
        <item x="202"/>
        <item x="201"/>
        <item x="204"/>
        <item x="205"/>
        <item x="203"/>
        <item x="207"/>
        <item x="208"/>
        <item x="206"/>
        <item x="210"/>
        <item x="209"/>
        <item x="214"/>
        <item x="217"/>
        <item x="213"/>
        <item x="212"/>
        <item x="220"/>
        <item x="216"/>
        <item x="223"/>
        <item x="219"/>
        <item x="222"/>
        <item x="215"/>
        <item x="226"/>
        <item x="225"/>
        <item x="228"/>
        <item x="218"/>
        <item x="221"/>
        <item x="224"/>
        <item x="230"/>
        <item x="231"/>
        <item x="227"/>
        <item x="234"/>
        <item x="237"/>
        <item x="229"/>
        <item x="233"/>
        <item x="236"/>
        <item x="239"/>
        <item x="232"/>
        <item x="240"/>
        <item x="235"/>
        <item x="242"/>
        <item x="246"/>
        <item x="241"/>
        <item x="238"/>
        <item x="243"/>
        <item x="249"/>
        <item x="248"/>
        <item x="245"/>
        <item x="252"/>
        <item x="244"/>
        <item x="247"/>
        <item x="253"/>
        <item x="251"/>
        <item x="256"/>
        <item x="255"/>
        <item x="250"/>
        <item x="258"/>
        <item x="261"/>
        <item x="254"/>
        <item x="264"/>
        <item x="260"/>
        <item x="257"/>
        <item x="263"/>
        <item x="267"/>
        <item x="266"/>
        <item x="259"/>
        <item x="270"/>
        <item x="262"/>
        <item x="269"/>
        <item x="265"/>
        <item x="273"/>
        <item x="272"/>
        <item x="268"/>
        <item x="276"/>
        <item x="275"/>
        <item x="279"/>
        <item x="271"/>
        <item x="278"/>
        <item x="282"/>
        <item x="284"/>
        <item x="274"/>
        <item x="281"/>
        <item x="287"/>
        <item x="277"/>
        <item x="290"/>
        <item x="286"/>
        <item x="280"/>
        <item x="289"/>
        <item x="295"/>
        <item x="283"/>
        <item x="292"/>
        <item x="298"/>
        <item x="294"/>
        <item x="285"/>
        <item x="301"/>
        <item x="304"/>
        <item x="297"/>
        <item x="288"/>
        <item x="291"/>
        <item x="300"/>
        <item x="293"/>
        <item x="303"/>
        <item x="306"/>
        <item x="296"/>
        <item x="299"/>
        <item x="302"/>
        <item x="305"/>
        <item x="211"/>
        <item t="default"/>
      </items>
    </pivotField>
    <pivotField showAll="0"/>
    <pivotField axis="axisPage" dataField="1" showAll="0">
      <items count="310">
        <item x="0"/>
        <item x="1"/>
        <item x="2"/>
        <item x="4"/>
        <item x="3"/>
        <item x="5"/>
        <item x="7"/>
        <item x="6"/>
        <item x="8"/>
        <item x="10"/>
        <item x="11"/>
        <item x="9"/>
        <item x="13"/>
        <item x="14"/>
        <item x="16"/>
        <item x="12"/>
        <item x="18"/>
        <item x="19"/>
        <item x="15"/>
        <item x="21"/>
        <item x="17"/>
        <item x="23"/>
        <item x="24"/>
        <item x="20"/>
        <item x="26"/>
        <item x="27"/>
        <item x="22"/>
        <item x="29"/>
        <item x="25"/>
        <item x="30"/>
        <item x="32"/>
        <item x="28"/>
        <item x="35"/>
        <item x="34"/>
        <item x="38"/>
        <item x="37"/>
        <item x="31"/>
        <item x="40"/>
        <item x="41"/>
        <item x="33"/>
        <item x="43"/>
        <item x="36"/>
        <item x="44"/>
        <item x="39"/>
        <item x="46"/>
        <item x="47"/>
        <item x="42"/>
        <item x="49"/>
        <item x="50"/>
        <item x="45"/>
        <item x="52"/>
        <item x="48"/>
        <item x="55"/>
        <item x="54"/>
        <item x="58"/>
        <item x="57"/>
        <item x="51"/>
        <item x="59"/>
        <item x="62"/>
        <item x="61"/>
        <item x="64"/>
        <item x="53"/>
        <item x="66"/>
        <item x="67"/>
        <item x="56"/>
        <item x="70"/>
        <item x="69"/>
        <item x="72"/>
        <item x="60"/>
        <item x="63"/>
        <item x="75"/>
        <item x="74"/>
        <item x="65"/>
        <item x="77"/>
        <item x="68"/>
        <item x="78"/>
        <item x="71"/>
        <item x="80"/>
        <item x="81"/>
        <item x="73"/>
        <item x="83"/>
        <item x="86"/>
        <item x="85"/>
        <item x="76"/>
        <item x="89"/>
        <item x="88"/>
        <item x="79"/>
        <item x="92"/>
        <item x="91"/>
        <item x="82"/>
        <item x="94"/>
        <item x="84"/>
        <item x="99"/>
        <item x="96"/>
        <item x="87"/>
        <item x="102"/>
        <item x="98"/>
        <item x="90"/>
        <item x="105"/>
        <item x="101"/>
        <item x="108"/>
        <item x="104"/>
        <item x="107"/>
        <item x="111"/>
        <item x="93"/>
        <item x="110"/>
        <item x="114"/>
        <item x="95"/>
        <item x="113"/>
        <item x="117"/>
        <item x="116"/>
        <item x="97"/>
        <item x="120"/>
        <item x="100"/>
        <item x="119"/>
        <item x="103"/>
        <item x="123"/>
        <item x="122"/>
        <item x="126"/>
        <item x="106"/>
        <item x="125"/>
        <item x="127"/>
        <item x="109"/>
        <item x="128"/>
        <item x="112"/>
        <item x="115"/>
        <item x="130"/>
        <item x="118"/>
        <item x="133"/>
        <item x="132"/>
        <item x="121"/>
        <item x="136"/>
        <item x="124"/>
        <item x="135"/>
        <item x="129"/>
        <item x="138"/>
        <item x="140"/>
        <item x="141"/>
        <item x="131"/>
        <item x="144"/>
        <item x="143"/>
        <item x="134"/>
        <item x="146"/>
        <item x="147"/>
        <item x="137"/>
        <item x="139"/>
        <item x="149"/>
        <item x="142"/>
        <item x="145"/>
        <item x="150"/>
        <item x="152"/>
        <item x="148"/>
        <item x="154"/>
        <item x="156"/>
        <item x="151"/>
        <item x="158"/>
        <item x="163"/>
        <item x="153"/>
        <item x="160"/>
        <item x="155"/>
        <item x="162"/>
        <item x="165"/>
        <item x="166"/>
        <item x="169"/>
        <item x="157"/>
        <item x="168"/>
        <item x="179"/>
        <item x="171"/>
        <item x="159"/>
        <item x="174"/>
        <item x="178"/>
        <item x="161"/>
        <item x="173"/>
        <item x="176"/>
        <item x="170"/>
        <item x="164"/>
        <item x="182"/>
        <item x="167"/>
        <item x="172"/>
        <item x="175"/>
        <item x="177"/>
        <item x="185"/>
        <item x="180"/>
        <item x="187"/>
        <item x="184"/>
        <item x="190"/>
        <item x="193"/>
        <item x="196"/>
        <item x="189"/>
        <item x="192"/>
        <item x="181"/>
        <item x="195"/>
        <item x="198"/>
        <item x="183"/>
        <item x="200"/>
        <item x="201"/>
        <item x="186"/>
        <item x="203"/>
        <item x="188"/>
        <item x="191"/>
        <item x="194"/>
        <item x="206"/>
        <item x="205"/>
        <item x="197"/>
        <item x="209"/>
        <item x="208"/>
        <item x="199"/>
        <item x="212"/>
        <item x="211"/>
        <item x="202"/>
        <item x="214"/>
        <item x="204"/>
        <item x="216"/>
        <item x="207"/>
        <item x="218"/>
        <item x="210"/>
        <item x="220"/>
        <item x="213"/>
        <item x="221"/>
        <item x="215"/>
        <item x="223"/>
        <item x="217"/>
        <item x="224"/>
        <item x="219"/>
        <item x="226"/>
        <item x="222"/>
        <item x="225"/>
        <item x="231"/>
        <item x="228"/>
        <item x="233"/>
        <item x="237"/>
        <item x="234"/>
        <item x="239"/>
        <item x="230"/>
        <item x="242"/>
        <item x="238"/>
        <item x="236"/>
        <item x="245"/>
        <item x="241"/>
        <item x="244"/>
        <item x="250"/>
        <item x="247"/>
        <item x="229"/>
        <item x="253"/>
        <item x="232"/>
        <item x="252"/>
        <item x="249"/>
        <item x="235"/>
        <item x="240"/>
        <item x="258"/>
        <item x="255"/>
        <item x="261"/>
        <item x="243"/>
        <item x="266"/>
        <item x="273"/>
        <item x="260"/>
        <item x="263"/>
        <item x="269"/>
        <item x="276"/>
        <item x="246"/>
        <item x="257"/>
        <item x="265"/>
        <item x="275"/>
        <item x="278"/>
        <item x="272"/>
        <item x="268"/>
        <item x="277"/>
        <item x="270"/>
        <item x="286"/>
        <item x="248"/>
        <item x="251"/>
        <item x="280"/>
        <item x="282"/>
        <item x="283"/>
        <item x="285"/>
        <item x="254"/>
        <item x="291"/>
        <item x="288"/>
        <item x="294"/>
        <item x="290"/>
        <item x="262"/>
        <item x="259"/>
        <item x="293"/>
        <item x="296"/>
        <item x="274"/>
        <item x="264"/>
        <item x="271"/>
        <item x="298"/>
        <item x="267"/>
        <item x="281"/>
        <item x="300"/>
        <item x="279"/>
        <item x="256"/>
        <item x="284"/>
        <item x="304"/>
        <item x="287"/>
        <item x="289"/>
        <item x="303"/>
        <item x="292"/>
        <item x="306"/>
        <item x="295"/>
        <item x="297"/>
        <item x="308"/>
        <item x="299"/>
        <item x="301"/>
        <item x="302"/>
        <item x="305"/>
        <item x="307"/>
        <item x="22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s>
  <rowItems count="1">
    <i/>
  </rowItems>
  <colItems count="1">
    <i/>
  </colItems>
  <pageFields count="2">
    <pageField fld="1" hier="-1"/>
    <pageField fld="16" hier="-1"/>
  </pageFields>
  <dataFields count="1">
    <dataField name="Sum of Pan, tobacco and intoxicants" fld="1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6"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Z10:AF18" firstHeaderRow="0" firstDataRow="1" firstDataCol="1" rowPageCount="7" colPageCount="1"/>
  <pivotFields count="30">
    <pivotField axis="axisPage" showAll="0">
      <items count="4">
        <item x="0"/>
        <item x="2"/>
        <item x="1"/>
        <item t="default"/>
      </items>
    </pivotField>
    <pivotField axis="axisRow" multipleItemSelectionAllowed="1" showAll="0">
      <items count="12">
        <item h="1" x="0"/>
        <item h="1" x="1"/>
        <item h="1" x="2"/>
        <item h="1" x="3"/>
        <item x="4"/>
        <item x="5"/>
        <item x="6"/>
        <item x="7"/>
        <item x="8"/>
        <item x="9"/>
        <item x="10"/>
        <item t="default"/>
      </items>
    </pivotField>
    <pivotField showAll="0"/>
    <pivotField showAll="0">
      <items count="254">
        <item x="0"/>
        <item x="2"/>
        <item x="3"/>
        <item x="6"/>
        <item x="5"/>
        <item x="1"/>
        <item x="11"/>
        <item x="8"/>
        <item x="10"/>
        <item x="13"/>
        <item x="4"/>
        <item x="16"/>
        <item x="15"/>
        <item x="7"/>
        <item x="19"/>
        <item x="9"/>
        <item x="18"/>
        <item x="12"/>
        <item x="21"/>
        <item x="24"/>
        <item x="23"/>
        <item x="14"/>
        <item x="26"/>
        <item x="27"/>
        <item x="17"/>
        <item x="29"/>
        <item x="20"/>
        <item x="30"/>
        <item x="22"/>
        <item x="25"/>
        <item x="32"/>
        <item x="35"/>
        <item x="34"/>
        <item x="28"/>
        <item x="38"/>
        <item x="37"/>
        <item x="43"/>
        <item x="31"/>
        <item x="40"/>
        <item x="42"/>
        <item x="45"/>
        <item x="33"/>
        <item x="47"/>
        <item x="48"/>
        <item x="51"/>
        <item x="36"/>
        <item x="39"/>
        <item x="53"/>
        <item x="50"/>
        <item x="41"/>
        <item x="56"/>
        <item x="44"/>
        <item x="55"/>
        <item x="46"/>
        <item x="58"/>
        <item x="60"/>
        <item x="62"/>
        <item x="65"/>
        <item x="66"/>
        <item x="64"/>
        <item x="49"/>
        <item x="68"/>
        <item x="61"/>
        <item x="67"/>
        <item x="54"/>
        <item x="63"/>
        <item x="59"/>
        <item x="57"/>
        <item x="69"/>
        <item x="52"/>
        <item x="83"/>
        <item x="72"/>
        <item x="70"/>
        <item x="74"/>
        <item x="71"/>
        <item x="76"/>
        <item x="87"/>
        <item x="73"/>
        <item x="75"/>
        <item x="79"/>
        <item x="81"/>
        <item x="84"/>
        <item x="77"/>
        <item x="78"/>
        <item x="80"/>
        <item x="82"/>
        <item x="85"/>
        <item x="88"/>
        <item x="93"/>
        <item x="90"/>
        <item x="86"/>
        <item x="96"/>
        <item x="89"/>
        <item x="94"/>
        <item x="91"/>
        <item x="99"/>
        <item x="97"/>
        <item x="92"/>
        <item x="95"/>
        <item x="100"/>
        <item x="102"/>
        <item x="98"/>
        <item x="105"/>
        <item x="103"/>
        <item x="101"/>
        <item x="109"/>
        <item x="106"/>
        <item x="112"/>
        <item x="111"/>
        <item x="104"/>
        <item x="110"/>
        <item x="107"/>
        <item x="113"/>
        <item x="108"/>
        <item x="120"/>
        <item x="114"/>
        <item x="116"/>
        <item x="125"/>
        <item x="128"/>
        <item x="118"/>
        <item x="115"/>
        <item x="131"/>
        <item x="117"/>
        <item x="121"/>
        <item x="138"/>
        <item x="123"/>
        <item x="126"/>
        <item x="119"/>
        <item x="129"/>
        <item x="132"/>
        <item x="122"/>
        <item x="124"/>
        <item x="141"/>
        <item x="127"/>
        <item x="130"/>
        <item x="136"/>
        <item x="144"/>
        <item x="133"/>
        <item x="134"/>
        <item x="139"/>
        <item x="135"/>
        <item x="150"/>
        <item x="147"/>
        <item x="142"/>
        <item x="137"/>
        <item x="148"/>
        <item x="145"/>
        <item x="153"/>
        <item x="140"/>
        <item x="146"/>
        <item x="143"/>
        <item x="149"/>
        <item x="156"/>
        <item x="151"/>
        <item x="152"/>
        <item x="158"/>
        <item x="159"/>
        <item x="154"/>
        <item x="161"/>
        <item x="155"/>
        <item x="163"/>
        <item x="157"/>
        <item x="164"/>
        <item x="196"/>
        <item x="160"/>
        <item x="166"/>
        <item x="162"/>
        <item x="169"/>
        <item x="168"/>
        <item x="172"/>
        <item x="194"/>
        <item x="171"/>
        <item x="165"/>
        <item x="174"/>
        <item x="191"/>
        <item x="167"/>
        <item x="188"/>
        <item x="206"/>
        <item x="170"/>
        <item x="199"/>
        <item x="203"/>
        <item x="173"/>
        <item x="205"/>
        <item x="201"/>
        <item x="193"/>
        <item x="185"/>
        <item x="175"/>
        <item x="208"/>
        <item x="190"/>
        <item x="182"/>
        <item x="197"/>
        <item x="179"/>
        <item x="210"/>
        <item x="187"/>
        <item x="177"/>
        <item x="198"/>
        <item x="184"/>
        <item x="195"/>
        <item x="202"/>
        <item x="200"/>
        <item x="204"/>
        <item x="212"/>
        <item x="181"/>
        <item x="192"/>
        <item x="214"/>
        <item x="207"/>
        <item x="215"/>
        <item x="189"/>
        <item x="209"/>
        <item x="217"/>
        <item x="186"/>
        <item x="183"/>
        <item x="176"/>
        <item x="211"/>
        <item x="213"/>
        <item x="180"/>
        <item x="219"/>
        <item x="216"/>
        <item x="222"/>
        <item x="221"/>
        <item x="224"/>
        <item x="225"/>
        <item x="218"/>
        <item x="227"/>
        <item x="220"/>
        <item x="223"/>
        <item x="226"/>
        <item x="228"/>
        <item x="230"/>
        <item x="229"/>
        <item x="231"/>
        <item x="233"/>
        <item x="234"/>
        <item x="232"/>
        <item x="236"/>
        <item x="235"/>
        <item x="237"/>
        <item x="239"/>
        <item x="238"/>
        <item x="240"/>
        <item x="242"/>
        <item x="241"/>
        <item x="251"/>
        <item x="244"/>
        <item x="252"/>
        <item x="245"/>
        <item x="243"/>
        <item x="246"/>
        <item x="249"/>
        <item x="248"/>
        <item x="247"/>
        <item x="250"/>
        <item x="178"/>
        <item t="default"/>
      </items>
    </pivotField>
    <pivotField showAll="0">
      <items count="292">
        <item x="0"/>
        <item x="2"/>
        <item x="3"/>
        <item x="6"/>
        <item x="1"/>
        <item x="9"/>
        <item x="8"/>
        <item x="12"/>
        <item x="5"/>
        <item x="11"/>
        <item x="14"/>
        <item x="7"/>
        <item x="15"/>
        <item x="4"/>
        <item x="10"/>
        <item x="13"/>
        <item x="17"/>
        <item x="20"/>
        <item x="23"/>
        <item x="28"/>
        <item x="27"/>
        <item x="19"/>
        <item x="29"/>
        <item x="25"/>
        <item x="30"/>
        <item x="22"/>
        <item x="33"/>
        <item x="26"/>
        <item x="32"/>
        <item x="36"/>
        <item x="24"/>
        <item x="18"/>
        <item x="35"/>
        <item x="38"/>
        <item x="16"/>
        <item x="39"/>
        <item x="21"/>
        <item x="34"/>
        <item x="41"/>
        <item x="37"/>
        <item x="31"/>
        <item x="50"/>
        <item x="44"/>
        <item x="55"/>
        <item x="47"/>
        <item x="43"/>
        <item x="59"/>
        <item x="52"/>
        <item x="57"/>
        <item x="54"/>
        <item x="46"/>
        <item x="40"/>
        <item x="49"/>
        <item x="58"/>
        <item x="62"/>
        <item x="51"/>
        <item x="60"/>
        <item x="56"/>
        <item x="42"/>
        <item x="53"/>
        <item x="45"/>
        <item x="61"/>
        <item x="63"/>
        <item x="65"/>
        <item x="48"/>
        <item x="67"/>
        <item x="64"/>
        <item x="79"/>
        <item x="78"/>
        <item x="66"/>
        <item x="80"/>
        <item x="82"/>
        <item x="68"/>
        <item x="81"/>
        <item x="77"/>
        <item x="74"/>
        <item x="76"/>
        <item x="71"/>
        <item x="75"/>
        <item x="70"/>
        <item x="73"/>
        <item x="83"/>
        <item x="86"/>
        <item x="85"/>
        <item x="88"/>
        <item x="72"/>
        <item x="69"/>
        <item x="87"/>
        <item x="90"/>
        <item x="84"/>
        <item x="89"/>
        <item x="92"/>
        <item x="113"/>
        <item x="110"/>
        <item x="93"/>
        <item x="107"/>
        <item x="105"/>
        <item x="112"/>
        <item x="109"/>
        <item x="106"/>
        <item x="104"/>
        <item x="115"/>
        <item x="108"/>
        <item x="111"/>
        <item x="96"/>
        <item x="119"/>
        <item x="102"/>
        <item x="114"/>
        <item x="118"/>
        <item x="95"/>
        <item x="91"/>
        <item x="117"/>
        <item x="99"/>
        <item x="116"/>
        <item x="103"/>
        <item x="98"/>
        <item x="120"/>
        <item x="101"/>
        <item x="122"/>
        <item x="133"/>
        <item x="130"/>
        <item x="94"/>
        <item x="135"/>
        <item x="132"/>
        <item x="136"/>
        <item x="137"/>
        <item x="134"/>
        <item x="131"/>
        <item x="128"/>
        <item x="138"/>
        <item x="129"/>
        <item x="140"/>
        <item x="142"/>
        <item x="123"/>
        <item x="141"/>
        <item x="97"/>
        <item x="121"/>
        <item x="100"/>
        <item x="144"/>
        <item x="139"/>
        <item x="143"/>
        <item x="158"/>
        <item x="125"/>
        <item x="127"/>
        <item x="156"/>
        <item x="161"/>
        <item x="153"/>
        <item x="146"/>
        <item x="155"/>
        <item x="157"/>
        <item x="164"/>
        <item x="154"/>
        <item x="147"/>
        <item x="145"/>
        <item x="126"/>
        <item x="150"/>
        <item x="124"/>
        <item x="152"/>
        <item x="151"/>
        <item x="162"/>
        <item x="149"/>
        <item x="167"/>
        <item x="159"/>
        <item x="148"/>
        <item x="170"/>
        <item x="165"/>
        <item x="160"/>
        <item x="173"/>
        <item x="168"/>
        <item x="163"/>
        <item x="171"/>
        <item x="166"/>
        <item x="169"/>
        <item x="172"/>
        <item x="175"/>
        <item x="184"/>
        <item x="176"/>
        <item x="186"/>
        <item x="174"/>
        <item x="178"/>
        <item x="189"/>
        <item x="181"/>
        <item x="185"/>
        <item x="187"/>
        <item x="190"/>
        <item x="188"/>
        <item x="183"/>
        <item x="179"/>
        <item x="192"/>
        <item x="182"/>
        <item x="193"/>
        <item x="177"/>
        <item x="191"/>
        <item x="180"/>
        <item x="195"/>
        <item x="196"/>
        <item x="194"/>
        <item x="201"/>
        <item x="202"/>
        <item x="197"/>
        <item x="199"/>
        <item x="200"/>
        <item x="198"/>
        <item x="210"/>
        <item x="224"/>
        <item x="213"/>
        <item x="226"/>
        <item x="212"/>
        <item x="207"/>
        <item x="221"/>
        <item x="219"/>
        <item x="216"/>
        <item x="215"/>
        <item x="227"/>
        <item x="223"/>
        <item x="204"/>
        <item x="209"/>
        <item x="218"/>
        <item x="225"/>
        <item x="229"/>
        <item x="206"/>
        <item x="211"/>
        <item x="214"/>
        <item x="222"/>
        <item x="217"/>
        <item x="220"/>
        <item x="252"/>
        <item x="205"/>
        <item x="228"/>
        <item x="208"/>
        <item x="231"/>
        <item x="254"/>
        <item x="232"/>
        <item x="253"/>
        <item x="251"/>
        <item x="247"/>
        <item x="235"/>
        <item x="234"/>
        <item x="256"/>
        <item x="249"/>
        <item x="237"/>
        <item x="244"/>
        <item x="250"/>
        <item x="241"/>
        <item x="230"/>
        <item x="243"/>
        <item x="271"/>
        <item x="233"/>
        <item x="238"/>
        <item x="246"/>
        <item x="248"/>
        <item x="255"/>
        <item x="236"/>
        <item x="272"/>
        <item x="273"/>
        <item x="240"/>
        <item x="281"/>
        <item x="278"/>
        <item x="242"/>
        <item x="287"/>
        <item x="257"/>
        <item x="284"/>
        <item x="245"/>
        <item x="276"/>
        <item x="283"/>
        <item x="275"/>
        <item x="288"/>
        <item x="280"/>
        <item x="260"/>
        <item x="259"/>
        <item x="268"/>
        <item x="239"/>
        <item x="289"/>
        <item x="261"/>
        <item x="286"/>
        <item x="282"/>
        <item x="270"/>
        <item x="279"/>
        <item x="274"/>
        <item x="290"/>
        <item x="262"/>
        <item x="277"/>
        <item x="285"/>
        <item x="258"/>
        <item x="264"/>
        <item x="269"/>
        <item x="265"/>
        <item x="267"/>
        <item x="263"/>
        <item x="266"/>
        <item x="203"/>
        <item t="default"/>
      </items>
    </pivotField>
    <pivotField showAll="0">
      <items count="284">
        <item x="13"/>
        <item x="14"/>
        <item x="12"/>
        <item x="10"/>
        <item x="11"/>
        <item x="9"/>
        <item x="0"/>
        <item x="16"/>
        <item x="6"/>
        <item x="2"/>
        <item x="3"/>
        <item x="17"/>
        <item x="20"/>
        <item x="8"/>
        <item x="69"/>
        <item x="22"/>
        <item x="19"/>
        <item x="23"/>
        <item x="15"/>
        <item x="24"/>
        <item x="21"/>
        <item x="5"/>
        <item x="1"/>
        <item x="7"/>
        <item x="26"/>
        <item x="65"/>
        <item x="18"/>
        <item x="43"/>
        <item x="68"/>
        <item x="25"/>
        <item x="70"/>
        <item x="46"/>
        <item x="76"/>
        <item x="47"/>
        <item x="44"/>
        <item x="45"/>
        <item x="27"/>
        <item x="53"/>
        <item x="51"/>
        <item x="66"/>
        <item x="4"/>
        <item x="67"/>
        <item x="52"/>
        <item x="48"/>
        <item x="50"/>
        <item x="49"/>
        <item x="42"/>
        <item x="54"/>
        <item x="29"/>
        <item x="64"/>
        <item x="62"/>
        <item x="55"/>
        <item x="75"/>
        <item x="30"/>
        <item x="33"/>
        <item x="39"/>
        <item x="77"/>
        <item x="71"/>
        <item x="41"/>
        <item x="63"/>
        <item x="36"/>
        <item x="74"/>
        <item x="40"/>
        <item x="72"/>
        <item x="78"/>
        <item x="57"/>
        <item x="73"/>
        <item x="59"/>
        <item x="38"/>
        <item x="28"/>
        <item x="56"/>
        <item x="79"/>
        <item x="91"/>
        <item x="32"/>
        <item x="89"/>
        <item x="61"/>
        <item x="35"/>
        <item x="92"/>
        <item x="37"/>
        <item x="90"/>
        <item x="81"/>
        <item x="88"/>
        <item x="94"/>
        <item x="117"/>
        <item x="115"/>
        <item x="58"/>
        <item x="82"/>
        <item x="60"/>
        <item x="116"/>
        <item x="93"/>
        <item x="80"/>
        <item x="85"/>
        <item x="118"/>
        <item x="119"/>
        <item x="96"/>
        <item x="114"/>
        <item x="31"/>
        <item x="84"/>
        <item x="87"/>
        <item x="113"/>
        <item x="112"/>
        <item x="121"/>
        <item x="97"/>
        <item x="123"/>
        <item x="120"/>
        <item x="34"/>
        <item x="122"/>
        <item x="104"/>
        <item x="105"/>
        <item x="86"/>
        <item x="102"/>
        <item x="103"/>
        <item x="143"/>
        <item x="95"/>
        <item x="124"/>
        <item x="126"/>
        <item x="125"/>
        <item x="101"/>
        <item x="109"/>
        <item x="83"/>
        <item x="111"/>
        <item x="99"/>
        <item x="110"/>
        <item x="152"/>
        <item x="108"/>
        <item x="155"/>
        <item x="145"/>
        <item x="100"/>
        <item x="144"/>
        <item x="106"/>
        <item x="168"/>
        <item x="154"/>
        <item x="107"/>
        <item x="153"/>
        <item x="140"/>
        <item x="147"/>
        <item x="142"/>
        <item x="169"/>
        <item x="170"/>
        <item x="98"/>
        <item x="146"/>
        <item x="158"/>
        <item x="156"/>
        <item x="159"/>
        <item x="157"/>
        <item x="151"/>
        <item x="162"/>
        <item x="141"/>
        <item x="172"/>
        <item x="175"/>
        <item x="167"/>
        <item x="161"/>
        <item x="149"/>
        <item x="150"/>
        <item x="148"/>
        <item x="177"/>
        <item x="137"/>
        <item x="139"/>
        <item x="164"/>
        <item x="138"/>
        <item x="171"/>
        <item x="127"/>
        <item x="136"/>
        <item x="174"/>
        <item x="160"/>
        <item x="178"/>
        <item x="166"/>
        <item x="176"/>
        <item x="173"/>
        <item x="180"/>
        <item x="129"/>
        <item x="163"/>
        <item x="134"/>
        <item x="135"/>
        <item x="133"/>
        <item x="179"/>
        <item x="130"/>
        <item x="132"/>
        <item x="165"/>
        <item x="182"/>
        <item x="131"/>
        <item x="128"/>
        <item x="195"/>
        <item x="192"/>
        <item x="194"/>
        <item x="181"/>
        <item x="197"/>
        <item x="193"/>
        <item x="199"/>
        <item x="183"/>
        <item x="203"/>
        <item x="189"/>
        <item x="185"/>
        <item x="201"/>
        <item x="191"/>
        <item x="196"/>
        <item x="205"/>
        <item x="190"/>
        <item x="186"/>
        <item x="184"/>
        <item x="202"/>
        <item x="200"/>
        <item x="188"/>
        <item x="187"/>
        <item x="204"/>
        <item x="206"/>
        <item x="208"/>
        <item x="255"/>
        <item x="219"/>
        <item x="222"/>
        <item x="221"/>
        <item x="254"/>
        <item x="253"/>
        <item x="224"/>
        <item x="220"/>
        <item x="207"/>
        <item x="223"/>
        <item x="251"/>
        <item x="252"/>
        <item x="250"/>
        <item x="216"/>
        <item x="261"/>
        <item x="225"/>
        <item x="218"/>
        <item x="264"/>
        <item x="263"/>
        <item x="256"/>
        <item x="266"/>
        <item x="217"/>
        <item x="238"/>
        <item x="227"/>
        <item x="262"/>
        <item x="257"/>
        <item x="265"/>
        <item x="280"/>
        <item x="239"/>
        <item x="240"/>
        <item x="209"/>
        <item x="267"/>
        <item x="237"/>
        <item x="279"/>
        <item x="236"/>
        <item x="226"/>
        <item x="282"/>
        <item x="212"/>
        <item x="211"/>
        <item x="277"/>
        <item x="235"/>
        <item x="258"/>
        <item x="260"/>
        <item x="214"/>
        <item x="241"/>
        <item x="247"/>
        <item x="249"/>
        <item x="248"/>
        <item x="234"/>
        <item x="259"/>
        <item x="281"/>
        <item x="210"/>
        <item x="278"/>
        <item x="243"/>
        <item x="244"/>
        <item x="213"/>
        <item x="215"/>
        <item x="246"/>
        <item x="228"/>
        <item x="242"/>
        <item x="245"/>
        <item x="268"/>
        <item x="231"/>
        <item x="230"/>
        <item x="270"/>
        <item x="233"/>
        <item x="229"/>
        <item x="269"/>
        <item x="232"/>
        <item x="271"/>
        <item x="273"/>
        <item x="272"/>
        <item x="274"/>
        <item x="276"/>
        <item x="275"/>
        <item x="198"/>
        <item t="default"/>
      </items>
    </pivotField>
    <pivotField showAll="0">
      <items count="270">
        <item x="1"/>
        <item x="4"/>
        <item x="6"/>
        <item x="2"/>
        <item x="9"/>
        <item x="0"/>
        <item x="7"/>
        <item x="3"/>
        <item x="12"/>
        <item x="5"/>
        <item x="10"/>
        <item x="8"/>
        <item x="13"/>
        <item x="15"/>
        <item x="11"/>
        <item x="16"/>
        <item x="14"/>
        <item x="18"/>
        <item x="17"/>
        <item x="20"/>
        <item x="19"/>
        <item x="24"/>
        <item x="22"/>
        <item x="21"/>
        <item x="25"/>
        <item x="23"/>
        <item x="27"/>
        <item x="28"/>
        <item x="26"/>
        <item x="30"/>
        <item x="32"/>
        <item x="29"/>
        <item x="33"/>
        <item x="31"/>
        <item x="34"/>
        <item x="36"/>
        <item x="35"/>
        <item x="37"/>
        <item x="38"/>
        <item x="39"/>
        <item x="40"/>
        <item x="42"/>
        <item x="41"/>
        <item x="43"/>
        <item x="45"/>
        <item x="44"/>
        <item x="46"/>
        <item x="48"/>
        <item x="47"/>
        <item x="49"/>
        <item x="51"/>
        <item x="50"/>
        <item x="52"/>
        <item x="54"/>
        <item x="53"/>
        <item x="55"/>
        <item x="57"/>
        <item x="59"/>
        <item x="56"/>
        <item x="58"/>
        <item x="61"/>
        <item x="60"/>
        <item x="63"/>
        <item x="64"/>
        <item x="62"/>
        <item x="66"/>
        <item x="65"/>
        <item x="68"/>
        <item x="69"/>
        <item x="67"/>
        <item x="71"/>
        <item x="70"/>
        <item x="76"/>
        <item x="73"/>
        <item x="74"/>
        <item x="77"/>
        <item x="83"/>
        <item x="72"/>
        <item x="75"/>
        <item x="79"/>
        <item x="81"/>
        <item x="78"/>
        <item x="80"/>
        <item x="82"/>
        <item x="88"/>
        <item x="90"/>
        <item x="84"/>
        <item x="86"/>
        <item x="91"/>
        <item x="85"/>
        <item x="95"/>
        <item x="89"/>
        <item x="87"/>
        <item x="93"/>
        <item x="98"/>
        <item x="92"/>
        <item x="96"/>
        <item x="101"/>
        <item x="104"/>
        <item x="94"/>
        <item x="99"/>
        <item x="109"/>
        <item x="112"/>
        <item x="115"/>
        <item x="102"/>
        <item x="97"/>
        <item x="105"/>
        <item x="107"/>
        <item x="100"/>
        <item x="110"/>
        <item x="121"/>
        <item x="113"/>
        <item x="116"/>
        <item x="103"/>
        <item x="118"/>
        <item x="106"/>
        <item x="120"/>
        <item x="108"/>
        <item x="111"/>
        <item x="114"/>
        <item x="117"/>
        <item x="124"/>
        <item x="119"/>
        <item x="126"/>
        <item x="122"/>
        <item x="127"/>
        <item x="123"/>
        <item x="131"/>
        <item x="129"/>
        <item x="125"/>
        <item x="133"/>
        <item x="128"/>
        <item x="136"/>
        <item x="130"/>
        <item x="138"/>
        <item x="134"/>
        <item x="144"/>
        <item x="132"/>
        <item x="148"/>
        <item x="137"/>
        <item x="151"/>
        <item x="139"/>
        <item x="145"/>
        <item x="141"/>
        <item x="143"/>
        <item x="146"/>
        <item x="135"/>
        <item x="149"/>
        <item x="161"/>
        <item x="160"/>
        <item x="140"/>
        <item x="142"/>
        <item x="152"/>
        <item x="162"/>
        <item x="154"/>
        <item x="147"/>
        <item x="156"/>
        <item x="158"/>
        <item x="150"/>
        <item x="153"/>
        <item x="163"/>
        <item x="155"/>
        <item x="157"/>
        <item x="159"/>
        <item x="164"/>
        <item x="166"/>
        <item x="165"/>
        <item x="167"/>
        <item x="169"/>
        <item x="168"/>
        <item x="171"/>
        <item x="173"/>
        <item x="170"/>
        <item x="176"/>
        <item x="174"/>
        <item x="172"/>
        <item x="177"/>
        <item x="175"/>
        <item x="179"/>
        <item x="180"/>
        <item x="178"/>
        <item x="182"/>
        <item x="183"/>
        <item x="181"/>
        <item x="185"/>
        <item x="186"/>
        <item x="184"/>
        <item x="188"/>
        <item x="189"/>
        <item x="187"/>
        <item x="193"/>
        <item x="194"/>
        <item x="196"/>
        <item x="197"/>
        <item x="198"/>
        <item x="195"/>
        <item x="199"/>
        <item x="201"/>
        <item x="200"/>
        <item x="202"/>
        <item x="205"/>
        <item x="204"/>
        <item x="206"/>
        <item x="207"/>
        <item x="203"/>
        <item x="209"/>
        <item x="191"/>
        <item x="190"/>
        <item x="210"/>
        <item x="208"/>
        <item x="212"/>
        <item x="213"/>
        <item x="211"/>
        <item x="214"/>
        <item x="216"/>
        <item x="219"/>
        <item x="215"/>
        <item x="218"/>
        <item x="221"/>
        <item x="220"/>
        <item x="217"/>
        <item x="223"/>
        <item x="222"/>
        <item x="224"/>
        <item x="226"/>
        <item x="225"/>
        <item x="228"/>
        <item x="227"/>
        <item x="230"/>
        <item x="229"/>
        <item x="231"/>
        <item x="233"/>
        <item x="232"/>
        <item x="234"/>
        <item x="236"/>
        <item x="235"/>
        <item x="237"/>
        <item x="239"/>
        <item x="238"/>
        <item x="241"/>
        <item x="242"/>
        <item x="240"/>
        <item x="244"/>
        <item x="243"/>
        <item x="245"/>
        <item x="247"/>
        <item x="246"/>
        <item x="248"/>
        <item x="250"/>
        <item x="249"/>
        <item x="251"/>
        <item x="252"/>
        <item x="253"/>
        <item x="254"/>
        <item x="256"/>
        <item x="255"/>
        <item x="257"/>
        <item x="259"/>
        <item x="258"/>
        <item x="260"/>
        <item x="262"/>
        <item x="261"/>
        <item x="263"/>
        <item x="265"/>
        <item x="264"/>
        <item x="267"/>
        <item x="268"/>
        <item x="266"/>
        <item x="192"/>
        <item t="default"/>
      </items>
    </pivotField>
    <pivotField showAll="0">
      <items count="258">
        <item x="18"/>
        <item x="16"/>
        <item x="13"/>
        <item x="23"/>
        <item x="10"/>
        <item x="25"/>
        <item x="33"/>
        <item x="7"/>
        <item x="36"/>
        <item x="32"/>
        <item x="50"/>
        <item x="39"/>
        <item x="27"/>
        <item x="1"/>
        <item x="4"/>
        <item x="46"/>
        <item x="14"/>
        <item x="17"/>
        <item x="19"/>
        <item x="11"/>
        <item x="21"/>
        <item x="57"/>
        <item x="8"/>
        <item x="2"/>
        <item x="61"/>
        <item x="12"/>
        <item x="5"/>
        <item x="9"/>
        <item x="15"/>
        <item x="64"/>
        <item x="0"/>
        <item x="6"/>
        <item x="67"/>
        <item x="20"/>
        <item x="34"/>
        <item x="3"/>
        <item x="28"/>
        <item x="37"/>
        <item x="72"/>
        <item x="30"/>
        <item x="22"/>
        <item x="51"/>
        <item x="24"/>
        <item x="42"/>
        <item x="44"/>
        <item x="47"/>
        <item x="83"/>
        <item x="53"/>
        <item x="26"/>
        <item x="31"/>
        <item x="55"/>
        <item x="58"/>
        <item x="35"/>
        <item x="29"/>
        <item x="87"/>
        <item x="38"/>
        <item x="62"/>
        <item x="76"/>
        <item x="40"/>
        <item x="49"/>
        <item x="41"/>
        <item x="43"/>
        <item x="48"/>
        <item x="45"/>
        <item x="68"/>
        <item x="52"/>
        <item x="65"/>
        <item x="70"/>
        <item x="54"/>
        <item x="56"/>
        <item x="59"/>
        <item x="60"/>
        <item x="98"/>
        <item x="74"/>
        <item x="109"/>
        <item x="66"/>
        <item x="69"/>
        <item x="63"/>
        <item x="104"/>
        <item x="85"/>
        <item x="71"/>
        <item x="84"/>
        <item x="77"/>
        <item x="88"/>
        <item x="116"/>
        <item x="79"/>
        <item x="81"/>
        <item x="73"/>
        <item x="118"/>
        <item x="121"/>
        <item x="91"/>
        <item x="123"/>
        <item x="125"/>
        <item x="130"/>
        <item x="93"/>
        <item x="95"/>
        <item x="132"/>
        <item x="75"/>
        <item x="99"/>
        <item x="110"/>
        <item x="86"/>
        <item x="78"/>
        <item x="108"/>
        <item x="82"/>
        <item x="89"/>
        <item x="106"/>
        <item x="80"/>
        <item x="115"/>
        <item x="102"/>
        <item x="105"/>
        <item x="141"/>
        <item x="90"/>
        <item x="92"/>
        <item x="94"/>
        <item x="122"/>
        <item x="112"/>
        <item x="113"/>
        <item x="96"/>
        <item x="111"/>
        <item x="126"/>
        <item x="97"/>
        <item x="107"/>
        <item x="114"/>
        <item x="147"/>
        <item x="100"/>
        <item x="138"/>
        <item x="101"/>
        <item x="103"/>
        <item x="133"/>
        <item x="142"/>
        <item x="149"/>
        <item x="135"/>
        <item x="120"/>
        <item x="117"/>
        <item x="119"/>
        <item x="124"/>
        <item x="127"/>
        <item x="137"/>
        <item x="128"/>
        <item x="129"/>
        <item x="136"/>
        <item x="139"/>
        <item x="140"/>
        <item x="134"/>
        <item x="143"/>
        <item x="131"/>
        <item x="144"/>
        <item x="145"/>
        <item x="150"/>
        <item x="146"/>
        <item x="152"/>
        <item x="155"/>
        <item x="148"/>
        <item x="153"/>
        <item x="158"/>
        <item x="156"/>
        <item x="160"/>
        <item x="151"/>
        <item x="164"/>
        <item x="157"/>
        <item x="167"/>
        <item x="154"/>
        <item x="170"/>
        <item x="161"/>
        <item x="172"/>
        <item x="165"/>
        <item x="159"/>
        <item x="168"/>
        <item x="175"/>
        <item x="163"/>
        <item x="166"/>
        <item x="173"/>
        <item x="169"/>
        <item x="178"/>
        <item x="171"/>
        <item x="176"/>
        <item x="181"/>
        <item x="174"/>
        <item x="179"/>
        <item x="177"/>
        <item x="182"/>
        <item x="184"/>
        <item x="180"/>
        <item x="187"/>
        <item x="185"/>
        <item x="190"/>
        <item x="183"/>
        <item x="188"/>
        <item x="255"/>
        <item x="186"/>
        <item x="252"/>
        <item x="193"/>
        <item x="256"/>
        <item x="191"/>
        <item x="199"/>
        <item x="215"/>
        <item x="217"/>
        <item x="196"/>
        <item x="254"/>
        <item x="212"/>
        <item x="253"/>
        <item x="202"/>
        <item x="189"/>
        <item x="209"/>
        <item x="206"/>
        <item x="239"/>
        <item x="246"/>
        <item x="251"/>
        <item x="194"/>
        <item x="244"/>
        <item x="250"/>
        <item x="237"/>
        <item x="220"/>
        <item x="200"/>
        <item x="234"/>
        <item x="249"/>
        <item x="248"/>
        <item x="197"/>
        <item x="192"/>
        <item x="216"/>
        <item x="232"/>
        <item x="218"/>
        <item x="223"/>
        <item x="240"/>
        <item x="247"/>
        <item x="213"/>
        <item x="203"/>
        <item x="245"/>
        <item x="229"/>
        <item x="198"/>
        <item x="242"/>
        <item x="226"/>
        <item x="210"/>
        <item x="195"/>
        <item x="207"/>
        <item x="201"/>
        <item x="238"/>
        <item x="235"/>
        <item x="214"/>
        <item x="243"/>
        <item x="241"/>
        <item x="236"/>
        <item x="221"/>
        <item x="204"/>
        <item x="211"/>
        <item x="233"/>
        <item x="208"/>
        <item x="205"/>
        <item x="224"/>
        <item x="230"/>
        <item x="231"/>
        <item x="227"/>
        <item x="219"/>
        <item x="222"/>
        <item x="228"/>
        <item x="225"/>
        <item x="162"/>
        <item t="default"/>
      </items>
    </pivotField>
    <pivotField showAll="0">
      <items count="282">
        <item x="1"/>
        <item x="4"/>
        <item x="2"/>
        <item x="5"/>
        <item x="0"/>
        <item x="3"/>
        <item x="7"/>
        <item x="8"/>
        <item x="6"/>
        <item x="26"/>
        <item x="25"/>
        <item x="12"/>
        <item x="9"/>
        <item x="22"/>
        <item x="11"/>
        <item x="15"/>
        <item x="14"/>
        <item x="10"/>
        <item x="23"/>
        <item x="27"/>
        <item x="29"/>
        <item x="18"/>
        <item x="13"/>
        <item x="17"/>
        <item x="21"/>
        <item x="24"/>
        <item x="20"/>
        <item x="33"/>
        <item x="16"/>
        <item x="19"/>
        <item x="32"/>
        <item x="30"/>
        <item x="34"/>
        <item x="35"/>
        <item x="36"/>
        <item x="31"/>
        <item x="28"/>
        <item x="38"/>
        <item x="96"/>
        <item x="39"/>
        <item x="95"/>
        <item x="37"/>
        <item x="99"/>
        <item x="93"/>
        <item x="66"/>
        <item x="69"/>
        <item x="61"/>
        <item x="64"/>
        <item x="58"/>
        <item x="90"/>
        <item x="71"/>
        <item x="85"/>
        <item x="87"/>
        <item x="55"/>
        <item x="97"/>
        <item x="40"/>
        <item x="62"/>
        <item x="46"/>
        <item x="42"/>
        <item x="67"/>
        <item x="43"/>
        <item x="59"/>
        <item x="94"/>
        <item x="41"/>
        <item x="56"/>
        <item x="72"/>
        <item x="45"/>
        <item x="91"/>
        <item x="48"/>
        <item x="86"/>
        <item x="63"/>
        <item x="60"/>
        <item x="57"/>
        <item x="88"/>
        <item x="49"/>
        <item x="44"/>
        <item x="118"/>
        <item x="68"/>
        <item x="119"/>
        <item x="51"/>
        <item x="54"/>
        <item x="84"/>
        <item x="65"/>
        <item x="74"/>
        <item x="77"/>
        <item x="70"/>
        <item x="53"/>
        <item x="47"/>
        <item x="122"/>
        <item x="92"/>
        <item x="98"/>
        <item x="89"/>
        <item x="80"/>
        <item x="75"/>
        <item x="78"/>
        <item x="52"/>
        <item x="81"/>
        <item x="120"/>
        <item x="83"/>
        <item x="79"/>
        <item x="82"/>
        <item x="102"/>
        <item x="50"/>
        <item x="150"/>
        <item x="76"/>
        <item x="73"/>
        <item x="115"/>
        <item x="101"/>
        <item x="148"/>
        <item x="130"/>
        <item x="123"/>
        <item x="177"/>
        <item x="105"/>
        <item x="117"/>
        <item x="111"/>
        <item x="103"/>
        <item x="113"/>
        <item x="145"/>
        <item x="106"/>
        <item x="125"/>
        <item x="116"/>
        <item x="108"/>
        <item x="133"/>
        <item x="104"/>
        <item x="140"/>
        <item x="178"/>
        <item x="128"/>
        <item x="109"/>
        <item x="131"/>
        <item x="100"/>
        <item x="126"/>
        <item x="114"/>
        <item x="107"/>
        <item x="121"/>
        <item x="112"/>
        <item x="135"/>
        <item x="174"/>
        <item x="124"/>
        <item x="129"/>
        <item x="171"/>
        <item x="110"/>
        <item x="197"/>
        <item x="132"/>
        <item x="151"/>
        <item x="143"/>
        <item x="127"/>
        <item x="146"/>
        <item x="175"/>
        <item x="137"/>
        <item x="176"/>
        <item x="153"/>
        <item x="141"/>
        <item x="198"/>
        <item x="196"/>
        <item x="181"/>
        <item x="179"/>
        <item x="188"/>
        <item x="134"/>
        <item x="194"/>
        <item x="195"/>
        <item x="173"/>
        <item x="172"/>
        <item x="138"/>
        <item x="191"/>
        <item x="211"/>
        <item x="155"/>
        <item x="169"/>
        <item x="184"/>
        <item x="180"/>
        <item x="190"/>
        <item x="142"/>
        <item x="183"/>
        <item x="202"/>
        <item x="205"/>
        <item x="147"/>
        <item x="144"/>
        <item x="193"/>
        <item x="212"/>
        <item x="139"/>
        <item x="149"/>
        <item x="136"/>
        <item x="210"/>
        <item x="192"/>
        <item x="152"/>
        <item x="214"/>
        <item x="166"/>
        <item x="189"/>
        <item x="199"/>
        <item x="157"/>
        <item x="186"/>
        <item x="204"/>
        <item x="209"/>
        <item x="170"/>
        <item x="216"/>
        <item x="182"/>
        <item x="208"/>
        <item x="160"/>
        <item x="242"/>
        <item x="167"/>
        <item x="201"/>
        <item x="239"/>
        <item x="163"/>
        <item x="213"/>
        <item x="233"/>
        <item x="154"/>
        <item x="164"/>
        <item x="165"/>
        <item x="158"/>
        <item x="218"/>
        <item x="187"/>
        <item x="215"/>
        <item x="162"/>
        <item x="168"/>
        <item x="203"/>
        <item x="161"/>
        <item x="185"/>
        <item x="241"/>
        <item x="206"/>
        <item x="207"/>
        <item x="243"/>
        <item x="270"/>
        <item x="156"/>
        <item x="238"/>
        <item x="235"/>
        <item x="232"/>
        <item x="217"/>
        <item x="159"/>
        <item x="245"/>
        <item x="228"/>
        <item x="269"/>
        <item x="240"/>
        <item x="225"/>
        <item x="265"/>
        <item x="236"/>
        <item x="268"/>
        <item x="244"/>
        <item x="237"/>
        <item x="271"/>
        <item x="219"/>
        <item x="267"/>
        <item x="234"/>
        <item x="231"/>
        <item x="263"/>
        <item x="222"/>
        <item x="266"/>
        <item x="264"/>
        <item x="230"/>
        <item x="260"/>
        <item x="221"/>
        <item x="227"/>
        <item x="262"/>
        <item x="252"/>
        <item x="224"/>
        <item x="272"/>
        <item x="261"/>
        <item x="249"/>
        <item x="220"/>
        <item x="278"/>
        <item x="257"/>
        <item x="274"/>
        <item x="254"/>
        <item x="246"/>
        <item x="229"/>
        <item x="251"/>
        <item x="226"/>
        <item x="273"/>
        <item x="280"/>
        <item x="223"/>
        <item x="248"/>
        <item x="259"/>
        <item x="275"/>
        <item x="253"/>
        <item x="256"/>
        <item x="250"/>
        <item x="279"/>
        <item x="247"/>
        <item x="277"/>
        <item x="258"/>
        <item x="276"/>
        <item x="255"/>
        <item x="200"/>
        <item t="default"/>
      </items>
    </pivotField>
    <pivotField showAll="0">
      <items count="313">
        <item x="6"/>
        <item x="0"/>
        <item x="2"/>
        <item x="3"/>
        <item x="1"/>
        <item x="5"/>
        <item x="8"/>
        <item x="7"/>
        <item x="4"/>
        <item x="10"/>
        <item x="11"/>
        <item x="9"/>
        <item x="38"/>
        <item x="13"/>
        <item x="41"/>
        <item x="39"/>
        <item x="37"/>
        <item x="42"/>
        <item x="40"/>
        <item x="14"/>
        <item x="134"/>
        <item x="35"/>
        <item x="136"/>
        <item x="135"/>
        <item x="138"/>
        <item x="139"/>
        <item x="133"/>
        <item x="137"/>
        <item x="43"/>
        <item x="45"/>
        <item x="131"/>
        <item x="44"/>
        <item x="140"/>
        <item x="36"/>
        <item x="142"/>
        <item x="12"/>
        <item x="143"/>
        <item x="34"/>
        <item x="47"/>
        <item x="132"/>
        <item x="144"/>
        <item x="16"/>
        <item x="46"/>
        <item x="141"/>
        <item x="77"/>
        <item x="173"/>
        <item x="75"/>
        <item x="107"/>
        <item x="72"/>
        <item x="80"/>
        <item x="79"/>
        <item x="196"/>
        <item x="145"/>
        <item x="17"/>
        <item x="48"/>
        <item x="74"/>
        <item x="198"/>
        <item x="108"/>
        <item x="105"/>
        <item x="194"/>
        <item x="106"/>
        <item x="78"/>
        <item x="82"/>
        <item x="195"/>
        <item x="76"/>
        <item x="197"/>
        <item x="193"/>
        <item x="73"/>
        <item x="50"/>
        <item x="69"/>
        <item x="192"/>
        <item x="174"/>
        <item x="71"/>
        <item x="147"/>
        <item x="200"/>
        <item x="109"/>
        <item x="70"/>
        <item x="171"/>
        <item x="111"/>
        <item x="172"/>
        <item x="83"/>
        <item x="81"/>
        <item x="191"/>
        <item x="110"/>
        <item x="169"/>
        <item x="49"/>
        <item x="175"/>
        <item x="170"/>
        <item x="254"/>
        <item x="20"/>
        <item x="85"/>
        <item x="19"/>
        <item x="102"/>
        <item x="66"/>
        <item x="68"/>
        <item x="203"/>
        <item x="86"/>
        <item x="304"/>
        <item x="67"/>
        <item x="199"/>
        <item x="104"/>
        <item x="112"/>
        <item x="130"/>
        <item x="129"/>
        <item x="146"/>
        <item x="168"/>
        <item x="308"/>
        <item x="302"/>
        <item x="202"/>
        <item x="176"/>
        <item x="15"/>
        <item x="178"/>
        <item x="177"/>
        <item x="103"/>
        <item x="257"/>
        <item x="32"/>
        <item x="88"/>
        <item x="190"/>
        <item x="33"/>
        <item x="100"/>
        <item x="31"/>
        <item x="84"/>
        <item x="189"/>
        <item x="187"/>
        <item x="256"/>
        <item x="310"/>
        <item x="232"/>
        <item x="101"/>
        <item x="126"/>
        <item x="184"/>
        <item x="123"/>
        <item x="250"/>
        <item x="186"/>
        <item x="51"/>
        <item x="299"/>
        <item x="166"/>
        <item x="125"/>
        <item x="128"/>
        <item x="185"/>
        <item x="113"/>
        <item x="148"/>
        <item x="167"/>
        <item x="22"/>
        <item x="63"/>
        <item x="165"/>
        <item x="227"/>
        <item x="65"/>
        <item x="114"/>
        <item x="306"/>
        <item x="260"/>
        <item x="124"/>
        <item x="188"/>
        <item x="64"/>
        <item x="87"/>
        <item x="89"/>
        <item x="263"/>
        <item x="23"/>
        <item x="179"/>
        <item x="153"/>
        <item x="127"/>
        <item x="97"/>
        <item x="60"/>
        <item x="259"/>
        <item x="278"/>
        <item x="181"/>
        <item x="207"/>
        <item x="182"/>
        <item x="233"/>
        <item x="155"/>
        <item x="62"/>
        <item x="120"/>
        <item x="156"/>
        <item x="183"/>
        <item x="91"/>
        <item x="53"/>
        <item x="117"/>
        <item x="99"/>
        <item x="57"/>
        <item x="92"/>
        <item x="122"/>
        <item x="180"/>
        <item x="150"/>
        <item x="61"/>
        <item x="116"/>
        <item x="301"/>
        <item x="252"/>
        <item x="206"/>
        <item x="96"/>
        <item x="154"/>
        <item x="18"/>
        <item x="162"/>
        <item x="54"/>
        <item x="201"/>
        <item x="164"/>
        <item x="59"/>
        <item x="94"/>
        <item x="265"/>
        <item x="158"/>
        <item x="229"/>
        <item x="151"/>
        <item x="163"/>
        <item x="210"/>
        <item x="121"/>
        <item x="262"/>
        <item x="98"/>
        <item x="25"/>
        <item x="224"/>
        <item x="119"/>
        <item x="90"/>
        <item x="95"/>
        <item x="253"/>
        <item x="281"/>
        <item x="255"/>
        <item x="279"/>
        <item x="228"/>
        <item x="284"/>
        <item x="209"/>
        <item x="159"/>
        <item x="56"/>
        <item x="93"/>
        <item x="58"/>
        <item x="277"/>
        <item x="204"/>
        <item x="266"/>
        <item x="226"/>
        <item x="234"/>
        <item x="27"/>
        <item x="297"/>
        <item x="272"/>
        <item x="52"/>
        <item x="289"/>
        <item x="157"/>
        <item x="115"/>
        <item x="161"/>
        <item x="24"/>
        <item x="283"/>
        <item x="149"/>
        <item x="303"/>
        <item x="305"/>
        <item x="307"/>
        <item x="258"/>
        <item x="291"/>
        <item x="21"/>
        <item x="28"/>
        <item x="300"/>
        <item x="212"/>
        <item x="118"/>
        <item x="152"/>
        <item x="309"/>
        <item x="230"/>
        <item x="205"/>
        <item x="251"/>
        <item x="225"/>
        <item x="55"/>
        <item x="288"/>
        <item x="286"/>
        <item x="30"/>
        <item x="264"/>
        <item x="26"/>
        <item x="269"/>
        <item x="294"/>
        <item x="311"/>
        <item x="160"/>
        <item x="268"/>
        <item x="261"/>
        <item x="237"/>
        <item x="247"/>
        <item x="274"/>
        <item x="214"/>
        <item x="208"/>
        <item x="280"/>
        <item x="215"/>
        <item x="221"/>
        <item x="293"/>
        <item x="235"/>
        <item x="211"/>
        <item x="29"/>
        <item x="249"/>
        <item x="223"/>
        <item x="276"/>
        <item x="271"/>
        <item x="217"/>
        <item x="296"/>
        <item x="238"/>
        <item x="236"/>
        <item x="282"/>
        <item x="275"/>
        <item x="298"/>
        <item x="248"/>
        <item x="213"/>
        <item x="222"/>
        <item x="287"/>
        <item x="240"/>
        <item x="218"/>
        <item x="285"/>
        <item x="290"/>
        <item x="267"/>
        <item x="216"/>
        <item x="220"/>
        <item x="273"/>
        <item x="292"/>
        <item x="241"/>
        <item x="244"/>
        <item x="239"/>
        <item x="295"/>
        <item x="270"/>
        <item x="243"/>
        <item x="246"/>
        <item x="219"/>
        <item x="245"/>
        <item x="242"/>
        <item x="231"/>
        <item t="default"/>
      </items>
    </pivotField>
    <pivotField showAll="0">
      <items count="266">
        <item x="7"/>
        <item x="4"/>
        <item x="9"/>
        <item x="18"/>
        <item x="8"/>
        <item x="15"/>
        <item x="10"/>
        <item x="5"/>
        <item x="12"/>
        <item x="6"/>
        <item x="1"/>
        <item x="3"/>
        <item x="2"/>
        <item x="0"/>
        <item x="13"/>
        <item x="16"/>
        <item x="19"/>
        <item x="11"/>
        <item x="14"/>
        <item x="22"/>
        <item x="17"/>
        <item x="28"/>
        <item x="20"/>
        <item x="24"/>
        <item x="21"/>
        <item x="26"/>
        <item x="29"/>
        <item x="23"/>
        <item x="31"/>
        <item x="25"/>
        <item x="27"/>
        <item x="30"/>
        <item x="32"/>
        <item x="33"/>
        <item x="34"/>
        <item x="36"/>
        <item x="37"/>
        <item x="169"/>
        <item x="39"/>
        <item x="35"/>
        <item x="38"/>
        <item x="41"/>
        <item x="40"/>
        <item x="176"/>
        <item x="174"/>
        <item x="166"/>
        <item x="42"/>
        <item x="44"/>
        <item x="45"/>
        <item x="43"/>
        <item x="178"/>
        <item x="48"/>
        <item x="47"/>
        <item x="50"/>
        <item x="51"/>
        <item x="54"/>
        <item x="46"/>
        <item x="161"/>
        <item x="53"/>
        <item x="49"/>
        <item x="179"/>
        <item x="56"/>
        <item x="181"/>
        <item x="158"/>
        <item x="59"/>
        <item x="58"/>
        <item x="52"/>
        <item x="155"/>
        <item x="62"/>
        <item x="55"/>
        <item x="182"/>
        <item x="183"/>
        <item x="61"/>
        <item x="177"/>
        <item x="180"/>
        <item x="170"/>
        <item x="65"/>
        <item x="172"/>
        <item x="184"/>
        <item x="153"/>
        <item x="167"/>
        <item x="64"/>
        <item x="57"/>
        <item x="145"/>
        <item x="151"/>
        <item x="68"/>
        <item x="185"/>
        <item x="148"/>
        <item x="164"/>
        <item x="143"/>
        <item x="67"/>
        <item x="186"/>
        <item x="60"/>
        <item x="175"/>
        <item x="162"/>
        <item x="168"/>
        <item x="171"/>
        <item x="173"/>
        <item x="63"/>
        <item x="159"/>
        <item x="188"/>
        <item x="140"/>
        <item x="189"/>
        <item x="165"/>
        <item x="187"/>
        <item x="191"/>
        <item x="156"/>
        <item x="163"/>
        <item x="193"/>
        <item x="192"/>
        <item x="160"/>
        <item x="196"/>
        <item x="70"/>
        <item x="190"/>
        <item x="194"/>
        <item x="154"/>
        <item x="66"/>
        <item x="137"/>
        <item x="197"/>
        <item x="157"/>
        <item x="71"/>
        <item x="195"/>
        <item x="152"/>
        <item x="199"/>
        <item x="146"/>
        <item x="149"/>
        <item x="198"/>
        <item x="144"/>
        <item x="74"/>
        <item x="200"/>
        <item x="201"/>
        <item x="132"/>
        <item x="141"/>
        <item x="150"/>
        <item x="147"/>
        <item x="203"/>
        <item x="73"/>
        <item x="77"/>
        <item x="142"/>
        <item x="138"/>
        <item x="202"/>
        <item x="76"/>
        <item x="206"/>
        <item x="207"/>
        <item x="139"/>
        <item x="205"/>
        <item x="135"/>
        <item x="204"/>
        <item x="136"/>
        <item x="80"/>
        <item x="69"/>
        <item x="129"/>
        <item x="133"/>
        <item x="79"/>
        <item x="134"/>
        <item x="131"/>
        <item x="72"/>
        <item x="217"/>
        <item x="75"/>
        <item x="218"/>
        <item x="215"/>
        <item x="82"/>
        <item x="208"/>
        <item x="212"/>
        <item x="210"/>
        <item x="209"/>
        <item x="214"/>
        <item x="216"/>
        <item x="213"/>
        <item x="130"/>
        <item x="83"/>
        <item x="126"/>
        <item x="219"/>
        <item x="78"/>
        <item x="221"/>
        <item x="128"/>
        <item x="225"/>
        <item x="220"/>
        <item x="227"/>
        <item x="228"/>
        <item x="127"/>
        <item x="226"/>
        <item x="223"/>
        <item x="224"/>
        <item x="86"/>
        <item x="229"/>
        <item x="98"/>
        <item x="222"/>
        <item x="125"/>
        <item x="89"/>
        <item x="101"/>
        <item x="95"/>
        <item x="243"/>
        <item x="245"/>
        <item x="234"/>
        <item x="244"/>
        <item x="92"/>
        <item x="239"/>
        <item x="236"/>
        <item x="238"/>
        <item x="241"/>
        <item x="100"/>
        <item x="242"/>
        <item x="237"/>
        <item x="247"/>
        <item x="235"/>
        <item x="246"/>
        <item x="230"/>
        <item x="240"/>
        <item x="85"/>
        <item x="81"/>
        <item x="232"/>
        <item x="231"/>
        <item x="104"/>
        <item x="233"/>
        <item x="248"/>
        <item x="250"/>
        <item x="249"/>
        <item x="97"/>
        <item x="103"/>
        <item x="123"/>
        <item x="124"/>
        <item x="251"/>
        <item x="252"/>
        <item x="107"/>
        <item x="253"/>
        <item x="255"/>
        <item x="254"/>
        <item x="121"/>
        <item x="118"/>
        <item x="99"/>
        <item x="116"/>
        <item x="257"/>
        <item x="94"/>
        <item x="259"/>
        <item x="260"/>
        <item x="256"/>
        <item x="261"/>
        <item x="88"/>
        <item x="258"/>
        <item x="91"/>
        <item x="106"/>
        <item x="110"/>
        <item x="120"/>
        <item x="113"/>
        <item x="262"/>
        <item x="264"/>
        <item x="117"/>
        <item x="109"/>
        <item x="263"/>
        <item x="122"/>
        <item x="115"/>
        <item x="119"/>
        <item x="96"/>
        <item x="102"/>
        <item x="112"/>
        <item x="114"/>
        <item x="105"/>
        <item x="93"/>
        <item x="108"/>
        <item x="84"/>
        <item x="111"/>
        <item x="90"/>
        <item x="87"/>
        <item x="211"/>
        <item t="default"/>
      </items>
    </pivotField>
    <pivotField showAll="0">
      <items count="206">
        <item x="66"/>
        <item x="63"/>
        <item x="69"/>
        <item x="72"/>
        <item x="61"/>
        <item x="70"/>
        <item x="67"/>
        <item x="59"/>
        <item x="64"/>
        <item x="56"/>
        <item x="73"/>
        <item x="68"/>
        <item x="76"/>
        <item x="65"/>
        <item x="54"/>
        <item x="75"/>
        <item x="71"/>
        <item x="62"/>
        <item x="74"/>
        <item x="51"/>
        <item x="60"/>
        <item x="33"/>
        <item x="57"/>
        <item x="48"/>
        <item x="36"/>
        <item x="78"/>
        <item x="31"/>
        <item x="55"/>
        <item x="79"/>
        <item x="58"/>
        <item x="77"/>
        <item x="45"/>
        <item x="52"/>
        <item x="28"/>
        <item x="80"/>
        <item x="82"/>
        <item x="53"/>
        <item x="49"/>
        <item x="81"/>
        <item x="34"/>
        <item x="25"/>
        <item x="37"/>
        <item x="43"/>
        <item x="50"/>
        <item x="22"/>
        <item x="38"/>
        <item x="83"/>
        <item x="47"/>
        <item x="46"/>
        <item x="20"/>
        <item x="84"/>
        <item x="19"/>
        <item x="32"/>
        <item x="35"/>
        <item x="17"/>
        <item x="14"/>
        <item x="29"/>
        <item x="30"/>
        <item x="11"/>
        <item x="8"/>
        <item x="44"/>
        <item x="26"/>
        <item x="6"/>
        <item x="23"/>
        <item x="39"/>
        <item x="27"/>
        <item x="12"/>
        <item x="15"/>
        <item x="18"/>
        <item x="9"/>
        <item x="24"/>
        <item x="10"/>
        <item x="4"/>
        <item x="21"/>
        <item x="42"/>
        <item x="13"/>
        <item x="7"/>
        <item x="16"/>
        <item x="41"/>
        <item x="40"/>
        <item x="5"/>
        <item x="1"/>
        <item x="147"/>
        <item x="3"/>
        <item x="2"/>
        <item x="86"/>
        <item x="0"/>
        <item x="87"/>
        <item x="161"/>
        <item x="150"/>
        <item x="89"/>
        <item x="90"/>
        <item x="162"/>
        <item x="85"/>
        <item x="163"/>
        <item x="148"/>
        <item x="92"/>
        <item x="93"/>
        <item x="160"/>
        <item x="144"/>
        <item x="165"/>
        <item x="159"/>
        <item x="88"/>
        <item x="164"/>
        <item x="95"/>
        <item x="157"/>
        <item x="166"/>
        <item x="146"/>
        <item x="156"/>
        <item x="91"/>
        <item x="96"/>
        <item x="183"/>
        <item x="154"/>
        <item x="149"/>
        <item x="158"/>
        <item x="172"/>
        <item x="167"/>
        <item x="155"/>
        <item x="98"/>
        <item x="99"/>
        <item x="169"/>
        <item x="94"/>
        <item x="102"/>
        <item x="152"/>
        <item x="170"/>
        <item x="145"/>
        <item x="101"/>
        <item x="185"/>
        <item x="168"/>
        <item x="104"/>
        <item x="141"/>
        <item x="151"/>
        <item x="107"/>
        <item x="186"/>
        <item x="97"/>
        <item x="153"/>
        <item x="108"/>
        <item x="180"/>
        <item x="171"/>
        <item x="100"/>
        <item x="143"/>
        <item x="178"/>
        <item x="103"/>
        <item x="106"/>
        <item x="105"/>
        <item x="182"/>
        <item x="184"/>
        <item x="142"/>
        <item x="110"/>
        <item x="175"/>
        <item x="177"/>
        <item x="176"/>
        <item x="112"/>
        <item x="140"/>
        <item x="181"/>
        <item x="109"/>
        <item x="115"/>
        <item x="139"/>
        <item x="114"/>
        <item x="179"/>
        <item x="194"/>
        <item x="117"/>
        <item x="118"/>
        <item x="138"/>
        <item x="121"/>
        <item x="195"/>
        <item x="196"/>
        <item x="198"/>
        <item x="189"/>
        <item x="120"/>
        <item x="111"/>
        <item x="123"/>
        <item x="188"/>
        <item x="173"/>
        <item x="197"/>
        <item x="124"/>
        <item x="199"/>
        <item x="113"/>
        <item x="187"/>
        <item x="126"/>
        <item x="192"/>
        <item x="137"/>
        <item x="116"/>
        <item x="122"/>
        <item x="119"/>
        <item x="201"/>
        <item x="128"/>
        <item x="193"/>
        <item x="130"/>
        <item x="125"/>
        <item x="190"/>
        <item x="132"/>
        <item x="136"/>
        <item x="127"/>
        <item x="200"/>
        <item x="129"/>
        <item x="133"/>
        <item x="131"/>
        <item x="203"/>
        <item x="135"/>
        <item x="191"/>
        <item x="202"/>
        <item x="134"/>
        <item x="204"/>
        <item x="174"/>
        <item t="default"/>
      </items>
    </pivotField>
    <pivotField showAll="0">
      <items count="283">
        <item x="1"/>
        <item x="3"/>
        <item x="6"/>
        <item x="2"/>
        <item x="4"/>
        <item x="7"/>
        <item x="0"/>
        <item x="8"/>
        <item x="5"/>
        <item x="9"/>
        <item x="10"/>
        <item x="12"/>
        <item x="11"/>
        <item x="13"/>
        <item x="15"/>
        <item x="14"/>
        <item x="17"/>
        <item x="18"/>
        <item x="20"/>
        <item x="16"/>
        <item x="21"/>
        <item x="24"/>
        <item x="23"/>
        <item x="19"/>
        <item x="26"/>
        <item x="27"/>
        <item x="22"/>
        <item x="29"/>
        <item x="25"/>
        <item x="30"/>
        <item x="33"/>
        <item x="28"/>
        <item x="36"/>
        <item x="32"/>
        <item x="39"/>
        <item x="35"/>
        <item x="42"/>
        <item x="38"/>
        <item x="45"/>
        <item x="41"/>
        <item x="31"/>
        <item x="48"/>
        <item x="44"/>
        <item x="34"/>
        <item x="51"/>
        <item x="47"/>
        <item x="37"/>
        <item x="40"/>
        <item x="50"/>
        <item x="54"/>
        <item x="57"/>
        <item x="43"/>
        <item x="53"/>
        <item x="62"/>
        <item x="65"/>
        <item x="46"/>
        <item x="56"/>
        <item x="68"/>
        <item x="59"/>
        <item x="61"/>
        <item x="49"/>
        <item x="71"/>
        <item x="64"/>
        <item x="67"/>
        <item x="74"/>
        <item x="76"/>
        <item x="52"/>
        <item x="70"/>
        <item x="78"/>
        <item x="73"/>
        <item x="55"/>
        <item x="77"/>
        <item x="58"/>
        <item x="81"/>
        <item x="80"/>
        <item x="60"/>
        <item x="86"/>
        <item x="63"/>
        <item x="66"/>
        <item x="83"/>
        <item x="85"/>
        <item x="69"/>
        <item x="88"/>
        <item x="75"/>
        <item x="72"/>
        <item x="93"/>
        <item x="90"/>
        <item x="79"/>
        <item x="96"/>
        <item x="99"/>
        <item x="92"/>
        <item x="82"/>
        <item x="102"/>
        <item x="105"/>
        <item x="95"/>
        <item x="108"/>
        <item x="84"/>
        <item x="98"/>
        <item x="110"/>
        <item x="87"/>
        <item x="101"/>
        <item x="113"/>
        <item x="144"/>
        <item x="104"/>
        <item x="107"/>
        <item x="142"/>
        <item x="139"/>
        <item x="116"/>
        <item x="89"/>
        <item x="147"/>
        <item x="119"/>
        <item x="146"/>
        <item x="112"/>
        <item x="136"/>
        <item x="91"/>
        <item x="133"/>
        <item x="115"/>
        <item x="141"/>
        <item x="126"/>
        <item x="130"/>
        <item x="94"/>
        <item x="152"/>
        <item x="148"/>
        <item x="154"/>
        <item x="118"/>
        <item x="155"/>
        <item x="145"/>
        <item x="138"/>
        <item x="121"/>
        <item x="153"/>
        <item x="149"/>
        <item x="157"/>
        <item x="97"/>
        <item x="135"/>
        <item x="123"/>
        <item x="159"/>
        <item x="167"/>
        <item x="125"/>
        <item x="161"/>
        <item x="100"/>
        <item x="132"/>
        <item x="103"/>
        <item x="143"/>
        <item x="156"/>
        <item x="106"/>
        <item x="129"/>
        <item x="158"/>
        <item x="109"/>
        <item x="150"/>
        <item x="164"/>
        <item x="151"/>
        <item x="168"/>
        <item x="166"/>
        <item x="163"/>
        <item x="160"/>
        <item x="162"/>
        <item x="140"/>
        <item x="165"/>
        <item x="111"/>
        <item x="170"/>
        <item x="169"/>
        <item x="172"/>
        <item x="137"/>
        <item x="171"/>
        <item x="114"/>
        <item x="174"/>
        <item x="117"/>
        <item x="134"/>
        <item x="175"/>
        <item x="173"/>
        <item x="120"/>
        <item x="122"/>
        <item x="131"/>
        <item x="176"/>
        <item x="124"/>
        <item x="127"/>
        <item x="128"/>
        <item x="178"/>
        <item x="179"/>
        <item x="177"/>
        <item x="181"/>
        <item x="182"/>
        <item x="180"/>
        <item x="184"/>
        <item x="187"/>
        <item x="185"/>
        <item x="190"/>
        <item x="183"/>
        <item x="188"/>
        <item x="186"/>
        <item x="191"/>
        <item x="189"/>
        <item x="193"/>
        <item x="192"/>
        <item x="196"/>
        <item x="197"/>
        <item x="195"/>
        <item x="198"/>
        <item x="200"/>
        <item x="199"/>
        <item x="202"/>
        <item x="201"/>
        <item x="204"/>
        <item x="205"/>
        <item x="207"/>
        <item x="203"/>
        <item x="212"/>
        <item x="214"/>
        <item x="216"/>
        <item x="208"/>
        <item x="206"/>
        <item x="217"/>
        <item x="210"/>
        <item x="213"/>
        <item x="215"/>
        <item x="209"/>
        <item x="211"/>
        <item x="219"/>
        <item x="222"/>
        <item x="226"/>
        <item x="230"/>
        <item x="233"/>
        <item x="220"/>
        <item x="224"/>
        <item x="223"/>
        <item x="227"/>
        <item x="231"/>
        <item x="234"/>
        <item x="218"/>
        <item x="225"/>
        <item x="221"/>
        <item x="228"/>
        <item x="236"/>
        <item x="229"/>
        <item x="232"/>
        <item x="235"/>
        <item x="238"/>
        <item x="240"/>
        <item x="237"/>
        <item x="241"/>
        <item x="243"/>
        <item x="239"/>
        <item x="244"/>
        <item x="246"/>
        <item x="242"/>
        <item x="247"/>
        <item x="249"/>
        <item x="245"/>
        <item x="252"/>
        <item x="250"/>
        <item x="255"/>
        <item x="248"/>
        <item x="253"/>
        <item x="251"/>
        <item x="258"/>
        <item x="256"/>
        <item x="254"/>
        <item x="259"/>
        <item x="257"/>
        <item x="263"/>
        <item x="261"/>
        <item x="266"/>
        <item x="260"/>
        <item x="264"/>
        <item x="269"/>
        <item x="262"/>
        <item x="267"/>
        <item x="272"/>
        <item x="265"/>
        <item x="270"/>
        <item x="268"/>
        <item x="277"/>
        <item x="273"/>
        <item x="275"/>
        <item x="271"/>
        <item x="280"/>
        <item x="274"/>
        <item x="278"/>
        <item x="276"/>
        <item x="281"/>
        <item x="279"/>
        <item x="194"/>
        <item t="default"/>
      </items>
    </pivotField>
    <pivotField showAll="0">
      <items count="269">
        <item x="0"/>
        <item x="2"/>
        <item x="1"/>
        <item x="4"/>
        <item x="5"/>
        <item x="3"/>
        <item x="7"/>
        <item x="8"/>
        <item x="6"/>
        <item x="10"/>
        <item x="11"/>
        <item x="13"/>
        <item x="9"/>
        <item x="15"/>
        <item x="12"/>
        <item x="17"/>
        <item x="18"/>
        <item x="14"/>
        <item x="20"/>
        <item x="16"/>
        <item x="22"/>
        <item x="19"/>
        <item x="21"/>
        <item x="24"/>
        <item x="23"/>
        <item x="25"/>
        <item x="26"/>
        <item x="32"/>
        <item x="28"/>
        <item x="27"/>
        <item x="30"/>
        <item x="33"/>
        <item x="29"/>
        <item x="31"/>
        <item x="35"/>
        <item x="34"/>
        <item x="37"/>
        <item x="40"/>
        <item x="36"/>
        <item x="43"/>
        <item x="41"/>
        <item x="38"/>
        <item x="44"/>
        <item x="39"/>
        <item x="42"/>
        <item x="47"/>
        <item x="48"/>
        <item x="45"/>
        <item x="46"/>
        <item x="54"/>
        <item x="57"/>
        <item x="49"/>
        <item x="60"/>
        <item x="50"/>
        <item x="52"/>
        <item x="55"/>
        <item x="65"/>
        <item x="58"/>
        <item x="51"/>
        <item x="53"/>
        <item x="70"/>
        <item x="61"/>
        <item x="56"/>
        <item x="63"/>
        <item x="66"/>
        <item x="59"/>
        <item x="68"/>
        <item x="78"/>
        <item x="81"/>
        <item x="71"/>
        <item x="64"/>
        <item x="62"/>
        <item x="67"/>
        <item x="89"/>
        <item x="74"/>
        <item x="69"/>
        <item x="76"/>
        <item x="96"/>
        <item x="72"/>
        <item x="99"/>
        <item x="79"/>
        <item x="82"/>
        <item x="73"/>
        <item x="104"/>
        <item x="75"/>
        <item x="106"/>
        <item x="85"/>
        <item x="111"/>
        <item x="87"/>
        <item x="77"/>
        <item x="90"/>
        <item x="120"/>
        <item x="80"/>
        <item x="83"/>
        <item x="92"/>
        <item x="123"/>
        <item x="84"/>
        <item x="94"/>
        <item x="127"/>
        <item x="129"/>
        <item x="97"/>
        <item x="86"/>
        <item x="100"/>
        <item x="88"/>
        <item x="132"/>
        <item x="102"/>
        <item x="137"/>
        <item x="138"/>
        <item x="107"/>
        <item x="109"/>
        <item x="91"/>
        <item x="112"/>
        <item x="114"/>
        <item x="141"/>
        <item x="116"/>
        <item x="146"/>
        <item x="93"/>
        <item x="152"/>
        <item x="118"/>
        <item x="131"/>
        <item x="98"/>
        <item x="95"/>
        <item x="155"/>
        <item x="103"/>
        <item x="101"/>
        <item x="125"/>
        <item x="105"/>
        <item x="160"/>
        <item x="133"/>
        <item x="108"/>
        <item x="135"/>
        <item x="110"/>
        <item x="165"/>
        <item x="113"/>
        <item x="115"/>
        <item x="130"/>
        <item x="142"/>
        <item x="126"/>
        <item x="128"/>
        <item x="122"/>
        <item x="117"/>
        <item x="174"/>
        <item x="119"/>
        <item x="121"/>
        <item x="124"/>
        <item x="134"/>
        <item x="136"/>
        <item x="140"/>
        <item x="150"/>
        <item x="147"/>
        <item x="144"/>
        <item x="153"/>
        <item x="139"/>
        <item x="156"/>
        <item x="158"/>
        <item x="143"/>
        <item x="161"/>
        <item x="162"/>
        <item x="163"/>
        <item x="166"/>
        <item x="168"/>
        <item x="181"/>
        <item x="170"/>
        <item x="172"/>
        <item x="175"/>
        <item x="176"/>
        <item x="178"/>
        <item x="149"/>
        <item x="151"/>
        <item x="145"/>
        <item x="154"/>
        <item x="148"/>
        <item x="157"/>
        <item x="159"/>
        <item x="164"/>
        <item x="167"/>
        <item x="177"/>
        <item x="169"/>
        <item x="182"/>
        <item x="171"/>
        <item x="173"/>
        <item x="184"/>
        <item x="190"/>
        <item x="180"/>
        <item x="186"/>
        <item x="193"/>
        <item x="183"/>
        <item x="188"/>
        <item x="185"/>
        <item x="196"/>
        <item x="191"/>
        <item x="187"/>
        <item x="194"/>
        <item x="189"/>
        <item x="201"/>
        <item x="204"/>
        <item x="197"/>
        <item x="207"/>
        <item x="210"/>
        <item x="192"/>
        <item x="214"/>
        <item x="218"/>
        <item x="199"/>
        <item x="195"/>
        <item x="202"/>
        <item x="225"/>
        <item x="228"/>
        <item x="231"/>
        <item x="234"/>
        <item x="205"/>
        <item x="236"/>
        <item x="239"/>
        <item x="208"/>
        <item x="242"/>
        <item x="198"/>
        <item x="245"/>
        <item x="200"/>
        <item x="212"/>
        <item x="247"/>
        <item x="250"/>
        <item x="203"/>
        <item x="253"/>
        <item x="215"/>
        <item x="256"/>
        <item x="219"/>
        <item x="221"/>
        <item x="223"/>
        <item x="226"/>
        <item x="206"/>
        <item x="229"/>
        <item x="261"/>
        <item x="232"/>
        <item x="209"/>
        <item x="266"/>
        <item x="211"/>
        <item x="237"/>
        <item x="213"/>
        <item x="240"/>
        <item x="216"/>
        <item x="243"/>
        <item x="217"/>
        <item x="220"/>
        <item x="248"/>
        <item x="222"/>
        <item x="224"/>
        <item x="251"/>
        <item x="254"/>
        <item x="227"/>
        <item x="257"/>
        <item x="230"/>
        <item x="259"/>
        <item x="262"/>
        <item x="233"/>
        <item x="264"/>
        <item x="235"/>
        <item x="267"/>
        <item x="238"/>
        <item x="241"/>
        <item x="244"/>
        <item x="246"/>
        <item x="249"/>
        <item x="252"/>
        <item x="255"/>
        <item x="258"/>
        <item x="260"/>
        <item x="263"/>
        <item x="265"/>
        <item x="179"/>
        <item t="default"/>
      </items>
    </pivotField>
    <pivotField showAll="0">
      <items count="308">
        <item x="0"/>
        <item x="2"/>
        <item x="3"/>
        <item x="1"/>
        <item x="6"/>
        <item x="5"/>
        <item x="9"/>
        <item x="8"/>
        <item x="4"/>
        <item x="11"/>
        <item x="7"/>
        <item x="12"/>
        <item x="14"/>
        <item x="10"/>
        <item x="15"/>
        <item x="13"/>
        <item x="17"/>
        <item x="18"/>
        <item x="16"/>
        <item x="20"/>
        <item x="19"/>
        <item x="22"/>
        <item x="23"/>
        <item x="21"/>
        <item x="25"/>
        <item x="26"/>
        <item x="24"/>
        <item x="27"/>
        <item x="29"/>
        <item x="30"/>
        <item x="28"/>
        <item x="33"/>
        <item x="32"/>
        <item x="35"/>
        <item x="31"/>
        <item x="38"/>
        <item x="41"/>
        <item x="37"/>
        <item x="34"/>
        <item x="44"/>
        <item x="40"/>
        <item x="43"/>
        <item x="36"/>
        <item x="47"/>
        <item x="46"/>
        <item x="39"/>
        <item x="50"/>
        <item x="42"/>
        <item x="49"/>
        <item x="45"/>
        <item x="52"/>
        <item x="48"/>
        <item x="55"/>
        <item x="54"/>
        <item x="58"/>
        <item x="51"/>
        <item x="57"/>
        <item x="60"/>
        <item x="53"/>
        <item x="63"/>
        <item x="56"/>
        <item x="62"/>
        <item x="59"/>
        <item x="65"/>
        <item x="67"/>
        <item x="68"/>
        <item x="61"/>
        <item x="64"/>
        <item x="70"/>
        <item x="66"/>
        <item x="72"/>
        <item x="69"/>
        <item x="73"/>
        <item x="75"/>
        <item x="71"/>
        <item x="74"/>
        <item x="76"/>
        <item x="77"/>
        <item x="79"/>
        <item x="80"/>
        <item x="82"/>
        <item x="78"/>
        <item x="83"/>
        <item x="81"/>
        <item x="85"/>
        <item x="87"/>
        <item x="84"/>
        <item x="86"/>
        <item x="89"/>
        <item x="90"/>
        <item x="88"/>
        <item x="92"/>
        <item x="93"/>
        <item x="91"/>
        <item x="95"/>
        <item x="94"/>
        <item x="99"/>
        <item x="97"/>
        <item x="102"/>
        <item x="100"/>
        <item x="96"/>
        <item x="103"/>
        <item x="98"/>
        <item x="105"/>
        <item x="108"/>
        <item x="101"/>
        <item x="104"/>
        <item x="111"/>
        <item x="109"/>
        <item x="106"/>
        <item x="112"/>
        <item x="107"/>
        <item x="114"/>
        <item x="118"/>
        <item x="110"/>
        <item x="116"/>
        <item x="121"/>
        <item x="113"/>
        <item x="124"/>
        <item x="119"/>
        <item x="115"/>
        <item x="127"/>
        <item x="122"/>
        <item x="130"/>
        <item x="125"/>
        <item x="117"/>
        <item x="135"/>
        <item x="128"/>
        <item x="138"/>
        <item x="120"/>
        <item x="131"/>
        <item x="123"/>
        <item x="143"/>
        <item x="126"/>
        <item x="133"/>
        <item x="136"/>
        <item x="129"/>
        <item x="139"/>
        <item x="141"/>
        <item x="147"/>
        <item x="132"/>
        <item x="134"/>
        <item x="137"/>
        <item x="152"/>
        <item x="154"/>
        <item x="140"/>
        <item x="145"/>
        <item x="159"/>
        <item x="148"/>
        <item x="162"/>
        <item x="142"/>
        <item x="150"/>
        <item x="165"/>
        <item x="144"/>
        <item x="153"/>
        <item x="155"/>
        <item x="146"/>
        <item x="169"/>
        <item x="157"/>
        <item x="160"/>
        <item x="149"/>
        <item x="163"/>
        <item x="166"/>
        <item x="174"/>
        <item x="151"/>
        <item x="158"/>
        <item x="156"/>
        <item x="175"/>
        <item x="170"/>
        <item x="178"/>
        <item x="161"/>
        <item x="180"/>
        <item x="172"/>
        <item x="183"/>
        <item x="185"/>
        <item x="164"/>
        <item x="188"/>
        <item x="167"/>
        <item x="176"/>
        <item x="181"/>
        <item x="168"/>
        <item x="186"/>
        <item x="191"/>
        <item x="171"/>
        <item x="189"/>
        <item x="193"/>
        <item x="182"/>
        <item x="173"/>
        <item x="179"/>
        <item x="177"/>
        <item x="184"/>
        <item x="187"/>
        <item x="190"/>
        <item x="192"/>
        <item x="196"/>
        <item x="194"/>
        <item x="198"/>
        <item x="195"/>
        <item x="197"/>
        <item x="200"/>
        <item x="199"/>
        <item x="202"/>
        <item x="201"/>
        <item x="204"/>
        <item x="205"/>
        <item x="203"/>
        <item x="207"/>
        <item x="208"/>
        <item x="206"/>
        <item x="210"/>
        <item x="209"/>
        <item x="214"/>
        <item x="217"/>
        <item x="213"/>
        <item x="212"/>
        <item x="220"/>
        <item x="216"/>
        <item x="223"/>
        <item x="219"/>
        <item x="222"/>
        <item x="215"/>
        <item x="226"/>
        <item x="225"/>
        <item x="228"/>
        <item x="218"/>
        <item x="221"/>
        <item x="224"/>
        <item x="230"/>
        <item x="231"/>
        <item x="227"/>
        <item x="234"/>
        <item x="237"/>
        <item x="229"/>
        <item x="233"/>
        <item x="236"/>
        <item x="239"/>
        <item x="232"/>
        <item x="240"/>
        <item x="235"/>
        <item x="242"/>
        <item x="246"/>
        <item x="241"/>
        <item x="238"/>
        <item x="243"/>
        <item x="249"/>
        <item x="248"/>
        <item x="245"/>
        <item x="252"/>
        <item x="244"/>
        <item x="247"/>
        <item x="253"/>
        <item x="251"/>
        <item x="256"/>
        <item x="255"/>
        <item x="250"/>
        <item x="258"/>
        <item x="261"/>
        <item x="254"/>
        <item x="264"/>
        <item x="260"/>
        <item x="257"/>
        <item x="263"/>
        <item x="267"/>
        <item x="266"/>
        <item x="259"/>
        <item x="270"/>
        <item x="262"/>
        <item x="269"/>
        <item x="265"/>
        <item x="273"/>
        <item x="272"/>
        <item x="268"/>
        <item x="276"/>
        <item x="275"/>
        <item x="279"/>
        <item x="271"/>
        <item x="278"/>
        <item x="282"/>
        <item x="284"/>
        <item x="274"/>
        <item x="281"/>
        <item x="287"/>
        <item x="277"/>
        <item x="290"/>
        <item x="286"/>
        <item x="280"/>
        <item x="289"/>
        <item x="295"/>
        <item x="283"/>
        <item x="292"/>
        <item x="298"/>
        <item x="294"/>
        <item x="285"/>
        <item x="301"/>
        <item x="304"/>
        <item x="297"/>
        <item x="288"/>
        <item x="291"/>
        <item x="300"/>
        <item x="293"/>
        <item x="303"/>
        <item x="306"/>
        <item x="296"/>
        <item x="299"/>
        <item x="302"/>
        <item x="305"/>
        <item x="211"/>
        <item t="default"/>
      </items>
    </pivotField>
    <pivotField showAll="0"/>
    <pivotField showAll="0">
      <items count="310">
        <item x="0"/>
        <item x="1"/>
        <item x="2"/>
        <item x="4"/>
        <item x="3"/>
        <item x="5"/>
        <item x="7"/>
        <item x="6"/>
        <item x="8"/>
        <item x="10"/>
        <item x="11"/>
        <item x="9"/>
        <item x="13"/>
        <item x="14"/>
        <item x="16"/>
        <item x="12"/>
        <item x="18"/>
        <item x="19"/>
        <item x="15"/>
        <item x="21"/>
        <item x="17"/>
        <item x="23"/>
        <item x="24"/>
        <item x="20"/>
        <item x="26"/>
        <item x="27"/>
        <item x="22"/>
        <item x="29"/>
        <item x="25"/>
        <item x="30"/>
        <item x="32"/>
        <item x="28"/>
        <item x="35"/>
        <item x="34"/>
        <item x="38"/>
        <item x="37"/>
        <item x="31"/>
        <item x="40"/>
        <item x="41"/>
        <item x="33"/>
        <item x="43"/>
        <item x="36"/>
        <item x="44"/>
        <item x="39"/>
        <item x="46"/>
        <item x="47"/>
        <item x="42"/>
        <item x="49"/>
        <item x="50"/>
        <item x="45"/>
        <item x="52"/>
        <item x="48"/>
        <item x="55"/>
        <item x="54"/>
        <item x="58"/>
        <item x="57"/>
        <item x="51"/>
        <item x="59"/>
        <item x="62"/>
        <item x="61"/>
        <item x="64"/>
        <item x="53"/>
        <item x="66"/>
        <item x="67"/>
        <item x="56"/>
        <item x="70"/>
        <item x="69"/>
        <item x="72"/>
        <item x="60"/>
        <item x="63"/>
        <item x="75"/>
        <item x="74"/>
        <item x="65"/>
        <item x="77"/>
        <item x="68"/>
        <item x="78"/>
        <item x="71"/>
        <item x="80"/>
        <item x="81"/>
        <item x="73"/>
        <item x="83"/>
        <item x="86"/>
        <item x="85"/>
        <item x="76"/>
        <item x="89"/>
        <item x="88"/>
        <item x="79"/>
        <item x="92"/>
        <item x="91"/>
        <item x="82"/>
        <item x="94"/>
        <item x="84"/>
        <item x="99"/>
        <item x="96"/>
        <item x="87"/>
        <item x="102"/>
        <item x="98"/>
        <item x="90"/>
        <item x="105"/>
        <item x="101"/>
        <item x="108"/>
        <item x="104"/>
        <item x="107"/>
        <item x="111"/>
        <item x="93"/>
        <item x="110"/>
        <item x="114"/>
        <item x="95"/>
        <item x="113"/>
        <item x="117"/>
        <item x="116"/>
        <item x="97"/>
        <item x="120"/>
        <item x="100"/>
        <item x="119"/>
        <item x="103"/>
        <item x="123"/>
        <item x="122"/>
        <item x="126"/>
        <item x="106"/>
        <item x="125"/>
        <item x="127"/>
        <item x="109"/>
        <item x="128"/>
        <item x="112"/>
        <item x="115"/>
        <item x="130"/>
        <item x="118"/>
        <item x="133"/>
        <item x="132"/>
        <item x="121"/>
        <item x="136"/>
        <item x="124"/>
        <item x="135"/>
        <item x="129"/>
        <item x="138"/>
        <item x="140"/>
        <item x="141"/>
        <item x="131"/>
        <item x="144"/>
        <item x="143"/>
        <item x="134"/>
        <item x="146"/>
        <item x="147"/>
        <item x="137"/>
        <item x="139"/>
        <item x="149"/>
        <item x="142"/>
        <item x="145"/>
        <item x="150"/>
        <item x="152"/>
        <item x="148"/>
        <item x="154"/>
        <item x="156"/>
        <item x="151"/>
        <item x="158"/>
        <item x="163"/>
        <item x="153"/>
        <item x="160"/>
        <item x="155"/>
        <item x="162"/>
        <item x="165"/>
        <item x="166"/>
        <item x="169"/>
        <item x="157"/>
        <item x="168"/>
        <item x="179"/>
        <item x="171"/>
        <item x="159"/>
        <item x="174"/>
        <item x="178"/>
        <item x="161"/>
        <item x="173"/>
        <item x="176"/>
        <item x="170"/>
        <item x="164"/>
        <item x="182"/>
        <item x="167"/>
        <item x="172"/>
        <item x="175"/>
        <item x="177"/>
        <item x="185"/>
        <item x="180"/>
        <item x="187"/>
        <item x="184"/>
        <item x="190"/>
        <item x="193"/>
        <item x="196"/>
        <item x="189"/>
        <item x="192"/>
        <item x="181"/>
        <item x="195"/>
        <item x="198"/>
        <item x="183"/>
        <item x="200"/>
        <item x="201"/>
        <item x="186"/>
        <item x="203"/>
        <item x="188"/>
        <item x="191"/>
        <item x="194"/>
        <item x="206"/>
        <item x="205"/>
        <item x="197"/>
        <item x="209"/>
        <item x="208"/>
        <item x="199"/>
        <item x="212"/>
        <item x="211"/>
        <item x="202"/>
        <item x="214"/>
        <item x="204"/>
        <item x="216"/>
        <item x="207"/>
        <item x="218"/>
        <item x="210"/>
        <item x="220"/>
        <item x="213"/>
        <item x="221"/>
        <item x="215"/>
        <item x="223"/>
        <item x="217"/>
        <item x="224"/>
        <item x="219"/>
        <item x="226"/>
        <item x="222"/>
        <item x="225"/>
        <item x="231"/>
        <item x="228"/>
        <item x="233"/>
        <item x="237"/>
        <item x="234"/>
        <item x="239"/>
        <item x="230"/>
        <item x="242"/>
        <item x="238"/>
        <item x="236"/>
        <item x="245"/>
        <item x="241"/>
        <item x="244"/>
        <item x="250"/>
        <item x="247"/>
        <item x="229"/>
        <item x="253"/>
        <item x="232"/>
        <item x="252"/>
        <item x="249"/>
        <item x="235"/>
        <item x="240"/>
        <item x="258"/>
        <item x="255"/>
        <item x="261"/>
        <item x="243"/>
        <item x="266"/>
        <item x="273"/>
        <item x="260"/>
        <item x="263"/>
        <item x="269"/>
        <item x="276"/>
        <item x="246"/>
        <item x="257"/>
        <item x="265"/>
        <item x="275"/>
        <item x="278"/>
        <item x="272"/>
        <item x="268"/>
        <item x="277"/>
        <item x="270"/>
        <item x="286"/>
        <item x="248"/>
        <item x="251"/>
        <item x="280"/>
        <item x="282"/>
        <item x="283"/>
        <item x="285"/>
        <item x="254"/>
        <item x="291"/>
        <item x="288"/>
        <item x="294"/>
        <item x="290"/>
        <item x="262"/>
        <item x="259"/>
        <item x="293"/>
        <item x="296"/>
        <item x="274"/>
        <item x="264"/>
        <item x="271"/>
        <item x="298"/>
        <item x="267"/>
        <item x="281"/>
        <item x="300"/>
        <item x="279"/>
        <item x="256"/>
        <item x="284"/>
        <item x="304"/>
        <item x="287"/>
        <item x="289"/>
        <item x="303"/>
        <item x="292"/>
        <item x="306"/>
        <item x="295"/>
        <item x="297"/>
        <item x="308"/>
        <item x="299"/>
        <item x="301"/>
        <item x="302"/>
        <item x="305"/>
        <item x="307"/>
        <item x="227"/>
        <item t="default"/>
      </items>
    </pivotField>
    <pivotField showAll="0"/>
    <pivotField showAll="0"/>
    <pivotField showAll="0">
      <items count="304">
        <item x="1"/>
        <item x="2"/>
        <item x="0"/>
        <item x="4"/>
        <item x="3"/>
        <item x="6"/>
        <item x="5"/>
        <item x="8"/>
        <item x="9"/>
        <item x="7"/>
        <item x="11"/>
        <item x="12"/>
        <item x="10"/>
        <item x="14"/>
        <item x="15"/>
        <item x="13"/>
        <item x="17"/>
        <item x="19"/>
        <item x="16"/>
        <item x="20"/>
        <item x="18"/>
        <item x="22"/>
        <item x="24"/>
        <item x="21"/>
        <item x="25"/>
        <item x="27"/>
        <item x="23"/>
        <item x="30"/>
        <item x="28"/>
        <item x="33"/>
        <item x="26"/>
        <item x="36"/>
        <item x="31"/>
        <item x="39"/>
        <item x="34"/>
        <item x="29"/>
        <item x="42"/>
        <item x="37"/>
        <item x="32"/>
        <item x="40"/>
        <item x="35"/>
        <item x="43"/>
        <item x="38"/>
        <item x="49"/>
        <item x="45"/>
        <item x="41"/>
        <item x="52"/>
        <item x="47"/>
        <item x="55"/>
        <item x="44"/>
        <item x="58"/>
        <item x="50"/>
        <item x="46"/>
        <item x="61"/>
        <item x="53"/>
        <item x="64"/>
        <item x="56"/>
        <item x="67"/>
        <item x="48"/>
        <item x="70"/>
        <item x="51"/>
        <item x="72"/>
        <item x="59"/>
        <item x="54"/>
        <item x="62"/>
        <item x="65"/>
        <item x="57"/>
        <item x="68"/>
        <item x="81"/>
        <item x="60"/>
        <item x="86"/>
        <item x="63"/>
        <item x="89"/>
        <item x="73"/>
        <item x="66"/>
        <item x="75"/>
        <item x="92"/>
        <item x="95"/>
        <item x="77"/>
        <item x="97"/>
        <item x="69"/>
        <item x="100"/>
        <item x="71"/>
        <item x="79"/>
        <item x="105"/>
        <item x="74"/>
        <item x="82"/>
        <item x="108"/>
        <item x="84"/>
        <item x="76"/>
        <item x="113"/>
        <item x="87"/>
        <item x="116"/>
        <item x="119"/>
        <item x="90"/>
        <item x="78"/>
        <item x="80"/>
        <item x="123"/>
        <item x="93"/>
        <item x="126"/>
        <item x="83"/>
        <item x="130"/>
        <item x="98"/>
        <item x="133"/>
        <item x="85"/>
        <item x="136"/>
        <item x="101"/>
        <item x="143"/>
        <item x="103"/>
        <item x="88"/>
        <item x="106"/>
        <item x="109"/>
        <item x="91"/>
        <item x="94"/>
        <item x="111"/>
        <item x="96"/>
        <item x="114"/>
        <item x="117"/>
        <item x="99"/>
        <item x="150"/>
        <item x="102"/>
        <item x="152"/>
        <item x="104"/>
        <item x="121"/>
        <item x="156"/>
        <item x="107"/>
        <item x="124"/>
        <item x="159"/>
        <item x="127"/>
        <item x="110"/>
        <item x="131"/>
        <item x="162"/>
        <item x="134"/>
        <item x="112"/>
        <item x="137"/>
        <item x="115"/>
        <item x="139"/>
        <item x="167"/>
        <item x="141"/>
        <item x="118"/>
        <item x="169"/>
        <item x="144"/>
        <item x="120"/>
        <item x="173"/>
        <item x="122"/>
        <item x="146"/>
        <item x="125"/>
        <item x="128"/>
        <item x="129"/>
        <item x="177"/>
        <item x="132"/>
        <item x="180"/>
        <item x="182"/>
        <item x="135"/>
        <item x="138"/>
        <item x="153"/>
        <item x="185"/>
        <item x="140"/>
        <item x="186"/>
        <item x="157"/>
        <item x="189"/>
        <item x="192"/>
        <item x="160"/>
        <item x="195"/>
        <item x="142"/>
        <item x="196"/>
        <item x="163"/>
        <item x="199"/>
        <item x="145"/>
        <item x="202"/>
        <item x="165"/>
        <item x="205"/>
        <item x="147"/>
        <item x="170"/>
        <item x="172"/>
        <item x="148"/>
        <item x="181"/>
        <item x="174"/>
        <item x="178"/>
        <item x="175"/>
        <item x="151"/>
        <item x="149"/>
        <item x="187"/>
        <item x="154"/>
        <item x="190"/>
        <item x="155"/>
        <item x="193"/>
        <item x="216"/>
        <item x="197"/>
        <item x="158"/>
        <item x="200"/>
        <item x="220"/>
        <item x="203"/>
        <item x="161"/>
        <item x="206"/>
        <item x="208"/>
        <item x="223"/>
        <item x="164"/>
        <item x="179"/>
        <item x="183"/>
        <item x="226"/>
        <item x="166"/>
        <item x="168"/>
        <item x="184"/>
        <item x="176"/>
        <item x="188"/>
        <item x="194"/>
        <item x="191"/>
        <item x="171"/>
        <item x="212"/>
        <item x="198"/>
        <item x="214"/>
        <item x="229"/>
        <item x="201"/>
        <item x="217"/>
        <item x="204"/>
        <item x="207"/>
        <item x="209"/>
        <item x="232"/>
        <item x="221"/>
        <item x="235"/>
        <item x="224"/>
        <item x="211"/>
        <item x="227"/>
        <item x="213"/>
        <item x="215"/>
        <item x="240"/>
        <item x="218"/>
        <item x="219"/>
        <item x="230"/>
        <item x="222"/>
        <item x="233"/>
        <item x="225"/>
        <item x="236"/>
        <item x="247"/>
        <item x="250"/>
        <item x="228"/>
        <item x="231"/>
        <item x="253"/>
        <item x="234"/>
        <item x="238"/>
        <item x="241"/>
        <item x="243"/>
        <item x="258"/>
        <item x="245"/>
        <item x="248"/>
        <item x="261"/>
        <item x="251"/>
        <item x="237"/>
        <item x="239"/>
        <item x="264"/>
        <item x="242"/>
        <item x="254"/>
        <item x="244"/>
        <item x="256"/>
        <item x="246"/>
        <item x="269"/>
        <item x="249"/>
        <item x="259"/>
        <item x="272"/>
        <item x="262"/>
        <item x="252"/>
        <item x="275"/>
        <item x="265"/>
        <item x="255"/>
        <item x="278"/>
        <item x="257"/>
        <item x="267"/>
        <item x="281"/>
        <item x="284"/>
        <item x="260"/>
        <item x="270"/>
        <item x="287"/>
        <item x="263"/>
        <item x="290"/>
        <item x="273"/>
        <item x="292"/>
        <item x="266"/>
        <item x="276"/>
        <item x="295"/>
        <item x="279"/>
        <item x="298"/>
        <item x="268"/>
        <item x="301"/>
        <item x="282"/>
        <item x="271"/>
        <item x="285"/>
        <item x="274"/>
        <item x="288"/>
        <item x="277"/>
        <item x="293"/>
        <item x="280"/>
        <item x="296"/>
        <item x="299"/>
        <item x="283"/>
        <item x="302"/>
        <item x="286"/>
        <item x="289"/>
        <item x="291"/>
        <item x="294"/>
        <item x="297"/>
        <item x="300"/>
        <item x="210"/>
        <item t="default"/>
      </items>
    </pivotField>
    <pivotField showAll="0">
      <items count="119">
        <item x="1"/>
        <item x="2"/>
        <item x="3"/>
        <item x="4"/>
        <item x="5"/>
        <item x="6"/>
        <item x="7"/>
        <item x="8"/>
        <item x="10"/>
        <item x="9"/>
        <item x="11"/>
        <item x="12"/>
        <item x="13"/>
        <item x="14"/>
        <item x="15"/>
        <item x="16"/>
        <item x="17"/>
        <item x="18"/>
        <item x="21"/>
        <item x="19"/>
        <item x="20"/>
        <item x="22"/>
        <item x="23"/>
        <item x="24"/>
        <item x="27"/>
        <item x="25"/>
        <item x="26"/>
        <item x="28"/>
        <item x="29"/>
        <item x="30"/>
        <item x="31"/>
        <item x="32"/>
        <item x="33"/>
        <item x="34"/>
        <item x="35"/>
        <item x="38"/>
        <item x="36"/>
        <item x="37"/>
        <item x="39"/>
        <item x="40"/>
        <item x="41"/>
        <item x="44"/>
        <item x="42"/>
        <item x="43"/>
        <item x="45"/>
        <item x="46"/>
        <item x="47"/>
        <item x="50"/>
        <item x="48"/>
        <item x="49"/>
        <item x="51"/>
        <item x="52"/>
        <item x="53"/>
        <item x="54"/>
        <item x="55"/>
        <item x="56"/>
        <item x="57"/>
        <item x="58"/>
        <item x="59"/>
        <item x="62"/>
        <item x="60"/>
        <item x="61"/>
        <item x="63"/>
        <item x="64"/>
        <item x="65"/>
        <item x="66"/>
        <item x="68"/>
        <item x="67"/>
        <item x="69"/>
        <item x="70"/>
        <item x="71"/>
        <item x="73"/>
        <item x="72"/>
        <item x="74"/>
        <item x="75"/>
        <item x="76"/>
        <item x="79"/>
        <item x="77"/>
        <item x="78"/>
        <item x="80"/>
        <item x="82"/>
        <item x="84"/>
        <item x="81"/>
        <item x="85"/>
        <item x="83"/>
        <item x="86"/>
        <item x="87"/>
        <item x="90"/>
        <item x="88"/>
        <item x="89"/>
        <item x="91"/>
        <item x="93"/>
        <item x="96"/>
        <item x="94"/>
        <item x="97"/>
        <item x="95"/>
        <item x="98"/>
        <item x="101"/>
        <item x="99"/>
        <item x="100"/>
        <item x="102"/>
        <item x="104"/>
        <item x="103"/>
        <item x="107"/>
        <item x="105"/>
        <item x="106"/>
        <item x="108"/>
        <item x="109"/>
        <item x="110"/>
        <item x="113"/>
        <item x="111"/>
        <item x="112"/>
        <item x="114"/>
        <item x="115"/>
        <item x="116"/>
        <item x="117"/>
        <item x="92"/>
        <item x="0"/>
        <item t="default"/>
      </items>
    </pivotField>
    <pivotField showAll="0">
      <items count="275">
        <item x="1"/>
        <item x="0"/>
        <item x="3"/>
        <item x="4"/>
        <item x="5"/>
        <item x="2"/>
        <item x="7"/>
        <item x="6"/>
        <item x="9"/>
        <item x="10"/>
        <item x="8"/>
        <item x="12"/>
        <item x="13"/>
        <item x="11"/>
        <item x="15"/>
        <item x="16"/>
        <item x="18"/>
        <item x="14"/>
        <item x="19"/>
        <item x="17"/>
        <item x="25"/>
        <item x="27"/>
        <item x="21"/>
        <item x="23"/>
        <item x="30"/>
        <item x="20"/>
        <item x="37"/>
        <item x="22"/>
        <item x="41"/>
        <item x="28"/>
        <item x="46"/>
        <item x="31"/>
        <item x="33"/>
        <item x="35"/>
        <item x="24"/>
        <item x="26"/>
        <item x="29"/>
        <item x="32"/>
        <item x="34"/>
        <item x="39"/>
        <item x="42"/>
        <item x="44"/>
        <item x="36"/>
        <item x="86"/>
        <item x="47"/>
        <item x="84"/>
        <item x="61"/>
        <item x="89"/>
        <item x="64"/>
        <item x="99"/>
        <item x="38"/>
        <item x="40"/>
        <item x="49"/>
        <item x="51"/>
        <item x="43"/>
        <item x="76"/>
        <item x="102"/>
        <item x="45"/>
        <item x="53"/>
        <item x="79"/>
        <item x="48"/>
        <item x="50"/>
        <item x="55"/>
        <item x="105"/>
        <item x="108"/>
        <item x="57"/>
        <item x="52"/>
        <item x="59"/>
        <item x="122"/>
        <item x="117"/>
        <item x="62"/>
        <item x="120"/>
        <item x="65"/>
        <item x="54"/>
        <item x="67"/>
        <item x="70"/>
        <item x="56"/>
        <item x="72"/>
        <item x="58"/>
        <item x="114"/>
        <item x="74"/>
        <item x="60"/>
        <item x="77"/>
        <item x="87"/>
        <item x="85"/>
        <item x="63"/>
        <item x="80"/>
        <item x="66"/>
        <item x="82"/>
        <item x="91"/>
        <item x="93"/>
        <item x="95"/>
        <item x="69"/>
        <item x="68"/>
        <item x="97"/>
        <item x="100"/>
        <item x="71"/>
        <item x="137"/>
        <item x="139"/>
        <item x="103"/>
        <item x="168"/>
        <item x="73"/>
        <item x="75"/>
        <item x="78"/>
        <item x="134"/>
        <item x="142"/>
        <item x="106"/>
        <item x="109"/>
        <item x="83"/>
        <item x="159"/>
        <item x="131"/>
        <item x="88"/>
        <item x="81"/>
        <item x="111"/>
        <item x="90"/>
        <item x="144"/>
        <item x="92"/>
        <item x="157"/>
        <item x="118"/>
        <item x="171"/>
        <item x="94"/>
        <item x="115"/>
        <item x="96"/>
        <item x="98"/>
        <item x="101"/>
        <item x="165"/>
        <item x="124"/>
        <item x="149"/>
        <item x="104"/>
        <item x="107"/>
        <item x="126"/>
        <item x="154"/>
        <item x="110"/>
        <item x="151"/>
        <item x="175"/>
        <item x="112"/>
        <item x="116"/>
        <item x="113"/>
        <item x="178"/>
        <item x="119"/>
        <item x="121"/>
        <item x="135"/>
        <item x="129"/>
        <item x="133"/>
        <item x="140"/>
        <item x="186"/>
        <item x="194"/>
        <item x="198"/>
        <item x="123"/>
        <item x="201"/>
        <item x="125"/>
        <item x="192"/>
        <item x="160"/>
        <item x="169"/>
        <item x="181"/>
        <item x="170"/>
        <item x="167"/>
        <item x="158"/>
        <item x="145"/>
        <item x="163"/>
        <item x="172"/>
        <item x="147"/>
        <item x="127"/>
        <item x="166"/>
        <item x="184"/>
        <item x="190"/>
        <item x="130"/>
        <item x="132"/>
        <item x="128"/>
        <item x="155"/>
        <item x="195"/>
        <item x="193"/>
        <item x="196"/>
        <item x="199"/>
        <item x="176"/>
        <item x="136"/>
        <item x="187"/>
        <item x="138"/>
        <item x="179"/>
        <item x="189"/>
        <item x="141"/>
        <item x="152"/>
        <item x="191"/>
        <item x="156"/>
        <item x="161"/>
        <item x="143"/>
        <item x="162"/>
        <item x="182"/>
        <item x="197"/>
        <item x="146"/>
        <item x="164"/>
        <item x="203"/>
        <item x="173"/>
        <item x="200"/>
        <item x="185"/>
        <item x="148"/>
        <item x="205"/>
        <item x="150"/>
        <item x="174"/>
        <item x="153"/>
        <item x="177"/>
        <item x="202"/>
        <item x="180"/>
        <item x="206"/>
        <item x="183"/>
        <item x="204"/>
        <item x="208"/>
        <item x="210"/>
        <item x="209"/>
        <item x="211"/>
        <item x="207"/>
        <item x="215"/>
        <item x="218"/>
        <item x="213"/>
        <item x="216"/>
        <item x="219"/>
        <item x="223"/>
        <item x="228"/>
        <item x="212"/>
        <item x="214"/>
        <item x="225"/>
        <item x="217"/>
        <item x="221"/>
        <item x="234"/>
        <item x="220"/>
        <item x="222"/>
        <item x="229"/>
        <item x="231"/>
        <item x="226"/>
        <item x="237"/>
        <item x="227"/>
        <item x="224"/>
        <item x="230"/>
        <item x="235"/>
        <item x="232"/>
        <item x="238"/>
        <item x="233"/>
        <item x="236"/>
        <item x="240"/>
        <item x="241"/>
        <item x="239"/>
        <item x="243"/>
        <item x="244"/>
        <item x="246"/>
        <item x="242"/>
        <item x="247"/>
        <item x="245"/>
        <item x="251"/>
        <item x="252"/>
        <item x="250"/>
        <item x="254"/>
        <item x="249"/>
        <item x="248"/>
        <item x="253"/>
        <item x="256"/>
        <item x="265"/>
        <item x="259"/>
        <item x="257"/>
        <item x="262"/>
        <item x="255"/>
        <item x="260"/>
        <item x="268"/>
        <item x="270"/>
        <item x="266"/>
        <item x="271"/>
        <item x="258"/>
        <item x="263"/>
        <item x="267"/>
        <item x="272"/>
        <item x="269"/>
        <item x="261"/>
        <item x="264"/>
        <item x="273"/>
        <item x="188"/>
        <item t="default"/>
      </items>
    </pivotField>
    <pivotField axis="axisPage" dataField="1" showAll="0">
      <items count="292">
        <item x="0"/>
        <item x="1"/>
        <item x="2"/>
        <item x="3"/>
        <item x="4"/>
        <item x="6"/>
        <item x="5"/>
        <item x="7"/>
        <item x="9"/>
        <item x="8"/>
        <item x="10"/>
        <item x="12"/>
        <item x="11"/>
        <item x="14"/>
        <item x="15"/>
        <item x="13"/>
        <item x="16"/>
        <item x="17"/>
        <item x="19"/>
        <item x="20"/>
        <item x="18"/>
        <item x="22"/>
        <item x="23"/>
        <item x="21"/>
        <item x="25"/>
        <item x="27"/>
        <item x="24"/>
        <item x="28"/>
        <item x="26"/>
        <item x="30"/>
        <item x="29"/>
        <item x="32"/>
        <item x="33"/>
        <item x="31"/>
        <item x="35"/>
        <item x="34"/>
        <item x="36"/>
        <item x="38"/>
        <item x="39"/>
        <item x="37"/>
        <item x="41"/>
        <item x="43"/>
        <item x="40"/>
        <item x="46"/>
        <item x="44"/>
        <item x="49"/>
        <item x="42"/>
        <item x="47"/>
        <item x="51"/>
        <item x="45"/>
        <item x="54"/>
        <item x="56"/>
        <item x="52"/>
        <item x="48"/>
        <item x="58"/>
        <item x="61"/>
        <item x="50"/>
        <item x="53"/>
        <item x="64"/>
        <item x="59"/>
        <item x="55"/>
        <item x="62"/>
        <item x="70"/>
        <item x="57"/>
        <item x="65"/>
        <item x="73"/>
        <item x="60"/>
        <item x="76"/>
        <item x="79"/>
        <item x="63"/>
        <item x="81"/>
        <item x="68"/>
        <item x="71"/>
        <item x="66"/>
        <item x="86"/>
        <item x="89"/>
        <item x="74"/>
        <item x="92"/>
        <item x="77"/>
        <item x="67"/>
        <item x="69"/>
        <item x="96"/>
        <item x="82"/>
        <item x="100"/>
        <item x="84"/>
        <item x="72"/>
        <item x="103"/>
        <item x="87"/>
        <item x="106"/>
        <item x="75"/>
        <item x="90"/>
        <item x="111"/>
        <item x="114"/>
        <item x="78"/>
        <item x="119"/>
        <item x="94"/>
        <item x="80"/>
        <item x="83"/>
        <item x="98"/>
        <item x="126"/>
        <item x="85"/>
        <item x="129"/>
        <item x="101"/>
        <item x="88"/>
        <item x="132"/>
        <item x="104"/>
        <item x="91"/>
        <item x="107"/>
        <item x="93"/>
        <item x="137"/>
        <item x="140"/>
        <item x="109"/>
        <item x="95"/>
        <item x="112"/>
        <item x="142"/>
        <item x="115"/>
        <item x="97"/>
        <item x="117"/>
        <item x="147"/>
        <item x="120"/>
        <item x="149"/>
        <item x="99"/>
        <item x="122"/>
        <item x="124"/>
        <item x="102"/>
        <item x="150"/>
        <item x="127"/>
        <item x="105"/>
        <item x="130"/>
        <item x="108"/>
        <item x="133"/>
        <item x="110"/>
        <item x="155"/>
        <item x="135"/>
        <item x="113"/>
        <item x="158"/>
        <item x="116"/>
        <item x="138"/>
        <item x="118"/>
        <item x="121"/>
        <item x="123"/>
        <item x="143"/>
        <item x="145"/>
        <item x="125"/>
        <item x="165"/>
        <item x="128"/>
        <item x="151"/>
        <item x="167"/>
        <item x="131"/>
        <item x="169"/>
        <item x="172"/>
        <item x="153"/>
        <item x="176"/>
        <item x="177"/>
        <item x="134"/>
        <item x="156"/>
        <item x="179"/>
        <item x="136"/>
        <item x="182"/>
        <item x="185"/>
        <item x="139"/>
        <item x="160"/>
        <item x="188"/>
        <item x="191"/>
        <item x="141"/>
        <item x="144"/>
        <item x="163"/>
        <item x="146"/>
        <item x="148"/>
        <item x="196"/>
        <item x="199"/>
        <item x="202"/>
        <item x="152"/>
        <item x="154"/>
        <item x="157"/>
        <item x="159"/>
        <item x="170"/>
        <item x="173"/>
        <item x="174"/>
        <item x="161"/>
        <item x="162"/>
        <item x="180"/>
        <item x="183"/>
        <item x="186"/>
        <item x="189"/>
        <item x="210"/>
        <item x="192"/>
        <item x="207"/>
        <item x="214"/>
        <item x="217"/>
        <item x="194"/>
        <item x="197"/>
        <item x="200"/>
        <item x="219"/>
        <item x="220"/>
        <item x="164"/>
        <item x="222"/>
        <item x="166"/>
        <item x="205"/>
        <item x="208"/>
        <item x="212"/>
        <item x="168"/>
        <item x="178"/>
        <item x="215"/>
        <item x="226"/>
        <item x="175"/>
        <item x="171"/>
        <item x="181"/>
        <item x="184"/>
        <item x="187"/>
        <item x="228"/>
        <item x="190"/>
        <item x="193"/>
        <item x="201"/>
        <item x="206"/>
        <item x="195"/>
        <item x="198"/>
        <item x="204"/>
        <item x="209"/>
        <item x="211"/>
        <item x="231"/>
        <item x="234"/>
        <item x="213"/>
        <item x="216"/>
        <item x="236"/>
        <item x="224"/>
        <item x="218"/>
        <item x="239"/>
        <item x="221"/>
        <item x="229"/>
        <item x="242"/>
        <item x="245"/>
        <item x="248"/>
        <item x="232"/>
        <item x="237"/>
        <item x="251"/>
        <item x="223"/>
        <item x="225"/>
        <item x="240"/>
        <item x="254"/>
        <item x="243"/>
        <item x="227"/>
        <item x="230"/>
        <item x="246"/>
        <item x="233"/>
        <item x="249"/>
        <item x="235"/>
        <item x="259"/>
        <item x="252"/>
        <item x="238"/>
        <item x="262"/>
        <item x="241"/>
        <item x="255"/>
        <item x="265"/>
        <item x="244"/>
        <item x="268"/>
        <item x="257"/>
        <item x="247"/>
        <item x="271"/>
        <item x="260"/>
        <item x="250"/>
        <item x="274"/>
        <item x="277"/>
        <item x="263"/>
        <item x="253"/>
        <item x="280"/>
        <item x="266"/>
        <item x="256"/>
        <item x="283"/>
        <item x="269"/>
        <item x="286"/>
        <item x="289"/>
        <item x="258"/>
        <item x="272"/>
        <item x="261"/>
        <item x="275"/>
        <item x="278"/>
        <item x="264"/>
        <item x="281"/>
        <item x="267"/>
        <item x="284"/>
        <item x="270"/>
        <item x="287"/>
        <item x="290"/>
        <item x="273"/>
        <item x="276"/>
        <item x="279"/>
        <item x="282"/>
        <item x="285"/>
        <item x="288"/>
        <item x="203"/>
        <item t="default"/>
      </items>
    </pivotField>
    <pivotField axis="axisPage" dataField="1" showAll="0">
      <items count="308">
        <item x="0"/>
        <item x="1"/>
        <item x="2"/>
        <item x="4"/>
        <item x="3"/>
        <item x="6"/>
        <item x="7"/>
        <item x="5"/>
        <item x="9"/>
        <item x="8"/>
        <item x="11"/>
        <item x="10"/>
        <item x="12"/>
        <item x="14"/>
        <item x="13"/>
        <item x="15"/>
        <item x="17"/>
        <item x="16"/>
        <item x="18"/>
        <item x="19"/>
        <item x="21"/>
        <item x="22"/>
        <item x="24"/>
        <item x="20"/>
        <item x="25"/>
        <item x="23"/>
        <item x="29"/>
        <item x="27"/>
        <item x="26"/>
        <item x="28"/>
        <item x="31"/>
        <item x="33"/>
        <item x="30"/>
        <item x="34"/>
        <item x="36"/>
        <item x="32"/>
        <item x="39"/>
        <item x="37"/>
        <item x="35"/>
        <item x="40"/>
        <item x="38"/>
        <item x="41"/>
        <item x="47"/>
        <item x="43"/>
        <item x="52"/>
        <item x="45"/>
        <item x="42"/>
        <item x="55"/>
        <item x="58"/>
        <item x="48"/>
        <item x="44"/>
        <item x="50"/>
        <item x="46"/>
        <item x="63"/>
        <item x="53"/>
        <item x="49"/>
        <item x="68"/>
        <item x="56"/>
        <item x="71"/>
        <item x="59"/>
        <item x="51"/>
        <item x="73"/>
        <item x="61"/>
        <item x="54"/>
        <item x="76"/>
        <item x="57"/>
        <item x="64"/>
        <item x="60"/>
        <item x="66"/>
        <item x="69"/>
        <item x="62"/>
        <item x="83"/>
        <item x="65"/>
        <item x="74"/>
        <item x="67"/>
        <item x="77"/>
        <item x="87"/>
        <item x="70"/>
        <item x="89"/>
        <item x="92"/>
        <item x="80"/>
        <item x="95"/>
        <item x="98"/>
        <item x="72"/>
        <item x="100"/>
        <item x="75"/>
        <item x="84"/>
        <item x="78"/>
        <item x="105"/>
        <item x="79"/>
        <item x="109"/>
        <item x="81"/>
        <item x="112"/>
        <item x="115"/>
        <item x="90"/>
        <item x="82"/>
        <item x="93"/>
        <item x="85"/>
        <item x="96"/>
        <item x="123"/>
        <item x="126"/>
        <item x="86"/>
        <item x="129"/>
        <item x="101"/>
        <item x="88"/>
        <item x="103"/>
        <item x="91"/>
        <item x="132"/>
        <item x="94"/>
        <item x="107"/>
        <item x="135"/>
        <item x="97"/>
        <item x="110"/>
        <item x="99"/>
        <item x="113"/>
        <item x="139"/>
        <item x="102"/>
        <item x="116"/>
        <item x="104"/>
        <item x="118"/>
        <item x="120"/>
        <item x="106"/>
        <item x="124"/>
        <item x="143"/>
        <item x="127"/>
        <item x="130"/>
        <item x="108"/>
        <item x="146"/>
        <item x="111"/>
        <item x="133"/>
        <item x="114"/>
        <item x="149"/>
        <item x="117"/>
        <item x="119"/>
        <item x="136"/>
        <item x="152"/>
        <item x="121"/>
        <item x="122"/>
        <item x="128"/>
        <item x="125"/>
        <item x="157"/>
        <item x="131"/>
        <item x="141"/>
        <item x="134"/>
        <item x="144"/>
        <item x="147"/>
        <item x="137"/>
        <item x="159"/>
        <item x="150"/>
        <item x="138"/>
        <item x="153"/>
        <item x="162"/>
        <item x="155"/>
        <item x="165"/>
        <item x="140"/>
        <item x="145"/>
        <item x="142"/>
        <item x="148"/>
        <item x="151"/>
        <item x="169"/>
        <item x="160"/>
        <item x="171"/>
        <item x="154"/>
        <item x="163"/>
        <item x="173"/>
        <item x="156"/>
        <item x="176"/>
        <item x="158"/>
        <item x="179"/>
        <item x="161"/>
        <item x="182"/>
        <item x="164"/>
        <item x="185"/>
        <item x="188"/>
        <item x="191"/>
        <item x="194"/>
        <item x="167"/>
        <item x="197"/>
        <item x="200"/>
        <item x="202"/>
        <item x="204"/>
        <item x="207"/>
        <item x="166"/>
        <item x="172"/>
        <item x="209"/>
        <item x="174"/>
        <item x="168"/>
        <item x="177"/>
        <item x="180"/>
        <item x="183"/>
        <item x="186"/>
        <item x="189"/>
        <item x="214"/>
        <item x="192"/>
        <item x="217"/>
        <item x="195"/>
        <item x="198"/>
        <item x="170"/>
        <item x="175"/>
        <item x="220"/>
        <item x="178"/>
        <item x="211"/>
        <item x="223"/>
        <item x="205"/>
        <item x="181"/>
        <item x="184"/>
        <item x="226"/>
        <item x="187"/>
        <item x="210"/>
        <item x="190"/>
        <item x="229"/>
        <item x="193"/>
        <item x="196"/>
        <item x="232"/>
        <item x="199"/>
        <item x="215"/>
        <item x="201"/>
        <item x="218"/>
        <item x="221"/>
        <item x="203"/>
        <item x="206"/>
        <item x="224"/>
        <item x="208"/>
        <item x="237"/>
        <item x="227"/>
        <item x="240"/>
        <item x="213"/>
        <item x="230"/>
        <item x="216"/>
        <item x="219"/>
        <item x="233"/>
        <item x="222"/>
        <item x="225"/>
        <item x="245"/>
        <item x="235"/>
        <item x="248"/>
        <item x="228"/>
        <item x="238"/>
        <item x="241"/>
        <item x="231"/>
        <item x="251"/>
        <item x="255"/>
        <item x="257"/>
        <item x="234"/>
        <item x="236"/>
        <item x="260"/>
        <item x="239"/>
        <item x="243"/>
        <item x="263"/>
        <item x="246"/>
        <item x="249"/>
        <item x="266"/>
        <item x="269"/>
        <item x="252"/>
        <item x="272"/>
        <item x="242"/>
        <item x="244"/>
        <item x="258"/>
        <item x="274"/>
        <item x="247"/>
        <item x="261"/>
        <item x="277"/>
        <item x="250"/>
        <item x="264"/>
        <item x="280"/>
        <item x="253"/>
        <item x="267"/>
        <item x="254"/>
        <item x="283"/>
        <item x="270"/>
        <item x="256"/>
        <item x="286"/>
        <item x="259"/>
        <item x="262"/>
        <item x="275"/>
        <item x="265"/>
        <item x="278"/>
        <item x="291"/>
        <item x="268"/>
        <item x="281"/>
        <item x="284"/>
        <item x="271"/>
        <item x="294"/>
        <item x="273"/>
        <item x="287"/>
        <item x="276"/>
        <item x="297"/>
        <item x="289"/>
        <item x="279"/>
        <item x="282"/>
        <item x="292"/>
        <item x="285"/>
        <item x="299"/>
        <item x="295"/>
        <item x="288"/>
        <item x="302"/>
        <item x="305"/>
        <item x="290"/>
        <item x="293"/>
        <item x="300"/>
        <item x="296"/>
        <item x="303"/>
        <item x="306"/>
        <item x="298"/>
        <item x="301"/>
        <item x="304"/>
        <item x="212"/>
        <item t="default"/>
      </items>
    </pivotField>
    <pivotField axis="axisPage" dataField="1" showAll="0">
      <items count="252">
        <item x="1"/>
        <item x="0"/>
        <item x="2"/>
        <item x="11"/>
        <item x="10"/>
        <item x="4"/>
        <item x="3"/>
        <item x="5"/>
        <item x="9"/>
        <item x="8"/>
        <item x="7"/>
        <item x="12"/>
        <item x="6"/>
        <item x="13"/>
        <item x="15"/>
        <item x="14"/>
        <item x="16"/>
        <item x="47"/>
        <item x="18"/>
        <item x="17"/>
        <item x="51"/>
        <item x="65"/>
        <item x="50"/>
        <item x="45"/>
        <item x="63"/>
        <item x="61"/>
        <item x="19"/>
        <item x="48"/>
        <item x="23"/>
        <item x="24"/>
        <item x="22"/>
        <item x="25"/>
        <item x="21"/>
        <item x="67"/>
        <item x="46"/>
        <item x="20"/>
        <item x="26"/>
        <item x="28"/>
        <item x="27"/>
        <item x="49"/>
        <item x="44"/>
        <item x="30"/>
        <item x="31"/>
        <item x="29"/>
        <item x="33"/>
        <item x="35"/>
        <item x="32"/>
        <item x="55"/>
        <item x="36"/>
        <item x="52"/>
        <item x="42"/>
        <item x="68"/>
        <item x="34"/>
        <item x="71"/>
        <item x="40"/>
        <item x="43"/>
        <item x="58"/>
        <item x="41"/>
        <item x="56"/>
        <item x="38"/>
        <item x="39"/>
        <item x="37"/>
        <item x="53"/>
        <item x="79"/>
        <item x="59"/>
        <item x="82"/>
        <item x="60"/>
        <item x="64"/>
        <item x="62"/>
        <item x="57"/>
        <item x="54"/>
        <item x="75"/>
        <item x="66"/>
        <item x="96"/>
        <item x="101"/>
        <item x="69"/>
        <item x="77"/>
        <item x="103"/>
        <item x="85"/>
        <item x="88"/>
        <item x="80"/>
        <item x="73"/>
        <item x="70"/>
        <item x="72"/>
        <item x="94"/>
        <item x="91"/>
        <item x="93"/>
        <item x="74"/>
        <item x="97"/>
        <item x="86"/>
        <item x="89"/>
        <item x="76"/>
        <item x="78"/>
        <item x="99"/>
        <item x="105"/>
        <item x="81"/>
        <item x="132"/>
        <item x="112"/>
        <item x="83"/>
        <item x="90"/>
        <item x="107"/>
        <item x="92"/>
        <item x="84"/>
        <item x="139"/>
        <item x="87"/>
        <item x="136"/>
        <item x="120"/>
        <item x="109"/>
        <item x="95"/>
        <item x="117"/>
        <item x="141"/>
        <item x="123"/>
        <item x="144"/>
        <item x="100"/>
        <item x="98"/>
        <item x="149"/>
        <item x="102"/>
        <item x="152"/>
        <item x="113"/>
        <item x="104"/>
        <item x="126"/>
        <item x="106"/>
        <item x="115"/>
        <item x="108"/>
        <item x="121"/>
        <item x="118"/>
        <item x="135"/>
        <item x="124"/>
        <item x="110"/>
        <item x="138"/>
        <item x="155"/>
        <item x="111"/>
        <item x="129"/>
        <item x="142"/>
        <item x="145"/>
        <item x="127"/>
        <item x="147"/>
        <item x="150"/>
        <item x="114"/>
        <item x="153"/>
        <item x="116"/>
        <item x="119"/>
        <item x="122"/>
        <item x="133"/>
        <item x="131"/>
        <item x="134"/>
        <item x="163"/>
        <item x="156"/>
        <item x="125"/>
        <item x="137"/>
        <item x="130"/>
        <item x="128"/>
        <item x="158"/>
        <item x="140"/>
        <item x="143"/>
        <item x="146"/>
        <item x="148"/>
        <item x="151"/>
        <item x="165"/>
        <item x="154"/>
        <item x="168"/>
        <item x="174"/>
        <item x="171"/>
        <item x="176"/>
        <item x="160"/>
        <item x="159"/>
        <item x="157"/>
        <item x="179"/>
        <item x="166"/>
        <item x="169"/>
        <item x="175"/>
        <item x="182"/>
        <item x="172"/>
        <item x="177"/>
        <item x="162"/>
        <item x="185"/>
        <item x="180"/>
        <item x="188"/>
        <item x="164"/>
        <item x="167"/>
        <item x="191"/>
        <item x="183"/>
        <item x="173"/>
        <item x="186"/>
        <item x="170"/>
        <item x="189"/>
        <item x="178"/>
        <item x="192"/>
        <item x="196"/>
        <item x="181"/>
        <item x="199"/>
        <item x="202"/>
        <item x="194"/>
        <item x="207"/>
        <item x="184"/>
        <item x="187"/>
        <item x="210"/>
        <item x="204"/>
        <item x="212"/>
        <item x="197"/>
        <item x="190"/>
        <item x="200"/>
        <item x="193"/>
        <item x="208"/>
        <item x="205"/>
        <item x="213"/>
        <item x="215"/>
        <item x="195"/>
        <item x="225"/>
        <item x="228"/>
        <item x="198"/>
        <item x="201"/>
        <item x="217"/>
        <item x="233"/>
        <item x="236"/>
        <item x="206"/>
        <item x="219"/>
        <item x="222"/>
        <item x="203"/>
        <item x="244"/>
        <item x="209"/>
        <item x="249"/>
        <item x="211"/>
        <item x="226"/>
        <item x="214"/>
        <item x="229"/>
        <item x="231"/>
        <item x="216"/>
        <item x="234"/>
        <item x="220"/>
        <item x="237"/>
        <item x="223"/>
        <item x="240"/>
        <item x="242"/>
        <item x="245"/>
        <item x="247"/>
        <item x="250"/>
        <item x="224"/>
        <item x="218"/>
        <item x="227"/>
        <item x="230"/>
        <item x="232"/>
        <item x="221"/>
        <item x="235"/>
        <item x="238"/>
        <item x="239"/>
        <item x="241"/>
        <item x="243"/>
        <item x="246"/>
        <item x="248"/>
        <item x="161"/>
        <item t="default"/>
      </items>
    </pivotField>
    <pivotField axis="axisPage" dataField="1" showAll="0">
      <items count="304">
        <item x="1"/>
        <item x="2"/>
        <item x="4"/>
        <item x="0"/>
        <item x="6"/>
        <item x="5"/>
        <item x="7"/>
        <item x="3"/>
        <item x="9"/>
        <item x="8"/>
        <item x="11"/>
        <item x="12"/>
        <item x="10"/>
        <item x="14"/>
        <item x="15"/>
        <item x="13"/>
        <item x="17"/>
        <item x="18"/>
        <item x="16"/>
        <item x="20"/>
        <item x="21"/>
        <item x="19"/>
        <item x="23"/>
        <item x="24"/>
        <item x="22"/>
        <item x="26"/>
        <item x="27"/>
        <item x="25"/>
        <item x="29"/>
        <item x="30"/>
        <item x="28"/>
        <item x="32"/>
        <item x="33"/>
        <item x="31"/>
        <item x="34"/>
        <item x="36"/>
        <item x="35"/>
        <item x="37"/>
        <item x="39"/>
        <item x="40"/>
        <item x="38"/>
        <item x="43"/>
        <item x="42"/>
        <item x="41"/>
        <item x="44"/>
        <item x="46"/>
        <item x="45"/>
        <item x="48"/>
        <item x="47"/>
        <item x="50"/>
        <item x="51"/>
        <item x="49"/>
        <item x="53"/>
        <item x="52"/>
        <item x="56"/>
        <item x="55"/>
        <item x="58"/>
        <item x="54"/>
        <item x="57"/>
        <item x="60"/>
        <item x="62"/>
        <item x="59"/>
        <item x="61"/>
        <item x="63"/>
        <item x="64"/>
        <item x="65"/>
        <item x="67"/>
        <item x="66"/>
        <item x="69"/>
        <item x="70"/>
        <item x="72"/>
        <item x="68"/>
        <item x="73"/>
        <item x="77"/>
        <item x="71"/>
        <item x="75"/>
        <item x="78"/>
        <item x="82"/>
        <item x="85"/>
        <item x="80"/>
        <item x="74"/>
        <item x="76"/>
        <item x="90"/>
        <item x="83"/>
        <item x="79"/>
        <item x="86"/>
        <item x="94"/>
        <item x="97"/>
        <item x="88"/>
        <item x="100"/>
        <item x="81"/>
        <item x="92"/>
        <item x="105"/>
        <item x="84"/>
        <item x="95"/>
        <item x="98"/>
        <item x="112"/>
        <item x="87"/>
        <item x="101"/>
        <item x="115"/>
        <item x="91"/>
        <item x="103"/>
        <item x="89"/>
        <item x="106"/>
        <item x="120"/>
        <item x="123"/>
        <item x="125"/>
        <item x="93"/>
        <item x="108"/>
        <item x="96"/>
        <item x="129"/>
        <item x="110"/>
        <item x="132"/>
        <item x="113"/>
        <item x="99"/>
        <item x="116"/>
        <item x="102"/>
        <item x="118"/>
        <item x="104"/>
        <item x="121"/>
        <item x="139"/>
        <item x="126"/>
        <item x="142"/>
        <item x="128"/>
        <item x="130"/>
        <item x="107"/>
        <item x="109"/>
        <item x="147"/>
        <item x="111"/>
        <item x="134"/>
        <item x="150"/>
        <item x="114"/>
        <item x="136"/>
        <item x="154"/>
        <item x="117"/>
        <item x="122"/>
        <item x="119"/>
        <item x="157"/>
        <item x="124"/>
        <item x="140"/>
        <item x="160"/>
        <item x="127"/>
        <item x="143"/>
        <item x="163"/>
        <item x="145"/>
        <item x="148"/>
        <item x="131"/>
        <item x="151"/>
        <item x="133"/>
        <item x="152"/>
        <item x="170"/>
        <item x="155"/>
        <item x="135"/>
        <item x="173"/>
        <item x="158"/>
        <item x="137"/>
        <item x="177"/>
        <item x="161"/>
        <item x="179"/>
        <item x="182"/>
        <item x="138"/>
        <item x="164"/>
        <item x="141"/>
        <item x="166"/>
        <item x="146"/>
        <item x="168"/>
        <item x="144"/>
        <item x="187"/>
        <item x="149"/>
        <item x="171"/>
        <item x="192"/>
        <item x="153"/>
        <item x="195"/>
        <item x="198"/>
        <item x="156"/>
        <item x="201"/>
        <item x="174"/>
        <item x="180"/>
        <item x="159"/>
        <item x="183"/>
        <item x="208"/>
        <item x="185"/>
        <item x="162"/>
        <item x="213"/>
        <item x="165"/>
        <item x="167"/>
        <item x="188"/>
        <item x="190"/>
        <item x="169"/>
        <item x="172"/>
        <item x="193"/>
        <item x="196"/>
        <item x="219"/>
        <item x="199"/>
        <item x="202"/>
        <item x="222"/>
        <item x="225"/>
        <item x="204"/>
        <item x="206"/>
        <item x="209"/>
        <item x="178"/>
        <item x="175"/>
        <item x="211"/>
        <item x="176"/>
        <item x="181"/>
        <item x="214"/>
        <item x="184"/>
        <item x="231"/>
        <item x="228"/>
        <item x="217"/>
        <item x="234"/>
        <item x="186"/>
        <item x="220"/>
        <item x="189"/>
        <item x="226"/>
        <item x="223"/>
        <item x="237"/>
        <item x="191"/>
        <item x="194"/>
        <item x="197"/>
        <item x="229"/>
        <item x="232"/>
        <item x="240"/>
        <item x="200"/>
        <item x="203"/>
        <item x="205"/>
        <item x="235"/>
        <item x="207"/>
        <item x="210"/>
        <item x="246"/>
        <item x="212"/>
        <item x="238"/>
        <item x="218"/>
        <item x="224"/>
        <item x="241"/>
        <item x="221"/>
        <item x="216"/>
        <item x="227"/>
        <item x="251"/>
        <item x="230"/>
        <item x="247"/>
        <item x="233"/>
        <item x="249"/>
        <item x="244"/>
        <item x="257"/>
        <item x="236"/>
        <item x="252"/>
        <item x="254"/>
        <item x="239"/>
        <item x="262"/>
        <item x="242"/>
        <item x="265"/>
        <item x="258"/>
        <item x="243"/>
        <item x="245"/>
        <item x="260"/>
        <item x="248"/>
        <item x="268"/>
        <item x="250"/>
        <item x="263"/>
        <item x="266"/>
        <item x="271"/>
        <item x="253"/>
        <item x="255"/>
        <item x="269"/>
        <item x="256"/>
        <item x="276"/>
        <item x="272"/>
        <item x="259"/>
        <item x="279"/>
        <item x="261"/>
        <item x="274"/>
        <item x="264"/>
        <item x="277"/>
        <item x="280"/>
        <item x="267"/>
        <item x="287"/>
        <item x="282"/>
        <item x="290"/>
        <item x="270"/>
        <item x="273"/>
        <item x="293"/>
        <item x="275"/>
        <item x="285"/>
        <item x="296"/>
        <item x="288"/>
        <item x="278"/>
        <item x="299"/>
        <item x="291"/>
        <item x="302"/>
        <item x="281"/>
        <item x="294"/>
        <item x="283"/>
        <item x="297"/>
        <item x="284"/>
        <item x="300"/>
        <item x="286"/>
        <item x="289"/>
        <item x="292"/>
        <item x="295"/>
        <item x="298"/>
        <item x="301"/>
        <item x="215"/>
        <item t="default"/>
      </items>
    </pivotField>
    <pivotField axis="axisPage" dataField="1" showAll="0">
      <items count="293">
        <item x="1"/>
        <item x="2"/>
        <item x="4"/>
        <item x="0"/>
        <item x="5"/>
        <item x="7"/>
        <item x="3"/>
        <item x="6"/>
        <item x="8"/>
        <item x="10"/>
        <item x="9"/>
        <item x="11"/>
        <item x="13"/>
        <item x="12"/>
        <item x="14"/>
        <item x="16"/>
        <item x="17"/>
        <item x="15"/>
        <item x="20"/>
        <item x="19"/>
        <item x="23"/>
        <item x="22"/>
        <item x="18"/>
        <item x="26"/>
        <item x="25"/>
        <item x="21"/>
        <item x="28"/>
        <item x="24"/>
        <item x="27"/>
        <item x="30"/>
        <item x="31"/>
        <item x="29"/>
        <item x="32"/>
        <item x="33"/>
        <item x="34"/>
        <item x="36"/>
        <item x="37"/>
        <item x="39"/>
        <item x="35"/>
        <item x="38"/>
        <item x="40"/>
        <item x="42"/>
        <item x="41"/>
        <item x="43"/>
        <item x="46"/>
        <item x="49"/>
        <item x="45"/>
        <item x="52"/>
        <item x="55"/>
        <item x="58"/>
        <item x="44"/>
        <item x="48"/>
        <item x="61"/>
        <item x="51"/>
        <item x="64"/>
        <item x="54"/>
        <item x="57"/>
        <item x="47"/>
        <item x="66"/>
        <item x="60"/>
        <item x="63"/>
        <item x="69"/>
        <item x="50"/>
        <item x="68"/>
        <item x="53"/>
        <item x="56"/>
        <item x="65"/>
        <item x="72"/>
        <item x="67"/>
        <item x="59"/>
        <item x="62"/>
        <item x="71"/>
        <item x="74"/>
        <item x="70"/>
        <item x="73"/>
        <item x="77"/>
        <item x="76"/>
        <item x="80"/>
        <item x="75"/>
        <item x="79"/>
        <item x="83"/>
        <item x="82"/>
        <item x="78"/>
        <item x="90"/>
        <item x="85"/>
        <item x="87"/>
        <item x="86"/>
        <item x="81"/>
        <item x="89"/>
        <item x="91"/>
        <item x="84"/>
        <item x="88"/>
        <item x="94"/>
        <item x="92"/>
        <item x="93"/>
        <item x="96"/>
        <item x="97"/>
        <item x="95"/>
        <item x="99"/>
        <item x="100"/>
        <item x="98"/>
        <item x="102"/>
        <item x="103"/>
        <item x="101"/>
        <item x="104"/>
        <item x="106"/>
        <item x="109"/>
        <item x="107"/>
        <item x="110"/>
        <item x="105"/>
        <item x="114"/>
        <item x="108"/>
        <item x="117"/>
        <item x="112"/>
        <item x="115"/>
        <item x="111"/>
        <item x="118"/>
        <item x="120"/>
        <item x="122"/>
        <item x="126"/>
        <item x="113"/>
        <item x="124"/>
        <item x="116"/>
        <item x="131"/>
        <item x="127"/>
        <item x="119"/>
        <item x="129"/>
        <item x="121"/>
        <item x="123"/>
        <item x="132"/>
        <item x="134"/>
        <item x="125"/>
        <item x="139"/>
        <item x="128"/>
        <item x="144"/>
        <item x="146"/>
        <item x="135"/>
        <item x="130"/>
        <item x="149"/>
        <item x="151"/>
        <item x="140"/>
        <item x="137"/>
        <item x="153"/>
        <item x="142"/>
        <item x="147"/>
        <item x="133"/>
        <item x="150"/>
        <item x="138"/>
        <item x="156"/>
        <item x="154"/>
        <item x="141"/>
        <item x="136"/>
        <item x="159"/>
        <item x="145"/>
        <item x="162"/>
        <item x="157"/>
        <item x="143"/>
        <item x="148"/>
        <item x="160"/>
        <item x="152"/>
        <item x="163"/>
        <item x="155"/>
        <item x="165"/>
        <item x="158"/>
        <item x="166"/>
        <item x="161"/>
        <item x="171"/>
        <item x="168"/>
        <item x="174"/>
        <item x="164"/>
        <item x="169"/>
        <item x="177"/>
        <item x="172"/>
        <item x="179"/>
        <item x="182"/>
        <item x="185"/>
        <item x="167"/>
        <item x="170"/>
        <item x="175"/>
        <item x="173"/>
        <item x="189"/>
        <item x="180"/>
        <item x="176"/>
        <item x="184"/>
        <item x="192"/>
        <item x="195"/>
        <item x="187"/>
        <item x="199"/>
        <item x="202"/>
        <item x="204"/>
        <item x="207"/>
        <item x="210"/>
        <item x="190"/>
        <item x="193"/>
        <item x="196"/>
        <item x="178"/>
        <item x="181"/>
        <item x="200"/>
        <item x="183"/>
        <item x="205"/>
        <item x="208"/>
        <item x="211"/>
        <item x="215"/>
        <item x="228"/>
        <item x="186"/>
        <item x="223"/>
        <item x="218"/>
        <item x="231"/>
        <item x="188"/>
        <item x="236"/>
        <item x="217"/>
        <item x="221"/>
        <item x="191"/>
        <item x="226"/>
        <item x="224"/>
        <item x="229"/>
        <item x="194"/>
        <item x="197"/>
        <item x="233"/>
        <item x="240"/>
        <item x="248"/>
        <item x="198"/>
        <item x="201"/>
        <item x="251"/>
        <item x="203"/>
        <item x="212"/>
        <item x="220"/>
        <item x="206"/>
        <item x="214"/>
        <item x="209"/>
        <item x="254"/>
        <item x="219"/>
        <item x="216"/>
        <item x="222"/>
        <item x="238"/>
        <item x="225"/>
        <item x="227"/>
        <item x="242"/>
        <item x="230"/>
        <item x="244"/>
        <item x="259"/>
        <item x="232"/>
        <item x="246"/>
        <item x="249"/>
        <item x="252"/>
        <item x="262"/>
        <item x="255"/>
        <item x="257"/>
        <item x="265"/>
        <item x="235"/>
        <item x="260"/>
        <item x="237"/>
        <item x="239"/>
        <item x="234"/>
        <item x="263"/>
        <item x="241"/>
        <item x="243"/>
        <item x="267"/>
        <item x="245"/>
        <item x="247"/>
        <item x="250"/>
        <item x="253"/>
        <item x="256"/>
        <item x="258"/>
        <item x="274"/>
        <item x="268"/>
        <item x="277"/>
        <item x="261"/>
        <item x="270"/>
        <item x="284"/>
        <item x="264"/>
        <item x="272"/>
        <item x="275"/>
        <item x="278"/>
        <item x="280"/>
        <item x="287"/>
        <item x="282"/>
        <item x="266"/>
        <item x="290"/>
        <item x="285"/>
        <item x="269"/>
        <item x="271"/>
        <item x="288"/>
        <item x="273"/>
        <item x="276"/>
        <item x="291"/>
        <item x="279"/>
        <item x="281"/>
        <item x="283"/>
        <item x="286"/>
        <item x="289"/>
        <item x="213"/>
        <item t="default"/>
      </items>
    </pivotField>
    <pivotField axis="axisPage" dataField="1" showAll="0">
      <items count="283">
        <item x="8"/>
        <item x="10"/>
        <item x="11"/>
        <item x="9"/>
        <item x="5"/>
        <item x="13"/>
        <item x="7"/>
        <item x="6"/>
        <item x="12"/>
        <item x="4"/>
        <item x="1"/>
        <item x="2"/>
        <item x="3"/>
        <item x="0"/>
        <item x="14"/>
        <item x="16"/>
        <item x="15"/>
        <item x="17"/>
        <item x="19"/>
        <item x="18"/>
        <item x="21"/>
        <item x="22"/>
        <item x="20"/>
        <item x="26"/>
        <item x="24"/>
        <item x="28"/>
        <item x="25"/>
        <item x="23"/>
        <item x="27"/>
        <item x="29"/>
        <item x="35"/>
        <item x="30"/>
        <item x="32"/>
        <item x="33"/>
        <item x="31"/>
        <item x="34"/>
        <item x="37"/>
        <item x="41"/>
        <item x="43"/>
        <item x="36"/>
        <item x="45"/>
        <item x="39"/>
        <item x="40"/>
        <item x="42"/>
        <item x="46"/>
        <item x="44"/>
        <item x="38"/>
        <item x="48"/>
        <item x="49"/>
        <item x="53"/>
        <item x="51"/>
        <item x="52"/>
        <item x="47"/>
        <item x="54"/>
        <item x="50"/>
        <item x="55"/>
        <item x="62"/>
        <item x="56"/>
        <item x="57"/>
        <item x="59"/>
        <item x="61"/>
        <item x="60"/>
        <item x="64"/>
        <item x="58"/>
        <item x="72"/>
        <item x="69"/>
        <item x="65"/>
        <item x="67"/>
        <item x="63"/>
        <item x="70"/>
        <item x="68"/>
        <item x="74"/>
        <item x="71"/>
        <item x="66"/>
        <item x="75"/>
        <item x="73"/>
        <item x="77"/>
        <item x="78"/>
        <item x="76"/>
        <item x="80"/>
        <item x="81"/>
        <item x="79"/>
        <item x="83"/>
        <item x="84"/>
        <item x="82"/>
        <item x="86"/>
        <item x="89"/>
        <item x="87"/>
        <item x="90"/>
        <item x="85"/>
        <item x="88"/>
        <item x="92"/>
        <item x="93"/>
        <item x="100"/>
        <item x="91"/>
        <item x="105"/>
        <item x="97"/>
        <item x="102"/>
        <item x="95"/>
        <item x="107"/>
        <item x="104"/>
        <item x="94"/>
        <item x="98"/>
        <item x="111"/>
        <item x="106"/>
        <item x="117"/>
        <item x="114"/>
        <item x="103"/>
        <item x="96"/>
        <item x="99"/>
        <item x="112"/>
        <item x="108"/>
        <item x="109"/>
        <item x="115"/>
        <item x="101"/>
        <item x="118"/>
        <item x="110"/>
        <item x="113"/>
        <item x="116"/>
        <item x="120"/>
        <item x="124"/>
        <item x="127"/>
        <item x="119"/>
        <item x="132"/>
        <item x="122"/>
        <item x="125"/>
        <item x="130"/>
        <item x="121"/>
        <item x="128"/>
        <item x="133"/>
        <item x="123"/>
        <item x="139"/>
        <item x="135"/>
        <item x="129"/>
        <item x="126"/>
        <item x="137"/>
        <item x="146"/>
        <item x="131"/>
        <item x="134"/>
        <item x="140"/>
        <item x="136"/>
        <item x="142"/>
        <item x="144"/>
        <item x="138"/>
        <item x="151"/>
        <item x="153"/>
        <item x="148"/>
        <item x="141"/>
        <item x="145"/>
        <item x="143"/>
        <item x="156"/>
        <item x="147"/>
        <item x="154"/>
        <item x="162"/>
        <item x="165"/>
        <item x="157"/>
        <item x="159"/>
        <item x="150"/>
        <item x="152"/>
        <item x="163"/>
        <item x="155"/>
        <item x="167"/>
        <item x="164"/>
        <item x="161"/>
        <item x="160"/>
        <item x="168"/>
        <item x="149"/>
        <item x="166"/>
        <item x="158"/>
        <item x="170"/>
        <item x="171"/>
        <item x="169"/>
        <item x="173"/>
        <item x="174"/>
        <item x="172"/>
        <item x="176"/>
        <item x="179"/>
        <item x="177"/>
        <item x="182"/>
        <item x="180"/>
        <item x="175"/>
        <item x="178"/>
        <item x="183"/>
        <item x="181"/>
        <item x="185"/>
        <item x="186"/>
        <item x="184"/>
        <item x="187"/>
        <item x="188"/>
        <item x="189"/>
        <item x="191"/>
        <item x="190"/>
        <item x="193"/>
        <item x="195"/>
        <item x="194"/>
        <item x="213"/>
        <item x="196"/>
        <item x="215"/>
        <item x="198"/>
        <item x="216"/>
        <item x="214"/>
        <item x="197"/>
        <item x="217"/>
        <item x="212"/>
        <item x="202"/>
        <item x="207"/>
        <item x="211"/>
        <item x="210"/>
        <item x="206"/>
        <item x="204"/>
        <item x="208"/>
        <item x="199"/>
        <item x="219"/>
        <item x="209"/>
        <item x="205"/>
        <item x="222"/>
        <item x="203"/>
        <item x="201"/>
        <item x="220"/>
        <item x="223"/>
        <item x="218"/>
        <item x="221"/>
        <item x="225"/>
        <item x="200"/>
        <item x="228"/>
        <item x="226"/>
        <item x="229"/>
        <item x="227"/>
        <item x="224"/>
        <item x="231"/>
        <item x="230"/>
        <item x="233"/>
        <item x="234"/>
        <item x="232"/>
        <item x="236"/>
        <item x="235"/>
        <item x="238"/>
        <item x="237"/>
        <item x="240"/>
        <item x="241"/>
        <item x="239"/>
        <item x="243"/>
        <item x="244"/>
        <item x="242"/>
        <item x="249"/>
        <item x="246"/>
        <item x="248"/>
        <item x="247"/>
        <item x="245"/>
        <item x="251"/>
        <item x="252"/>
        <item x="250"/>
        <item x="253"/>
        <item x="254"/>
        <item x="258"/>
        <item x="259"/>
        <item x="255"/>
        <item x="257"/>
        <item x="256"/>
        <item x="260"/>
        <item x="262"/>
        <item x="261"/>
        <item x="263"/>
        <item x="265"/>
        <item x="264"/>
        <item x="266"/>
        <item x="268"/>
        <item x="267"/>
        <item x="269"/>
        <item x="271"/>
        <item x="270"/>
        <item x="272"/>
        <item x="274"/>
        <item x="273"/>
        <item x="275"/>
        <item x="276"/>
        <item x="278"/>
        <item x="277"/>
        <item x="279"/>
        <item x="281"/>
        <item x="280"/>
        <item x="192"/>
        <item t="default"/>
      </items>
    </pivotField>
    <pivotField showAll="0"/>
    <pivotField showAll="0"/>
  </pivotFields>
  <rowFields count="1">
    <field x="1"/>
  </rowFields>
  <rowItems count="8">
    <i>
      <x v="4"/>
    </i>
    <i>
      <x v="5"/>
    </i>
    <i>
      <x v="6"/>
    </i>
    <i>
      <x v="7"/>
    </i>
    <i>
      <x v="8"/>
    </i>
    <i>
      <x v="9"/>
    </i>
    <i>
      <x v="10"/>
    </i>
    <i t="grand">
      <x/>
    </i>
  </rowItems>
  <colFields count="1">
    <field x="-2"/>
  </colFields>
  <colItems count="6">
    <i>
      <x/>
    </i>
    <i i="1">
      <x v="1"/>
    </i>
    <i i="2">
      <x v="2"/>
    </i>
    <i i="3">
      <x v="3"/>
    </i>
    <i i="4">
      <x v="4"/>
    </i>
    <i i="5">
      <x v="5"/>
    </i>
  </colItems>
  <pageFields count="7">
    <pageField fld="0" item="1" hier="-1"/>
    <pageField fld="22" hier="-1"/>
    <pageField fld="23" hier="-1"/>
    <pageField fld="25" hier="-1"/>
    <pageField fld="24" hier="-1"/>
    <pageField fld="26" hier="-1"/>
    <pageField fld="27" hier="-1"/>
  </pageFields>
  <dataFields count="6">
    <dataField name="Sum of Household goods and services" fld="22" baseField="0" baseItem="1"/>
    <dataField name="Sum of Health" fld="23" baseField="0" baseItem="1"/>
    <dataField name="Sum of Transport and communication" fld="24" baseField="0" baseItem="1"/>
    <dataField name="Sum of Recreation and amusement" fld="25" baseField="0" baseItem="1"/>
    <dataField name="Sum of Education" fld="26" baseField="0" baseItem="1"/>
    <dataField name="Sum of Personal care and effects" fld="27" baseField="0"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15:M23" firstHeaderRow="0" firstDataRow="1" firstDataCol="1" rowPageCount="13" colPageCount="1"/>
  <pivotFields count="30">
    <pivotField axis="axisPage" showAll="0">
      <items count="4">
        <item x="0"/>
        <item x="2"/>
        <item x="1"/>
        <item t="default"/>
      </items>
    </pivotField>
    <pivotField axis="axisRow" multipleItemSelectionAllowed="1" showAll="0">
      <items count="12">
        <item h="1" x="0"/>
        <item h="1" x="1"/>
        <item h="1" x="2"/>
        <item h="1" x="3"/>
        <item x="4"/>
        <item x="5"/>
        <item x="6"/>
        <item x="7"/>
        <item x="8"/>
        <item x="9"/>
        <item x="10"/>
        <item t="default"/>
      </items>
    </pivotField>
    <pivotField showAll="0"/>
    <pivotField axis="axisPage" dataField="1" showAll="0">
      <items count="254">
        <item x="0"/>
        <item x="2"/>
        <item x="3"/>
        <item x="6"/>
        <item x="5"/>
        <item x="1"/>
        <item x="11"/>
        <item x="8"/>
        <item x="10"/>
        <item x="13"/>
        <item x="4"/>
        <item x="16"/>
        <item x="15"/>
        <item x="7"/>
        <item x="19"/>
        <item x="9"/>
        <item x="18"/>
        <item x="12"/>
        <item x="21"/>
        <item x="24"/>
        <item x="23"/>
        <item x="14"/>
        <item x="26"/>
        <item x="27"/>
        <item x="17"/>
        <item x="29"/>
        <item x="20"/>
        <item x="30"/>
        <item x="22"/>
        <item x="25"/>
        <item x="32"/>
        <item x="35"/>
        <item x="34"/>
        <item x="28"/>
        <item x="38"/>
        <item x="37"/>
        <item x="43"/>
        <item x="31"/>
        <item x="40"/>
        <item x="42"/>
        <item x="45"/>
        <item x="33"/>
        <item x="47"/>
        <item x="48"/>
        <item x="51"/>
        <item x="36"/>
        <item x="39"/>
        <item x="53"/>
        <item x="50"/>
        <item x="41"/>
        <item x="56"/>
        <item x="44"/>
        <item x="55"/>
        <item x="46"/>
        <item x="58"/>
        <item x="60"/>
        <item x="62"/>
        <item x="65"/>
        <item x="66"/>
        <item x="64"/>
        <item x="49"/>
        <item x="68"/>
        <item x="61"/>
        <item x="67"/>
        <item x="54"/>
        <item x="63"/>
        <item x="59"/>
        <item x="57"/>
        <item x="69"/>
        <item x="52"/>
        <item x="83"/>
        <item x="72"/>
        <item x="70"/>
        <item x="74"/>
        <item x="71"/>
        <item x="76"/>
        <item x="87"/>
        <item x="73"/>
        <item x="75"/>
        <item x="79"/>
        <item x="81"/>
        <item x="84"/>
        <item x="77"/>
        <item x="78"/>
        <item x="80"/>
        <item x="82"/>
        <item x="85"/>
        <item x="88"/>
        <item x="93"/>
        <item x="90"/>
        <item x="86"/>
        <item x="96"/>
        <item x="89"/>
        <item x="94"/>
        <item x="91"/>
        <item x="99"/>
        <item x="97"/>
        <item x="92"/>
        <item x="95"/>
        <item x="100"/>
        <item x="102"/>
        <item x="98"/>
        <item x="105"/>
        <item x="103"/>
        <item x="101"/>
        <item x="109"/>
        <item x="106"/>
        <item x="112"/>
        <item x="111"/>
        <item x="104"/>
        <item x="110"/>
        <item x="107"/>
        <item x="113"/>
        <item x="108"/>
        <item x="120"/>
        <item x="114"/>
        <item x="116"/>
        <item x="125"/>
        <item x="128"/>
        <item x="118"/>
        <item x="115"/>
        <item x="131"/>
        <item x="117"/>
        <item x="121"/>
        <item x="138"/>
        <item x="123"/>
        <item x="126"/>
        <item x="119"/>
        <item x="129"/>
        <item x="132"/>
        <item x="122"/>
        <item x="124"/>
        <item x="141"/>
        <item x="127"/>
        <item x="130"/>
        <item x="136"/>
        <item x="144"/>
        <item x="133"/>
        <item x="134"/>
        <item x="139"/>
        <item x="135"/>
        <item x="150"/>
        <item x="147"/>
        <item x="142"/>
        <item x="137"/>
        <item x="148"/>
        <item x="145"/>
        <item x="153"/>
        <item x="140"/>
        <item x="146"/>
        <item x="143"/>
        <item x="149"/>
        <item x="156"/>
        <item x="151"/>
        <item x="152"/>
        <item x="158"/>
        <item x="159"/>
        <item x="154"/>
        <item x="161"/>
        <item x="155"/>
        <item x="163"/>
        <item x="157"/>
        <item x="164"/>
        <item x="196"/>
        <item x="160"/>
        <item x="166"/>
        <item x="162"/>
        <item x="169"/>
        <item x="168"/>
        <item x="172"/>
        <item x="194"/>
        <item x="171"/>
        <item x="165"/>
        <item x="174"/>
        <item x="191"/>
        <item x="167"/>
        <item x="188"/>
        <item x="206"/>
        <item x="170"/>
        <item x="199"/>
        <item x="203"/>
        <item x="173"/>
        <item x="205"/>
        <item x="201"/>
        <item x="193"/>
        <item x="185"/>
        <item x="175"/>
        <item x="208"/>
        <item x="190"/>
        <item x="182"/>
        <item x="197"/>
        <item x="179"/>
        <item x="210"/>
        <item x="187"/>
        <item x="177"/>
        <item x="198"/>
        <item x="184"/>
        <item x="195"/>
        <item x="202"/>
        <item x="200"/>
        <item x="204"/>
        <item x="212"/>
        <item x="181"/>
        <item x="192"/>
        <item x="214"/>
        <item x="207"/>
        <item x="215"/>
        <item x="189"/>
        <item x="209"/>
        <item x="217"/>
        <item x="186"/>
        <item x="183"/>
        <item x="176"/>
        <item x="211"/>
        <item x="213"/>
        <item x="180"/>
        <item x="219"/>
        <item x="216"/>
        <item x="222"/>
        <item x="221"/>
        <item x="224"/>
        <item x="225"/>
        <item x="218"/>
        <item x="227"/>
        <item x="220"/>
        <item x="223"/>
        <item x="226"/>
        <item x="228"/>
        <item x="230"/>
        <item x="229"/>
        <item x="231"/>
        <item x="233"/>
        <item x="234"/>
        <item x="232"/>
        <item x="236"/>
        <item x="235"/>
        <item x="237"/>
        <item x="239"/>
        <item x="238"/>
        <item x="240"/>
        <item x="242"/>
        <item x="241"/>
        <item x="251"/>
        <item x="244"/>
        <item x="252"/>
        <item x="245"/>
        <item x="243"/>
        <item x="246"/>
        <item x="249"/>
        <item x="248"/>
        <item x="247"/>
        <item x="250"/>
        <item x="178"/>
        <item t="default"/>
      </items>
    </pivotField>
    <pivotField axis="axisPage" dataField="1" showAll="0">
      <items count="292">
        <item x="0"/>
        <item x="2"/>
        <item x="3"/>
        <item x="6"/>
        <item x="1"/>
        <item x="9"/>
        <item x="8"/>
        <item x="12"/>
        <item x="5"/>
        <item x="11"/>
        <item x="14"/>
        <item x="7"/>
        <item x="15"/>
        <item x="4"/>
        <item x="10"/>
        <item x="13"/>
        <item x="17"/>
        <item x="20"/>
        <item x="23"/>
        <item x="28"/>
        <item x="27"/>
        <item x="19"/>
        <item x="29"/>
        <item x="25"/>
        <item x="30"/>
        <item x="22"/>
        <item x="33"/>
        <item x="26"/>
        <item x="32"/>
        <item x="36"/>
        <item x="24"/>
        <item x="18"/>
        <item x="35"/>
        <item x="38"/>
        <item x="16"/>
        <item x="39"/>
        <item x="21"/>
        <item x="34"/>
        <item x="41"/>
        <item x="37"/>
        <item x="31"/>
        <item x="50"/>
        <item x="44"/>
        <item x="55"/>
        <item x="47"/>
        <item x="43"/>
        <item x="59"/>
        <item x="52"/>
        <item x="57"/>
        <item x="54"/>
        <item x="46"/>
        <item x="40"/>
        <item x="49"/>
        <item x="58"/>
        <item x="62"/>
        <item x="51"/>
        <item x="60"/>
        <item x="56"/>
        <item x="42"/>
        <item x="53"/>
        <item x="45"/>
        <item x="61"/>
        <item x="63"/>
        <item x="65"/>
        <item x="48"/>
        <item x="67"/>
        <item x="64"/>
        <item x="79"/>
        <item x="78"/>
        <item x="66"/>
        <item x="80"/>
        <item x="82"/>
        <item x="68"/>
        <item x="81"/>
        <item x="77"/>
        <item x="74"/>
        <item x="76"/>
        <item x="71"/>
        <item x="75"/>
        <item x="70"/>
        <item x="73"/>
        <item x="83"/>
        <item x="86"/>
        <item x="85"/>
        <item x="88"/>
        <item x="72"/>
        <item x="69"/>
        <item x="87"/>
        <item x="90"/>
        <item x="84"/>
        <item x="89"/>
        <item x="92"/>
        <item x="113"/>
        <item x="110"/>
        <item x="93"/>
        <item x="107"/>
        <item x="105"/>
        <item x="112"/>
        <item x="109"/>
        <item x="106"/>
        <item x="104"/>
        <item x="115"/>
        <item x="108"/>
        <item x="111"/>
        <item x="96"/>
        <item x="119"/>
        <item x="102"/>
        <item x="114"/>
        <item x="118"/>
        <item x="95"/>
        <item x="91"/>
        <item x="117"/>
        <item x="99"/>
        <item x="116"/>
        <item x="103"/>
        <item x="98"/>
        <item x="120"/>
        <item x="101"/>
        <item x="122"/>
        <item x="133"/>
        <item x="130"/>
        <item x="94"/>
        <item x="135"/>
        <item x="132"/>
        <item x="136"/>
        <item x="137"/>
        <item x="134"/>
        <item x="131"/>
        <item x="128"/>
        <item x="138"/>
        <item x="129"/>
        <item x="140"/>
        <item x="142"/>
        <item x="123"/>
        <item x="141"/>
        <item x="97"/>
        <item x="121"/>
        <item x="100"/>
        <item x="144"/>
        <item x="139"/>
        <item x="143"/>
        <item x="158"/>
        <item x="125"/>
        <item x="127"/>
        <item x="156"/>
        <item x="161"/>
        <item x="153"/>
        <item x="146"/>
        <item x="155"/>
        <item x="157"/>
        <item x="164"/>
        <item x="154"/>
        <item x="147"/>
        <item x="145"/>
        <item x="126"/>
        <item x="150"/>
        <item x="124"/>
        <item x="152"/>
        <item x="151"/>
        <item x="162"/>
        <item x="149"/>
        <item x="167"/>
        <item x="159"/>
        <item x="148"/>
        <item x="170"/>
        <item x="165"/>
        <item x="160"/>
        <item x="173"/>
        <item x="168"/>
        <item x="163"/>
        <item x="171"/>
        <item x="166"/>
        <item x="169"/>
        <item x="172"/>
        <item x="175"/>
        <item x="184"/>
        <item x="176"/>
        <item x="186"/>
        <item x="174"/>
        <item x="178"/>
        <item x="189"/>
        <item x="181"/>
        <item x="185"/>
        <item x="187"/>
        <item x="190"/>
        <item x="188"/>
        <item x="183"/>
        <item x="179"/>
        <item x="192"/>
        <item x="182"/>
        <item x="193"/>
        <item x="177"/>
        <item x="191"/>
        <item x="180"/>
        <item x="195"/>
        <item x="196"/>
        <item x="194"/>
        <item x="201"/>
        <item x="202"/>
        <item x="197"/>
        <item x="199"/>
        <item x="200"/>
        <item x="198"/>
        <item x="210"/>
        <item x="224"/>
        <item x="213"/>
        <item x="226"/>
        <item x="212"/>
        <item x="207"/>
        <item x="221"/>
        <item x="219"/>
        <item x="216"/>
        <item x="215"/>
        <item x="227"/>
        <item x="223"/>
        <item x="204"/>
        <item x="209"/>
        <item x="218"/>
        <item x="225"/>
        <item x="229"/>
        <item x="206"/>
        <item x="211"/>
        <item x="214"/>
        <item x="222"/>
        <item x="217"/>
        <item x="220"/>
        <item x="252"/>
        <item x="205"/>
        <item x="228"/>
        <item x="208"/>
        <item x="231"/>
        <item x="254"/>
        <item x="232"/>
        <item x="253"/>
        <item x="251"/>
        <item x="247"/>
        <item x="235"/>
        <item x="234"/>
        <item x="256"/>
        <item x="249"/>
        <item x="237"/>
        <item x="244"/>
        <item x="250"/>
        <item x="241"/>
        <item x="230"/>
        <item x="243"/>
        <item x="271"/>
        <item x="233"/>
        <item x="238"/>
        <item x="246"/>
        <item x="248"/>
        <item x="255"/>
        <item x="236"/>
        <item x="272"/>
        <item x="273"/>
        <item x="240"/>
        <item x="281"/>
        <item x="278"/>
        <item x="242"/>
        <item x="287"/>
        <item x="257"/>
        <item x="284"/>
        <item x="245"/>
        <item x="276"/>
        <item x="283"/>
        <item x="275"/>
        <item x="288"/>
        <item x="280"/>
        <item x="260"/>
        <item x="259"/>
        <item x="268"/>
        <item x="239"/>
        <item x="289"/>
        <item x="261"/>
        <item x="286"/>
        <item x="282"/>
        <item x="270"/>
        <item x="279"/>
        <item x="274"/>
        <item x="290"/>
        <item x="262"/>
        <item x="277"/>
        <item x="285"/>
        <item x="258"/>
        <item x="264"/>
        <item x="269"/>
        <item x="265"/>
        <item x="267"/>
        <item x="263"/>
        <item x="266"/>
        <item x="203"/>
        <item t="default"/>
      </items>
    </pivotField>
    <pivotField axis="axisPage" dataField="1" showAll="0">
      <items count="284">
        <item x="13"/>
        <item x="14"/>
        <item x="12"/>
        <item x="10"/>
        <item x="11"/>
        <item x="9"/>
        <item x="0"/>
        <item x="16"/>
        <item x="6"/>
        <item x="2"/>
        <item x="3"/>
        <item x="17"/>
        <item x="20"/>
        <item x="8"/>
        <item x="69"/>
        <item x="22"/>
        <item x="19"/>
        <item x="23"/>
        <item x="15"/>
        <item x="24"/>
        <item x="21"/>
        <item x="5"/>
        <item x="1"/>
        <item x="7"/>
        <item x="26"/>
        <item x="65"/>
        <item x="18"/>
        <item x="43"/>
        <item x="68"/>
        <item x="25"/>
        <item x="70"/>
        <item x="46"/>
        <item x="76"/>
        <item x="47"/>
        <item x="44"/>
        <item x="45"/>
        <item x="27"/>
        <item x="53"/>
        <item x="51"/>
        <item x="66"/>
        <item x="4"/>
        <item x="67"/>
        <item x="52"/>
        <item x="48"/>
        <item x="50"/>
        <item x="49"/>
        <item x="42"/>
        <item x="54"/>
        <item x="29"/>
        <item x="64"/>
        <item x="62"/>
        <item x="55"/>
        <item x="75"/>
        <item x="30"/>
        <item x="33"/>
        <item x="39"/>
        <item x="77"/>
        <item x="71"/>
        <item x="41"/>
        <item x="63"/>
        <item x="36"/>
        <item x="74"/>
        <item x="40"/>
        <item x="72"/>
        <item x="78"/>
        <item x="57"/>
        <item x="73"/>
        <item x="59"/>
        <item x="38"/>
        <item x="28"/>
        <item x="56"/>
        <item x="79"/>
        <item x="91"/>
        <item x="32"/>
        <item x="89"/>
        <item x="61"/>
        <item x="35"/>
        <item x="92"/>
        <item x="37"/>
        <item x="90"/>
        <item x="81"/>
        <item x="88"/>
        <item x="94"/>
        <item x="117"/>
        <item x="115"/>
        <item x="58"/>
        <item x="82"/>
        <item x="60"/>
        <item x="116"/>
        <item x="93"/>
        <item x="80"/>
        <item x="85"/>
        <item x="118"/>
        <item x="119"/>
        <item x="96"/>
        <item x="114"/>
        <item x="31"/>
        <item x="84"/>
        <item x="87"/>
        <item x="113"/>
        <item x="112"/>
        <item x="121"/>
        <item x="97"/>
        <item x="123"/>
        <item x="120"/>
        <item x="34"/>
        <item x="122"/>
        <item x="104"/>
        <item x="105"/>
        <item x="86"/>
        <item x="102"/>
        <item x="103"/>
        <item x="143"/>
        <item x="95"/>
        <item x="124"/>
        <item x="126"/>
        <item x="125"/>
        <item x="101"/>
        <item x="109"/>
        <item x="83"/>
        <item x="111"/>
        <item x="99"/>
        <item x="110"/>
        <item x="152"/>
        <item x="108"/>
        <item x="155"/>
        <item x="145"/>
        <item x="100"/>
        <item x="144"/>
        <item x="106"/>
        <item x="168"/>
        <item x="154"/>
        <item x="107"/>
        <item x="153"/>
        <item x="140"/>
        <item x="147"/>
        <item x="142"/>
        <item x="169"/>
        <item x="170"/>
        <item x="98"/>
        <item x="146"/>
        <item x="158"/>
        <item x="156"/>
        <item x="159"/>
        <item x="157"/>
        <item x="151"/>
        <item x="162"/>
        <item x="141"/>
        <item x="172"/>
        <item x="175"/>
        <item x="167"/>
        <item x="161"/>
        <item x="149"/>
        <item x="150"/>
        <item x="148"/>
        <item x="177"/>
        <item x="137"/>
        <item x="139"/>
        <item x="164"/>
        <item x="138"/>
        <item x="171"/>
        <item x="127"/>
        <item x="136"/>
        <item x="174"/>
        <item x="160"/>
        <item x="178"/>
        <item x="166"/>
        <item x="176"/>
        <item x="173"/>
        <item x="180"/>
        <item x="129"/>
        <item x="163"/>
        <item x="134"/>
        <item x="135"/>
        <item x="133"/>
        <item x="179"/>
        <item x="130"/>
        <item x="132"/>
        <item x="165"/>
        <item x="182"/>
        <item x="131"/>
        <item x="128"/>
        <item x="195"/>
        <item x="192"/>
        <item x="194"/>
        <item x="181"/>
        <item x="197"/>
        <item x="193"/>
        <item x="199"/>
        <item x="183"/>
        <item x="203"/>
        <item x="189"/>
        <item x="185"/>
        <item x="201"/>
        <item x="191"/>
        <item x="196"/>
        <item x="205"/>
        <item x="190"/>
        <item x="186"/>
        <item x="184"/>
        <item x="202"/>
        <item x="200"/>
        <item x="188"/>
        <item x="187"/>
        <item x="204"/>
        <item x="206"/>
        <item x="208"/>
        <item x="255"/>
        <item x="219"/>
        <item x="222"/>
        <item x="221"/>
        <item x="254"/>
        <item x="253"/>
        <item x="224"/>
        <item x="220"/>
        <item x="207"/>
        <item x="223"/>
        <item x="251"/>
        <item x="252"/>
        <item x="250"/>
        <item x="216"/>
        <item x="261"/>
        <item x="225"/>
        <item x="218"/>
        <item x="264"/>
        <item x="263"/>
        <item x="256"/>
        <item x="266"/>
        <item x="217"/>
        <item x="238"/>
        <item x="227"/>
        <item x="262"/>
        <item x="257"/>
        <item x="265"/>
        <item x="280"/>
        <item x="239"/>
        <item x="240"/>
        <item x="209"/>
        <item x="267"/>
        <item x="237"/>
        <item x="279"/>
        <item x="236"/>
        <item x="226"/>
        <item x="282"/>
        <item x="212"/>
        <item x="211"/>
        <item x="277"/>
        <item x="235"/>
        <item x="258"/>
        <item x="260"/>
        <item x="214"/>
        <item x="241"/>
        <item x="247"/>
        <item x="249"/>
        <item x="248"/>
        <item x="234"/>
        <item x="259"/>
        <item x="281"/>
        <item x="210"/>
        <item x="278"/>
        <item x="243"/>
        <item x="244"/>
        <item x="213"/>
        <item x="215"/>
        <item x="246"/>
        <item x="228"/>
        <item x="242"/>
        <item x="245"/>
        <item x="268"/>
        <item x="231"/>
        <item x="230"/>
        <item x="270"/>
        <item x="233"/>
        <item x="229"/>
        <item x="269"/>
        <item x="232"/>
        <item x="271"/>
        <item x="273"/>
        <item x="272"/>
        <item x="274"/>
        <item x="276"/>
        <item x="275"/>
        <item x="198"/>
        <item t="default"/>
      </items>
    </pivotField>
    <pivotField axis="axisPage" dataField="1" showAll="0">
      <items count="270">
        <item x="1"/>
        <item x="4"/>
        <item x="6"/>
        <item x="2"/>
        <item x="9"/>
        <item x="0"/>
        <item x="7"/>
        <item x="3"/>
        <item x="12"/>
        <item x="5"/>
        <item x="10"/>
        <item x="8"/>
        <item x="13"/>
        <item x="15"/>
        <item x="11"/>
        <item x="16"/>
        <item x="14"/>
        <item x="18"/>
        <item x="17"/>
        <item x="20"/>
        <item x="19"/>
        <item x="24"/>
        <item x="22"/>
        <item x="21"/>
        <item x="25"/>
        <item x="23"/>
        <item x="27"/>
        <item x="28"/>
        <item x="26"/>
        <item x="30"/>
        <item x="32"/>
        <item x="29"/>
        <item x="33"/>
        <item x="31"/>
        <item x="34"/>
        <item x="36"/>
        <item x="35"/>
        <item x="37"/>
        <item x="38"/>
        <item x="39"/>
        <item x="40"/>
        <item x="42"/>
        <item x="41"/>
        <item x="43"/>
        <item x="45"/>
        <item x="44"/>
        <item x="46"/>
        <item x="48"/>
        <item x="47"/>
        <item x="49"/>
        <item x="51"/>
        <item x="50"/>
        <item x="52"/>
        <item x="54"/>
        <item x="53"/>
        <item x="55"/>
        <item x="57"/>
        <item x="59"/>
        <item x="56"/>
        <item x="58"/>
        <item x="61"/>
        <item x="60"/>
        <item x="63"/>
        <item x="64"/>
        <item x="62"/>
        <item x="66"/>
        <item x="65"/>
        <item x="68"/>
        <item x="69"/>
        <item x="67"/>
        <item x="71"/>
        <item x="70"/>
        <item x="76"/>
        <item x="73"/>
        <item x="74"/>
        <item x="77"/>
        <item x="83"/>
        <item x="72"/>
        <item x="75"/>
        <item x="79"/>
        <item x="81"/>
        <item x="78"/>
        <item x="80"/>
        <item x="82"/>
        <item x="88"/>
        <item x="90"/>
        <item x="84"/>
        <item x="86"/>
        <item x="91"/>
        <item x="85"/>
        <item x="95"/>
        <item x="89"/>
        <item x="87"/>
        <item x="93"/>
        <item x="98"/>
        <item x="92"/>
        <item x="96"/>
        <item x="101"/>
        <item x="104"/>
        <item x="94"/>
        <item x="99"/>
        <item x="109"/>
        <item x="112"/>
        <item x="115"/>
        <item x="102"/>
        <item x="97"/>
        <item x="105"/>
        <item x="107"/>
        <item x="100"/>
        <item x="110"/>
        <item x="121"/>
        <item x="113"/>
        <item x="116"/>
        <item x="103"/>
        <item x="118"/>
        <item x="106"/>
        <item x="120"/>
        <item x="108"/>
        <item x="111"/>
        <item x="114"/>
        <item x="117"/>
        <item x="124"/>
        <item x="119"/>
        <item x="126"/>
        <item x="122"/>
        <item x="127"/>
        <item x="123"/>
        <item x="131"/>
        <item x="129"/>
        <item x="125"/>
        <item x="133"/>
        <item x="128"/>
        <item x="136"/>
        <item x="130"/>
        <item x="138"/>
        <item x="134"/>
        <item x="144"/>
        <item x="132"/>
        <item x="148"/>
        <item x="137"/>
        <item x="151"/>
        <item x="139"/>
        <item x="145"/>
        <item x="141"/>
        <item x="143"/>
        <item x="146"/>
        <item x="135"/>
        <item x="149"/>
        <item x="161"/>
        <item x="160"/>
        <item x="140"/>
        <item x="142"/>
        <item x="152"/>
        <item x="162"/>
        <item x="154"/>
        <item x="147"/>
        <item x="156"/>
        <item x="158"/>
        <item x="150"/>
        <item x="153"/>
        <item x="163"/>
        <item x="155"/>
        <item x="157"/>
        <item x="159"/>
        <item x="164"/>
        <item x="166"/>
        <item x="165"/>
        <item x="167"/>
        <item x="169"/>
        <item x="168"/>
        <item x="171"/>
        <item x="173"/>
        <item x="170"/>
        <item x="176"/>
        <item x="174"/>
        <item x="172"/>
        <item x="177"/>
        <item x="175"/>
        <item x="179"/>
        <item x="180"/>
        <item x="178"/>
        <item x="182"/>
        <item x="183"/>
        <item x="181"/>
        <item x="185"/>
        <item x="186"/>
        <item x="184"/>
        <item x="188"/>
        <item x="189"/>
        <item x="187"/>
        <item x="193"/>
        <item x="194"/>
        <item x="196"/>
        <item x="197"/>
        <item x="198"/>
        <item x="195"/>
        <item x="199"/>
        <item x="201"/>
        <item x="200"/>
        <item x="202"/>
        <item x="205"/>
        <item x="204"/>
        <item x="206"/>
        <item x="207"/>
        <item x="203"/>
        <item x="209"/>
        <item x="191"/>
        <item x="190"/>
        <item x="210"/>
        <item x="208"/>
        <item x="212"/>
        <item x="213"/>
        <item x="211"/>
        <item x="214"/>
        <item x="216"/>
        <item x="219"/>
        <item x="215"/>
        <item x="218"/>
        <item x="221"/>
        <item x="220"/>
        <item x="217"/>
        <item x="223"/>
        <item x="222"/>
        <item x="224"/>
        <item x="226"/>
        <item x="225"/>
        <item x="228"/>
        <item x="227"/>
        <item x="230"/>
        <item x="229"/>
        <item x="231"/>
        <item x="233"/>
        <item x="232"/>
        <item x="234"/>
        <item x="236"/>
        <item x="235"/>
        <item x="237"/>
        <item x="239"/>
        <item x="238"/>
        <item x="241"/>
        <item x="242"/>
        <item x="240"/>
        <item x="244"/>
        <item x="243"/>
        <item x="245"/>
        <item x="247"/>
        <item x="246"/>
        <item x="248"/>
        <item x="250"/>
        <item x="249"/>
        <item x="251"/>
        <item x="252"/>
        <item x="253"/>
        <item x="254"/>
        <item x="256"/>
        <item x="255"/>
        <item x="257"/>
        <item x="259"/>
        <item x="258"/>
        <item x="260"/>
        <item x="262"/>
        <item x="261"/>
        <item x="263"/>
        <item x="265"/>
        <item x="264"/>
        <item x="267"/>
        <item x="268"/>
        <item x="266"/>
        <item x="192"/>
        <item t="default"/>
      </items>
    </pivotField>
    <pivotField axis="axisPage" dataField="1" showAll="0">
      <items count="258">
        <item x="18"/>
        <item x="16"/>
        <item x="13"/>
        <item x="23"/>
        <item x="10"/>
        <item x="25"/>
        <item x="33"/>
        <item x="7"/>
        <item x="36"/>
        <item x="32"/>
        <item x="50"/>
        <item x="39"/>
        <item x="27"/>
        <item x="1"/>
        <item x="4"/>
        <item x="46"/>
        <item x="14"/>
        <item x="17"/>
        <item x="19"/>
        <item x="11"/>
        <item x="21"/>
        <item x="57"/>
        <item x="8"/>
        <item x="2"/>
        <item x="61"/>
        <item x="12"/>
        <item x="5"/>
        <item x="9"/>
        <item x="15"/>
        <item x="64"/>
        <item x="0"/>
        <item x="6"/>
        <item x="67"/>
        <item x="20"/>
        <item x="34"/>
        <item x="3"/>
        <item x="28"/>
        <item x="37"/>
        <item x="72"/>
        <item x="30"/>
        <item x="22"/>
        <item x="51"/>
        <item x="24"/>
        <item x="42"/>
        <item x="44"/>
        <item x="47"/>
        <item x="83"/>
        <item x="53"/>
        <item x="26"/>
        <item x="31"/>
        <item x="55"/>
        <item x="58"/>
        <item x="35"/>
        <item x="29"/>
        <item x="87"/>
        <item x="38"/>
        <item x="62"/>
        <item x="76"/>
        <item x="40"/>
        <item x="49"/>
        <item x="41"/>
        <item x="43"/>
        <item x="48"/>
        <item x="45"/>
        <item x="68"/>
        <item x="52"/>
        <item x="65"/>
        <item x="70"/>
        <item x="54"/>
        <item x="56"/>
        <item x="59"/>
        <item x="60"/>
        <item x="98"/>
        <item x="74"/>
        <item x="109"/>
        <item x="66"/>
        <item x="69"/>
        <item x="63"/>
        <item x="104"/>
        <item x="85"/>
        <item x="71"/>
        <item x="84"/>
        <item x="77"/>
        <item x="88"/>
        <item x="116"/>
        <item x="79"/>
        <item x="81"/>
        <item x="73"/>
        <item x="118"/>
        <item x="121"/>
        <item x="91"/>
        <item x="123"/>
        <item x="125"/>
        <item x="130"/>
        <item x="93"/>
        <item x="95"/>
        <item x="132"/>
        <item x="75"/>
        <item x="99"/>
        <item x="110"/>
        <item x="86"/>
        <item x="78"/>
        <item x="108"/>
        <item x="82"/>
        <item x="89"/>
        <item x="106"/>
        <item x="80"/>
        <item x="115"/>
        <item x="102"/>
        <item x="105"/>
        <item x="141"/>
        <item x="90"/>
        <item x="92"/>
        <item x="94"/>
        <item x="122"/>
        <item x="112"/>
        <item x="113"/>
        <item x="96"/>
        <item x="111"/>
        <item x="126"/>
        <item x="97"/>
        <item x="107"/>
        <item x="114"/>
        <item x="147"/>
        <item x="100"/>
        <item x="138"/>
        <item x="101"/>
        <item x="103"/>
        <item x="133"/>
        <item x="142"/>
        <item x="149"/>
        <item x="135"/>
        <item x="120"/>
        <item x="117"/>
        <item x="119"/>
        <item x="124"/>
        <item x="127"/>
        <item x="137"/>
        <item x="128"/>
        <item x="129"/>
        <item x="136"/>
        <item x="139"/>
        <item x="140"/>
        <item x="134"/>
        <item x="143"/>
        <item x="131"/>
        <item x="144"/>
        <item x="145"/>
        <item x="150"/>
        <item x="146"/>
        <item x="152"/>
        <item x="155"/>
        <item x="148"/>
        <item x="153"/>
        <item x="158"/>
        <item x="156"/>
        <item x="160"/>
        <item x="151"/>
        <item x="164"/>
        <item x="157"/>
        <item x="167"/>
        <item x="154"/>
        <item x="170"/>
        <item x="161"/>
        <item x="172"/>
        <item x="165"/>
        <item x="159"/>
        <item x="168"/>
        <item x="175"/>
        <item x="163"/>
        <item x="166"/>
        <item x="173"/>
        <item x="169"/>
        <item x="178"/>
        <item x="171"/>
        <item x="176"/>
        <item x="181"/>
        <item x="174"/>
        <item x="179"/>
        <item x="177"/>
        <item x="182"/>
        <item x="184"/>
        <item x="180"/>
        <item x="187"/>
        <item x="185"/>
        <item x="190"/>
        <item x="183"/>
        <item x="188"/>
        <item x="255"/>
        <item x="186"/>
        <item x="252"/>
        <item x="193"/>
        <item x="256"/>
        <item x="191"/>
        <item x="199"/>
        <item x="215"/>
        <item x="217"/>
        <item x="196"/>
        <item x="254"/>
        <item x="212"/>
        <item x="253"/>
        <item x="202"/>
        <item x="189"/>
        <item x="209"/>
        <item x="206"/>
        <item x="239"/>
        <item x="246"/>
        <item x="251"/>
        <item x="194"/>
        <item x="244"/>
        <item x="250"/>
        <item x="237"/>
        <item x="220"/>
        <item x="200"/>
        <item x="234"/>
        <item x="249"/>
        <item x="248"/>
        <item x="197"/>
        <item x="192"/>
        <item x="216"/>
        <item x="232"/>
        <item x="218"/>
        <item x="223"/>
        <item x="240"/>
        <item x="247"/>
        <item x="213"/>
        <item x="203"/>
        <item x="245"/>
        <item x="229"/>
        <item x="198"/>
        <item x="242"/>
        <item x="226"/>
        <item x="210"/>
        <item x="195"/>
        <item x="207"/>
        <item x="201"/>
        <item x="238"/>
        <item x="235"/>
        <item x="214"/>
        <item x="243"/>
        <item x="241"/>
        <item x="236"/>
        <item x="221"/>
        <item x="204"/>
        <item x="211"/>
        <item x="233"/>
        <item x="208"/>
        <item x="205"/>
        <item x="224"/>
        <item x="230"/>
        <item x="231"/>
        <item x="227"/>
        <item x="219"/>
        <item x="222"/>
        <item x="228"/>
        <item x="225"/>
        <item x="162"/>
        <item t="default"/>
      </items>
    </pivotField>
    <pivotField axis="axisPage" dataField="1" showAll="0">
      <items count="282">
        <item x="1"/>
        <item x="4"/>
        <item x="2"/>
        <item x="5"/>
        <item x="0"/>
        <item x="3"/>
        <item x="7"/>
        <item x="8"/>
        <item x="6"/>
        <item x="26"/>
        <item x="25"/>
        <item x="12"/>
        <item x="9"/>
        <item x="22"/>
        <item x="11"/>
        <item x="15"/>
        <item x="14"/>
        <item x="10"/>
        <item x="23"/>
        <item x="27"/>
        <item x="29"/>
        <item x="18"/>
        <item x="13"/>
        <item x="17"/>
        <item x="21"/>
        <item x="24"/>
        <item x="20"/>
        <item x="33"/>
        <item x="16"/>
        <item x="19"/>
        <item x="32"/>
        <item x="30"/>
        <item x="34"/>
        <item x="35"/>
        <item x="36"/>
        <item x="31"/>
        <item x="28"/>
        <item x="38"/>
        <item x="96"/>
        <item x="39"/>
        <item x="95"/>
        <item x="37"/>
        <item x="99"/>
        <item x="93"/>
        <item x="66"/>
        <item x="69"/>
        <item x="61"/>
        <item x="64"/>
        <item x="58"/>
        <item x="90"/>
        <item x="71"/>
        <item x="85"/>
        <item x="87"/>
        <item x="55"/>
        <item x="97"/>
        <item x="40"/>
        <item x="62"/>
        <item x="46"/>
        <item x="42"/>
        <item x="67"/>
        <item x="43"/>
        <item x="59"/>
        <item x="94"/>
        <item x="41"/>
        <item x="56"/>
        <item x="72"/>
        <item x="45"/>
        <item x="91"/>
        <item x="48"/>
        <item x="86"/>
        <item x="63"/>
        <item x="60"/>
        <item x="57"/>
        <item x="88"/>
        <item x="49"/>
        <item x="44"/>
        <item x="118"/>
        <item x="68"/>
        <item x="119"/>
        <item x="51"/>
        <item x="54"/>
        <item x="84"/>
        <item x="65"/>
        <item x="74"/>
        <item x="77"/>
        <item x="70"/>
        <item x="53"/>
        <item x="47"/>
        <item x="122"/>
        <item x="92"/>
        <item x="98"/>
        <item x="89"/>
        <item x="80"/>
        <item x="75"/>
        <item x="78"/>
        <item x="52"/>
        <item x="81"/>
        <item x="120"/>
        <item x="83"/>
        <item x="79"/>
        <item x="82"/>
        <item x="102"/>
        <item x="50"/>
        <item x="150"/>
        <item x="76"/>
        <item x="73"/>
        <item x="115"/>
        <item x="101"/>
        <item x="148"/>
        <item x="130"/>
        <item x="123"/>
        <item x="177"/>
        <item x="105"/>
        <item x="117"/>
        <item x="111"/>
        <item x="103"/>
        <item x="113"/>
        <item x="145"/>
        <item x="106"/>
        <item x="125"/>
        <item x="116"/>
        <item x="108"/>
        <item x="133"/>
        <item x="104"/>
        <item x="140"/>
        <item x="178"/>
        <item x="128"/>
        <item x="109"/>
        <item x="131"/>
        <item x="100"/>
        <item x="126"/>
        <item x="114"/>
        <item x="107"/>
        <item x="121"/>
        <item x="112"/>
        <item x="135"/>
        <item x="174"/>
        <item x="124"/>
        <item x="129"/>
        <item x="171"/>
        <item x="110"/>
        <item x="197"/>
        <item x="132"/>
        <item x="151"/>
        <item x="143"/>
        <item x="127"/>
        <item x="146"/>
        <item x="175"/>
        <item x="137"/>
        <item x="176"/>
        <item x="153"/>
        <item x="141"/>
        <item x="198"/>
        <item x="196"/>
        <item x="181"/>
        <item x="179"/>
        <item x="188"/>
        <item x="134"/>
        <item x="194"/>
        <item x="195"/>
        <item x="173"/>
        <item x="172"/>
        <item x="138"/>
        <item x="191"/>
        <item x="211"/>
        <item x="155"/>
        <item x="169"/>
        <item x="184"/>
        <item x="180"/>
        <item x="190"/>
        <item x="142"/>
        <item x="183"/>
        <item x="202"/>
        <item x="205"/>
        <item x="147"/>
        <item x="144"/>
        <item x="193"/>
        <item x="212"/>
        <item x="139"/>
        <item x="149"/>
        <item x="136"/>
        <item x="210"/>
        <item x="192"/>
        <item x="152"/>
        <item x="214"/>
        <item x="166"/>
        <item x="189"/>
        <item x="199"/>
        <item x="157"/>
        <item x="186"/>
        <item x="204"/>
        <item x="209"/>
        <item x="170"/>
        <item x="216"/>
        <item x="182"/>
        <item x="208"/>
        <item x="160"/>
        <item x="242"/>
        <item x="167"/>
        <item x="201"/>
        <item x="239"/>
        <item x="163"/>
        <item x="213"/>
        <item x="233"/>
        <item x="154"/>
        <item x="164"/>
        <item x="165"/>
        <item x="158"/>
        <item x="218"/>
        <item x="187"/>
        <item x="215"/>
        <item x="162"/>
        <item x="168"/>
        <item x="203"/>
        <item x="161"/>
        <item x="185"/>
        <item x="241"/>
        <item x="206"/>
        <item x="207"/>
        <item x="243"/>
        <item x="270"/>
        <item x="156"/>
        <item x="238"/>
        <item x="235"/>
        <item x="232"/>
        <item x="217"/>
        <item x="159"/>
        <item x="245"/>
        <item x="228"/>
        <item x="269"/>
        <item x="240"/>
        <item x="225"/>
        <item x="265"/>
        <item x="236"/>
        <item x="268"/>
        <item x="244"/>
        <item x="237"/>
        <item x="271"/>
        <item x="219"/>
        <item x="267"/>
        <item x="234"/>
        <item x="231"/>
        <item x="263"/>
        <item x="222"/>
        <item x="266"/>
        <item x="264"/>
        <item x="230"/>
        <item x="260"/>
        <item x="221"/>
        <item x="227"/>
        <item x="262"/>
        <item x="252"/>
        <item x="224"/>
        <item x="272"/>
        <item x="261"/>
        <item x="249"/>
        <item x="220"/>
        <item x="278"/>
        <item x="257"/>
        <item x="274"/>
        <item x="254"/>
        <item x="246"/>
        <item x="229"/>
        <item x="251"/>
        <item x="226"/>
        <item x="273"/>
        <item x="280"/>
        <item x="223"/>
        <item x="248"/>
        <item x="259"/>
        <item x="275"/>
        <item x="253"/>
        <item x="256"/>
        <item x="250"/>
        <item x="279"/>
        <item x="247"/>
        <item x="277"/>
        <item x="258"/>
        <item x="276"/>
        <item x="255"/>
        <item x="200"/>
        <item t="default"/>
      </items>
    </pivotField>
    <pivotField axis="axisPage" dataField="1" showAll="0">
      <items count="313">
        <item x="6"/>
        <item x="0"/>
        <item x="2"/>
        <item x="3"/>
        <item x="1"/>
        <item x="5"/>
        <item x="8"/>
        <item x="7"/>
        <item x="4"/>
        <item x="10"/>
        <item x="11"/>
        <item x="9"/>
        <item x="38"/>
        <item x="13"/>
        <item x="41"/>
        <item x="39"/>
        <item x="37"/>
        <item x="42"/>
        <item x="40"/>
        <item x="14"/>
        <item x="134"/>
        <item x="35"/>
        <item x="136"/>
        <item x="135"/>
        <item x="138"/>
        <item x="139"/>
        <item x="133"/>
        <item x="137"/>
        <item x="43"/>
        <item x="45"/>
        <item x="131"/>
        <item x="44"/>
        <item x="140"/>
        <item x="36"/>
        <item x="142"/>
        <item x="12"/>
        <item x="143"/>
        <item x="34"/>
        <item x="47"/>
        <item x="132"/>
        <item x="144"/>
        <item x="16"/>
        <item x="46"/>
        <item x="141"/>
        <item x="77"/>
        <item x="173"/>
        <item x="75"/>
        <item x="107"/>
        <item x="72"/>
        <item x="80"/>
        <item x="79"/>
        <item x="196"/>
        <item x="145"/>
        <item x="17"/>
        <item x="48"/>
        <item x="74"/>
        <item x="198"/>
        <item x="108"/>
        <item x="105"/>
        <item x="194"/>
        <item x="106"/>
        <item x="78"/>
        <item x="82"/>
        <item x="195"/>
        <item x="76"/>
        <item x="197"/>
        <item x="193"/>
        <item x="73"/>
        <item x="50"/>
        <item x="69"/>
        <item x="192"/>
        <item x="174"/>
        <item x="71"/>
        <item x="147"/>
        <item x="200"/>
        <item x="109"/>
        <item x="70"/>
        <item x="171"/>
        <item x="111"/>
        <item x="172"/>
        <item x="83"/>
        <item x="81"/>
        <item x="191"/>
        <item x="110"/>
        <item x="169"/>
        <item x="49"/>
        <item x="175"/>
        <item x="170"/>
        <item x="254"/>
        <item x="20"/>
        <item x="85"/>
        <item x="19"/>
        <item x="102"/>
        <item x="66"/>
        <item x="68"/>
        <item x="203"/>
        <item x="86"/>
        <item x="304"/>
        <item x="67"/>
        <item x="199"/>
        <item x="104"/>
        <item x="112"/>
        <item x="130"/>
        <item x="129"/>
        <item x="146"/>
        <item x="168"/>
        <item x="308"/>
        <item x="302"/>
        <item x="202"/>
        <item x="176"/>
        <item x="15"/>
        <item x="178"/>
        <item x="177"/>
        <item x="103"/>
        <item x="257"/>
        <item x="32"/>
        <item x="88"/>
        <item x="190"/>
        <item x="33"/>
        <item x="100"/>
        <item x="31"/>
        <item x="84"/>
        <item x="189"/>
        <item x="187"/>
        <item x="256"/>
        <item x="310"/>
        <item x="232"/>
        <item x="101"/>
        <item x="126"/>
        <item x="184"/>
        <item x="123"/>
        <item x="250"/>
        <item x="186"/>
        <item x="51"/>
        <item x="299"/>
        <item x="166"/>
        <item x="125"/>
        <item x="128"/>
        <item x="185"/>
        <item x="113"/>
        <item x="148"/>
        <item x="167"/>
        <item x="22"/>
        <item x="63"/>
        <item x="165"/>
        <item x="227"/>
        <item x="65"/>
        <item x="114"/>
        <item x="306"/>
        <item x="260"/>
        <item x="124"/>
        <item x="188"/>
        <item x="64"/>
        <item x="87"/>
        <item x="89"/>
        <item x="263"/>
        <item x="23"/>
        <item x="179"/>
        <item x="153"/>
        <item x="127"/>
        <item x="97"/>
        <item x="60"/>
        <item x="259"/>
        <item x="278"/>
        <item x="181"/>
        <item x="207"/>
        <item x="182"/>
        <item x="233"/>
        <item x="155"/>
        <item x="62"/>
        <item x="120"/>
        <item x="156"/>
        <item x="183"/>
        <item x="91"/>
        <item x="53"/>
        <item x="117"/>
        <item x="99"/>
        <item x="57"/>
        <item x="92"/>
        <item x="122"/>
        <item x="180"/>
        <item x="150"/>
        <item x="61"/>
        <item x="116"/>
        <item x="301"/>
        <item x="252"/>
        <item x="206"/>
        <item x="96"/>
        <item x="154"/>
        <item x="18"/>
        <item x="162"/>
        <item x="54"/>
        <item x="201"/>
        <item x="164"/>
        <item x="59"/>
        <item x="94"/>
        <item x="265"/>
        <item x="158"/>
        <item x="229"/>
        <item x="151"/>
        <item x="163"/>
        <item x="210"/>
        <item x="121"/>
        <item x="262"/>
        <item x="98"/>
        <item x="25"/>
        <item x="224"/>
        <item x="119"/>
        <item x="90"/>
        <item x="95"/>
        <item x="253"/>
        <item x="281"/>
        <item x="255"/>
        <item x="279"/>
        <item x="228"/>
        <item x="284"/>
        <item x="209"/>
        <item x="159"/>
        <item x="56"/>
        <item x="93"/>
        <item x="58"/>
        <item x="277"/>
        <item x="204"/>
        <item x="266"/>
        <item x="226"/>
        <item x="234"/>
        <item x="27"/>
        <item x="297"/>
        <item x="272"/>
        <item x="52"/>
        <item x="289"/>
        <item x="157"/>
        <item x="115"/>
        <item x="161"/>
        <item x="24"/>
        <item x="283"/>
        <item x="149"/>
        <item x="303"/>
        <item x="305"/>
        <item x="307"/>
        <item x="258"/>
        <item x="291"/>
        <item x="21"/>
        <item x="28"/>
        <item x="300"/>
        <item x="212"/>
        <item x="118"/>
        <item x="152"/>
        <item x="309"/>
        <item x="230"/>
        <item x="205"/>
        <item x="251"/>
        <item x="225"/>
        <item x="55"/>
        <item x="288"/>
        <item x="286"/>
        <item x="30"/>
        <item x="264"/>
        <item x="26"/>
        <item x="269"/>
        <item x="294"/>
        <item x="311"/>
        <item x="160"/>
        <item x="268"/>
        <item x="261"/>
        <item x="237"/>
        <item x="247"/>
        <item x="274"/>
        <item x="214"/>
        <item x="208"/>
        <item x="280"/>
        <item x="215"/>
        <item x="221"/>
        <item x="293"/>
        <item x="235"/>
        <item x="211"/>
        <item x="29"/>
        <item x="249"/>
        <item x="223"/>
        <item x="276"/>
        <item x="271"/>
        <item x="217"/>
        <item x="296"/>
        <item x="238"/>
        <item x="236"/>
        <item x="282"/>
        <item x="275"/>
        <item x="298"/>
        <item x="248"/>
        <item x="213"/>
        <item x="222"/>
        <item x="287"/>
        <item x="240"/>
        <item x="218"/>
        <item x="285"/>
        <item x="290"/>
        <item x="267"/>
        <item x="216"/>
        <item x="220"/>
        <item x="273"/>
        <item x="292"/>
        <item x="241"/>
        <item x="244"/>
        <item x="239"/>
        <item x="295"/>
        <item x="270"/>
        <item x="243"/>
        <item x="246"/>
        <item x="219"/>
        <item x="245"/>
        <item x="242"/>
        <item x="231"/>
        <item t="default"/>
      </items>
    </pivotField>
    <pivotField axis="axisPage" dataField="1" showAll="0">
      <items count="266">
        <item x="7"/>
        <item x="4"/>
        <item x="9"/>
        <item x="18"/>
        <item x="8"/>
        <item x="15"/>
        <item x="10"/>
        <item x="5"/>
        <item x="12"/>
        <item x="6"/>
        <item x="1"/>
        <item x="3"/>
        <item x="2"/>
        <item x="0"/>
        <item x="13"/>
        <item x="16"/>
        <item x="19"/>
        <item x="11"/>
        <item x="14"/>
        <item x="22"/>
        <item x="17"/>
        <item x="28"/>
        <item x="20"/>
        <item x="24"/>
        <item x="21"/>
        <item x="26"/>
        <item x="29"/>
        <item x="23"/>
        <item x="31"/>
        <item x="25"/>
        <item x="27"/>
        <item x="30"/>
        <item x="32"/>
        <item x="33"/>
        <item x="34"/>
        <item x="36"/>
        <item x="37"/>
        <item x="169"/>
        <item x="39"/>
        <item x="35"/>
        <item x="38"/>
        <item x="41"/>
        <item x="40"/>
        <item x="176"/>
        <item x="174"/>
        <item x="166"/>
        <item x="42"/>
        <item x="44"/>
        <item x="45"/>
        <item x="43"/>
        <item x="178"/>
        <item x="48"/>
        <item x="47"/>
        <item x="50"/>
        <item x="51"/>
        <item x="54"/>
        <item x="46"/>
        <item x="161"/>
        <item x="53"/>
        <item x="49"/>
        <item x="179"/>
        <item x="56"/>
        <item x="181"/>
        <item x="158"/>
        <item x="59"/>
        <item x="58"/>
        <item x="52"/>
        <item x="155"/>
        <item x="62"/>
        <item x="55"/>
        <item x="182"/>
        <item x="183"/>
        <item x="61"/>
        <item x="177"/>
        <item x="180"/>
        <item x="170"/>
        <item x="65"/>
        <item x="172"/>
        <item x="184"/>
        <item x="153"/>
        <item x="167"/>
        <item x="64"/>
        <item x="57"/>
        <item x="145"/>
        <item x="151"/>
        <item x="68"/>
        <item x="185"/>
        <item x="148"/>
        <item x="164"/>
        <item x="143"/>
        <item x="67"/>
        <item x="186"/>
        <item x="60"/>
        <item x="175"/>
        <item x="162"/>
        <item x="168"/>
        <item x="171"/>
        <item x="173"/>
        <item x="63"/>
        <item x="159"/>
        <item x="188"/>
        <item x="140"/>
        <item x="189"/>
        <item x="165"/>
        <item x="187"/>
        <item x="191"/>
        <item x="156"/>
        <item x="163"/>
        <item x="193"/>
        <item x="192"/>
        <item x="160"/>
        <item x="196"/>
        <item x="70"/>
        <item x="190"/>
        <item x="194"/>
        <item x="154"/>
        <item x="66"/>
        <item x="137"/>
        <item x="197"/>
        <item x="157"/>
        <item x="71"/>
        <item x="195"/>
        <item x="152"/>
        <item x="199"/>
        <item x="146"/>
        <item x="149"/>
        <item x="198"/>
        <item x="144"/>
        <item x="74"/>
        <item x="200"/>
        <item x="201"/>
        <item x="132"/>
        <item x="141"/>
        <item x="150"/>
        <item x="147"/>
        <item x="203"/>
        <item x="73"/>
        <item x="77"/>
        <item x="142"/>
        <item x="138"/>
        <item x="202"/>
        <item x="76"/>
        <item x="206"/>
        <item x="207"/>
        <item x="139"/>
        <item x="205"/>
        <item x="135"/>
        <item x="204"/>
        <item x="136"/>
        <item x="80"/>
        <item x="69"/>
        <item x="129"/>
        <item x="133"/>
        <item x="79"/>
        <item x="134"/>
        <item x="131"/>
        <item x="72"/>
        <item x="217"/>
        <item x="75"/>
        <item x="218"/>
        <item x="215"/>
        <item x="82"/>
        <item x="208"/>
        <item x="212"/>
        <item x="210"/>
        <item x="209"/>
        <item x="214"/>
        <item x="216"/>
        <item x="213"/>
        <item x="130"/>
        <item x="83"/>
        <item x="126"/>
        <item x="219"/>
        <item x="78"/>
        <item x="221"/>
        <item x="128"/>
        <item x="225"/>
        <item x="220"/>
        <item x="227"/>
        <item x="228"/>
        <item x="127"/>
        <item x="226"/>
        <item x="223"/>
        <item x="224"/>
        <item x="86"/>
        <item x="229"/>
        <item x="98"/>
        <item x="222"/>
        <item x="125"/>
        <item x="89"/>
        <item x="101"/>
        <item x="95"/>
        <item x="243"/>
        <item x="245"/>
        <item x="234"/>
        <item x="244"/>
        <item x="92"/>
        <item x="239"/>
        <item x="236"/>
        <item x="238"/>
        <item x="241"/>
        <item x="100"/>
        <item x="242"/>
        <item x="237"/>
        <item x="247"/>
        <item x="235"/>
        <item x="246"/>
        <item x="230"/>
        <item x="240"/>
        <item x="85"/>
        <item x="81"/>
        <item x="232"/>
        <item x="231"/>
        <item x="104"/>
        <item x="233"/>
        <item x="248"/>
        <item x="250"/>
        <item x="249"/>
        <item x="97"/>
        <item x="103"/>
        <item x="123"/>
        <item x="124"/>
        <item x="251"/>
        <item x="252"/>
        <item x="107"/>
        <item x="253"/>
        <item x="255"/>
        <item x="254"/>
        <item x="121"/>
        <item x="118"/>
        <item x="99"/>
        <item x="116"/>
        <item x="257"/>
        <item x="94"/>
        <item x="259"/>
        <item x="260"/>
        <item x="256"/>
        <item x="261"/>
        <item x="88"/>
        <item x="258"/>
        <item x="91"/>
        <item x="106"/>
        <item x="110"/>
        <item x="120"/>
        <item x="113"/>
        <item x="262"/>
        <item x="264"/>
        <item x="117"/>
        <item x="109"/>
        <item x="263"/>
        <item x="122"/>
        <item x="115"/>
        <item x="119"/>
        <item x="96"/>
        <item x="102"/>
        <item x="112"/>
        <item x="114"/>
        <item x="105"/>
        <item x="93"/>
        <item x="108"/>
        <item x="84"/>
        <item x="111"/>
        <item x="90"/>
        <item x="87"/>
        <item x="211"/>
        <item t="default"/>
      </items>
    </pivotField>
    <pivotField axis="axisPage" dataField="1" showAll="0">
      <items count="206">
        <item x="66"/>
        <item x="63"/>
        <item x="69"/>
        <item x="72"/>
        <item x="61"/>
        <item x="70"/>
        <item x="67"/>
        <item x="59"/>
        <item x="64"/>
        <item x="56"/>
        <item x="73"/>
        <item x="68"/>
        <item x="76"/>
        <item x="65"/>
        <item x="54"/>
        <item x="75"/>
        <item x="71"/>
        <item x="62"/>
        <item x="74"/>
        <item x="51"/>
        <item x="60"/>
        <item x="33"/>
        <item x="57"/>
        <item x="48"/>
        <item x="36"/>
        <item x="78"/>
        <item x="31"/>
        <item x="55"/>
        <item x="79"/>
        <item x="58"/>
        <item x="77"/>
        <item x="45"/>
        <item x="52"/>
        <item x="28"/>
        <item x="80"/>
        <item x="82"/>
        <item x="53"/>
        <item x="49"/>
        <item x="81"/>
        <item x="34"/>
        <item x="25"/>
        <item x="37"/>
        <item x="43"/>
        <item x="50"/>
        <item x="22"/>
        <item x="38"/>
        <item x="83"/>
        <item x="47"/>
        <item x="46"/>
        <item x="20"/>
        <item x="84"/>
        <item x="19"/>
        <item x="32"/>
        <item x="35"/>
        <item x="17"/>
        <item x="14"/>
        <item x="29"/>
        <item x="30"/>
        <item x="11"/>
        <item x="8"/>
        <item x="44"/>
        <item x="26"/>
        <item x="6"/>
        <item x="23"/>
        <item x="39"/>
        <item x="27"/>
        <item x="12"/>
        <item x="15"/>
        <item x="18"/>
        <item x="9"/>
        <item x="24"/>
        <item x="10"/>
        <item x="4"/>
        <item x="21"/>
        <item x="42"/>
        <item x="13"/>
        <item x="7"/>
        <item x="16"/>
        <item x="41"/>
        <item x="40"/>
        <item x="5"/>
        <item x="1"/>
        <item x="147"/>
        <item x="3"/>
        <item x="2"/>
        <item x="86"/>
        <item x="0"/>
        <item x="87"/>
        <item x="161"/>
        <item x="150"/>
        <item x="89"/>
        <item x="90"/>
        <item x="162"/>
        <item x="85"/>
        <item x="163"/>
        <item x="148"/>
        <item x="92"/>
        <item x="93"/>
        <item x="160"/>
        <item x="144"/>
        <item x="165"/>
        <item x="159"/>
        <item x="88"/>
        <item x="164"/>
        <item x="95"/>
        <item x="157"/>
        <item x="166"/>
        <item x="146"/>
        <item x="156"/>
        <item x="91"/>
        <item x="96"/>
        <item x="183"/>
        <item x="154"/>
        <item x="149"/>
        <item x="158"/>
        <item x="172"/>
        <item x="167"/>
        <item x="155"/>
        <item x="98"/>
        <item x="99"/>
        <item x="169"/>
        <item x="94"/>
        <item x="102"/>
        <item x="152"/>
        <item x="170"/>
        <item x="145"/>
        <item x="101"/>
        <item x="185"/>
        <item x="168"/>
        <item x="104"/>
        <item x="141"/>
        <item x="151"/>
        <item x="107"/>
        <item x="186"/>
        <item x="97"/>
        <item x="153"/>
        <item x="108"/>
        <item x="180"/>
        <item x="171"/>
        <item x="100"/>
        <item x="143"/>
        <item x="178"/>
        <item x="103"/>
        <item x="106"/>
        <item x="105"/>
        <item x="182"/>
        <item x="184"/>
        <item x="142"/>
        <item x="110"/>
        <item x="175"/>
        <item x="177"/>
        <item x="176"/>
        <item x="112"/>
        <item x="140"/>
        <item x="181"/>
        <item x="109"/>
        <item x="115"/>
        <item x="139"/>
        <item x="114"/>
        <item x="179"/>
        <item x="194"/>
        <item x="117"/>
        <item x="118"/>
        <item x="138"/>
        <item x="121"/>
        <item x="195"/>
        <item x="196"/>
        <item x="198"/>
        <item x="189"/>
        <item x="120"/>
        <item x="111"/>
        <item x="123"/>
        <item x="188"/>
        <item x="173"/>
        <item x="197"/>
        <item x="124"/>
        <item x="199"/>
        <item x="113"/>
        <item x="187"/>
        <item x="126"/>
        <item x="192"/>
        <item x="137"/>
        <item x="116"/>
        <item x="122"/>
        <item x="119"/>
        <item x="201"/>
        <item x="128"/>
        <item x="193"/>
        <item x="130"/>
        <item x="125"/>
        <item x="190"/>
        <item x="132"/>
        <item x="136"/>
        <item x="127"/>
        <item x="200"/>
        <item x="129"/>
        <item x="133"/>
        <item x="131"/>
        <item x="203"/>
        <item x="135"/>
        <item x="191"/>
        <item x="202"/>
        <item x="134"/>
        <item x="204"/>
        <item x="174"/>
        <item t="default"/>
      </items>
    </pivotField>
    <pivotField axis="axisPage" dataField="1" showAll="0">
      <items count="283">
        <item x="1"/>
        <item x="3"/>
        <item x="6"/>
        <item x="2"/>
        <item x="4"/>
        <item x="7"/>
        <item x="0"/>
        <item x="8"/>
        <item x="5"/>
        <item x="9"/>
        <item x="10"/>
        <item x="12"/>
        <item x="11"/>
        <item x="13"/>
        <item x="15"/>
        <item x="14"/>
        <item x="17"/>
        <item x="18"/>
        <item x="20"/>
        <item x="16"/>
        <item x="21"/>
        <item x="24"/>
        <item x="23"/>
        <item x="19"/>
        <item x="26"/>
        <item x="27"/>
        <item x="22"/>
        <item x="29"/>
        <item x="25"/>
        <item x="30"/>
        <item x="33"/>
        <item x="28"/>
        <item x="36"/>
        <item x="32"/>
        <item x="39"/>
        <item x="35"/>
        <item x="42"/>
        <item x="38"/>
        <item x="45"/>
        <item x="41"/>
        <item x="31"/>
        <item x="48"/>
        <item x="44"/>
        <item x="34"/>
        <item x="51"/>
        <item x="47"/>
        <item x="37"/>
        <item x="40"/>
        <item x="50"/>
        <item x="54"/>
        <item x="57"/>
        <item x="43"/>
        <item x="53"/>
        <item x="62"/>
        <item x="65"/>
        <item x="46"/>
        <item x="56"/>
        <item x="68"/>
        <item x="59"/>
        <item x="61"/>
        <item x="49"/>
        <item x="71"/>
        <item x="64"/>
        <item x="67"/>
        <item x="74"/>
        <item x="76"/>
        <item x="52"/>
        <item x="70"/>
        <item x="78"/>
        <item x="73"/>
        <item x="55"/>
        <item x="77"/>
        <item x="58"/>
        <item x="81"/>
        <item x="80"/>
        <item x="60"/>
        <item x="86"/>
        <item x="63"/>
        <item x="66"/>
        <item x="83"/>
        <item x="85"/>
        <item x="69"/>
        <item x="88"/>
        <item x="75"/>
        <item x="72"/>
        <item x="93"/>
        <item x="90"/>
        <item x="79"/>
        <item x="96"/>
        <item x="99"/>
        <item x="92"/>
        <item x="82"/>
        <item x="102"/>
        <item x="105"/>
        <item x="95"/>
        <item x="108"/>
        <item x="84"/>
        <item x="98"/>
        <item x="110"/>
        <item x="87"/>
        <item x="101"/>
        <item x="113"/>
        <item x="144"/>
        <item x="104"/>
        <item x="107"/>
        <item x="142"/>
        <item x="139"/>
        <item x="116"/>
        <item x="89"/>
        <item x="147"/>
        <item x="119"/>
        <item x="146"/>
        <item x="112"/>
        <item x="136"/>
        <item x="91"/>
        <item x="133"/>
        <item x="115"/>
        <item x="141"/>
        <item x="126"/>
        <item x="130"/>
        <item x="94"/>
        <item x="152"/>
        <item x="148"/>
        <item x="154"/>
        <item x="118"/>
        <item x="155"/>
        <item x="145"/>
        <item x="138"/>
        <item x="121"/>
        <item x="153"/>
        <item x="149"/>
        <item x="157"/>
        <item x="97"/>
        <item x="135"/>
        <item x="123"/>
        <item x="159"/>
        <item x="167"/>
        <item x="125"/>
        <item x="161"/>
        <item x="100"/>
        <item x="132"/>
        <item x="103"/>
        <item x="143"/>
        <item x="156"/>
        <item x="106"/>
        <item x="129"/>
        <item x="158"/>
        <item x="109"/>
        <item x="150"/>
        <item x="164"/>
        <item x="151"/>
        <item x="168"/>
        <item x="166"/>
        <item x="163"/>
        <item x="160"/>
        <item x="162"/>
        <item x="140"/>
        <item x="165"/>
        <item x="111"/>
        <item x="170"/>
        <item x="169"/>
        <item x="172"/>
        <item x="137"/>
        <item x="171"/>
        <item x="114"/>
        <item x="174"/>
        <item x="117"/>
        <item x="134"/>
        <item x="175"/>
        <item x="173"/>
        <item x="120"/>
        <item x="122"/>
        <item x="131"/>
        <item x="176"/>
        <item x="124"/>
        <item x="127"/>
        <item x="128"/>
        <item x="178"/>
        <item x="179"/>
        <item x="177"/>
        <item x="181"/>
        <item x="182"/>
        <item x="180"/>
        <item x="184"/>
        <item x="187"/>
        <item x="185"/>
        <item x="190"/>
        <item x="183"/>
        <item x="188"/>
        <item x="186"/>
        <item x="191"/>
        <item x="189"/>
        <item x="193"/>
        <item x="192"/>
        <item x="196"/>
        <item x="197"/>
        <item x="195"/>
        <item x="198"/>
        <item x="200"/>
        <item x="199"/>
        <item x="202"/>
        <item x="201"/>
        <item x="204"/>
        <item x="205"/>
        <item x="207"/>
        <item x="203"/>
        <item x="212"/>
        <item x="214"/>
        <item x="216"/>
        <item x="208"/>
        <item x="206"/>
        <item x="217"/>
        <item x="210"/>
        <item x="213"/>
        <item x="215"/>
        <item x="209"/>
        <item x="211"/>
        <item x="219"/>
        <item x="222"/>
        <item x="226"/>
        <item x="230"/>
        <item x="233"/>
        <item x="220"/>
        <item x="224"/>
        <item x="223"/>
        <item x="227"/>
        <item x="231"/>
        <item x="234"/>
        <item x="218"/>
        <item x="225"/>
        <item x="221"/>
        <item x="228"/>
        <item x="236"/>
        <item x="229"/>
        <item x="232"/>
        <item x="235"/>
        <item x="238"/>
        <item x="240"/>
        <item x="237"/>
        <item x="241"/>
        <item x="243"/>
        <item x="239"/>
        <item x="244"/>
        <item x="246"/>
        <item x="242"/>
        <item x="247"/>
        <item x="249"/>
        <item x="245"/>
        <item x="252"/>
        <item x="250"/>
        <item x="255"/>
        <item x="248"/>
        <item x="253"/>
        <item x="251"/>
        <item x="258"/>
        <item x="256"/>
        <item x="254"/>
        <item x="259"/>
        <item x="257"/>
        <item x="263"/>
        <item x="261"/>
        <item x="266"/>
        <item x="260"/>
        <item x="264"/>
        <item x="269"/>
        <item x="262"/>
        <item x="267"/>
        <item x="272"/>
        <item x="265"/>
        <item x="270"/>
        <item x="268"/>
        <item x="277"/>
        <item x="273"/>
        <item x="275"/>
        <item x="271"/>
        <item x="280"/>
        <item x="274"/>
        <item x="278"/>
        <item x="276"/>
        <item x="281"/>
        <item x="279"/>
        <item x="194"/>
        <item t="default"/>
      </items>
    </pivotField>
    <pivotField axis="axisPage" dataField="1" showAll="0">
      <items count="269">
        <item x="0"/>
        <item x="2"/>
        <item x="1"/>
        <item x="4"/>
        <item x="5"/>
        <item x="3"/>
        <item x="7"/>
        <item x="8"/>
        <item x="6"/>
        <item x="10"/>
        <item x="11"/>
        <item x="13"/>
        <item x="9"/>
        <item x="15"/>
        <item x="12"/>
        <item x="17"/>
        <item x="18"/>
        <item x="14"/>
        <item x="20"/>
        <item x="16"/>
        <item x="22"/>
        <item x="19"/>
        <item x="21"/>
        <item x="24"/>
        <item x="23"/>
        <item x="25"/>
        <item x="26"/>
        <item x="32"/>
        <item x="28"/>
        <item x="27"/>
        <item x="30"/>
        <item x="33"/>
        <item x="29"/>
        <item x="31"/>
        <item x="35"/>
        <item x="34"/>
        <item x="37"/>
        <item x="40"/>
        <item x="36"/>
        <item x="43"/>
        <item x="41"/>
        <item x="38"/>
        <item x="44"/>
        <item x="39"/>
        <item x="42"/>
        <item x="47"/>
        <item x="48"/>
        <item x="45"/>
        <item x="46"/>
        <item x="54"/>
        <item x="57"/>
        <item x="49"/>
        <item x="60"/>
        <item x="50"/>
        <item x="52"/>
        <item x="55"/>
        <item x="65"/>
        <item x="58"/>
        <item x="51"/>
        <item x="53"/>
        <item x="70"/>
        <item x="61"/>
        <item x="56"/>
        <item x="63"/>
        <item x="66"/>
        <item x="59"/>
        <item x="68"/>
        <item x="78"/>
        <item x="81"/>
        <item x="71"/>
        <item x="64"/>
        <item x="62"/>
        <item x="67"/>
        <item x="89"/>
        <item x="74"/>
        <item x="69"/>
        <item x="76"/>
        <item x="96"/>
        <item x="72"/>
        <item x="99"/>
        <item x="79"/>
        <item x="82"/>
        <item x="73"/>
        <item x="104"/>
        <item x="75"/>
        <item x="106"/>
        <item x="85"/>
        <item x="111"/>
        <item x="87"/>
        <item x="77"/>
        <item x="90"/>
        <item x="120"/>
        <item x="80"/>
        <item x="83"/>
        <item x="92"/>
        <item x="123"/>
        <item x="84"/>
        <item x="94"/>
        <item x="127"/>
        <item x="129"/>
        <item x="97"/>
        <item x="86"/>
        <item x="100"/>
        <item x="88"/>
        <item x="132"/>
        <item x="102"/>
        <item x="137"/>
        <item x="138"/>
        <item x="107"/>
        <item x="109"/>
        <item x="91"/>
        <item x="112"/>
        <item x="114"/>
        <item x="141"/>
        <item x="116"/>
        <item x="146"/>
        <item x="93"/>
        <item x="152"/>
        <item x="118"/>
        <item x="131"/>
        <item x="98"/>
        <item x="95"/>
        <item x="155"/>
        <item x="103"/>
        <item x="101"/>
        <item x="125"/>
        <item x="105"/>
        <item x="160"/>
        <item x="133"/>
        <item x="108"/>
        <item x="135"/>
        <item x="110"/>
        <item x="165"/>
        <item x="113"/>
        <item x="115"/>
        <item x="130"/>
        <item x="142"/>
        <item x="126"/>
        <item x="128"/>
        <item x="122"/>
        <item x="117"/>
        <item x="174"/>
        <item x="119"/>
        <item x="121"/>
        <item x="124"/>
        <item x="134"/>
        <item x="136"/>
        <item x="140"/>
        <item x="150"/>
        <item x="147"/>
        <item x="144"/>
        <item x="153"/>
        <item x="139"/>
        <item x="156"/>
        <item x="158"/>
        <item x="143"/>
        <item x="161"/>
        <item x="162"/>
        <item x="163"/>
        <item x="166"/>
        <item x="168"/>
        <item x="181"/>
        <item x="170"/>
        <item x="172"/>
        <item x="175"/>
        <item x="176"/>
        <item x="178"/>
        <item x="149"/>
        <item x="151"/>
        <item x="145"/>
        <item x="154"/>
        <item x="148"/>
        <item x="157"/>
        <item x="159"/>
        <item x="164"/>
        <item x="167"/>
        <item x="177"/>
        <item x="169"/>
        <item x="182"/>
        <item x="171"/>
        <item x="173"/>
        <item x="184"/>
        <item x="190"/>
        <item x="180"/>
        <item x="186"/>
        <item x="193"/>
        <item x="183"/>
        <item x="188"/>
        <item x="185"/>
        <item x="196"/>
        <item x="191"/>
        <item x="187"/>
        <item x="194"/>
        <item x="189"/>
        <item x="201"/>
        <item x="204"/>
        <item x="197"/>
        <item x="207"/>
        <item x="210"/>
        <item x="192"/>
        <item x="214"/>
        <item x="218"/>
        <item x="199"/>
        <item x="195"/>
        <item x="202"/>
        <item x="225"/>
        <item x="228"/>
        <item x="231"/>
        <item x="234"/>
        <item x="205"/>
        <item x="236"/>
        <item x="239"/>
        <item x="208"/>
        <item x="242"/>
        <item x="198"/>
        <item x="245"/>
        <item x="200"/>
        <item x="212"/>
        <item x="247"/>
        <item x="250"/>
        <item x="203"/>
        <item x="253"/>
        <item x="215"/>
        <item x="256"/>
        <item x="219"/>
        <item x="221"/>
        <item x="223"/>
        <item x="226"/>
        <item x="206"/>
        <item x="229"/>
        <item x="261"/>
        <item x="232"/>
        <item x="209"/>
        <item x="266"/>
        <item x="211"/>
        <item x="237"/>
        <item x="213"/>
        <item x="240"/>
        <item x="216"/>
        <item x="243"/>
        <item x="217"/>
        <item x="220"/>
        <item x="248"/>
        <item x="222"/>
        <item x="224"/>
        <item x="251"/>
        <item x="254"/>
        <item x="227"/>
        <item x="257"/>
        <item x="230"/>
        <item x="259"/>
        <item x="262"/>
        <item x="233"/>
        <item x="264"/>
        <item x="235"/>
        <item x="267"/>
        <item x="238"/>
        <item x="241"/>
        <item x="244"/>
        <item x="246"/>
        <item x="249"/>
        <item x="252"/>
        <item x="255"/>
        <item x="258"/>
        <item x="260"/>
        <item x="263"/>
        <item x="265"/>
        <item x="179"/>
        <item t="default"/>
      </items>
    </pivotField>
    <pivotField axis="axisPage" dataField="1" showAll="0">
      <items count="308">
        <item x="0"/>
        <item x="2"/>
        <item x="3"/>
        <item x="1"/>
        <item x="6"/>
        <item x="5"/>
        <item x="9"/>
        <item x="8"/>
        <item x="4"/>
        <item x="11"/>
        <item x="7"/>
        <item x="12"/>
        <item x="14"/>
        <item x="10"/>
        <item x="15"/>
        <item x="13"/>
        <item x="17"/>
        <item x="18"/>
        <item x="16"/>
        <item x="20"/>
        <item x="19"/>
        <item x="22"/>
        <item x="23"/>
        <item x="21"/>
        <item x="25"/>
        <item x="26"/>
        <item x="24"/>
        <item x="27"/>
        <item x="29"/>
        <item x="30"/>
        <item x="28"/>
        <item x="33"/>
        <item x="32"/>
        <item x="35"/>
        <item x="31"/>
        <item x="38"/>
        <item x="41"/>
        <item x="37"/>
        <item x="34"/>
        <item x="44"/>
        <item x="40"/>
        <item x="43"/>
        <item x="36"/>
        <item x="47"/>
        <item x="46"/>
        <item x="39"/>
        <item x="50"/>
        <item x="42"/>
        <item x="49"/>
        <item x="45"/>
        <item x="52"/>
        <item x="48"/>
        <item x="55"/>
        <item x="54"/>
        <item x="58"/>
        <item x="51"/>
        <item x="57"/>
        <item x="60"/>
        <item x="53"/>
        <item x="63"/>
        <item x="56"/>
        <item x="62"/>
        <item x="59"/>
        <item x="65"/>
        <item x="67"/>
        <item x="68"/>
        <item x="61"/>
        <item x="64"/>
        <item x="70"/>
        <item x="66"/>
        <item x="72"/>
        <item x="69"/>
        <item x="73"/>
        <item x="75"/>
        <item x="71"/>
        <item x="74"/>
        <item x="76"/>
        <item x="77"/>
        <item x="79"/>
        <item x="80"/>
        <item x="82"/>
        <item x="78"/>
        <item x="83"/>
        <item x="81"/>
        <item x="85"/>
        <item x="87"/>
        <item x="84"/>
        <item x="86"/>
        <item x="89"/>
        <item x="90"/>
        <item x="88"/>
        <item x="92"/>
        <item x="93"/>
        <item x="91"/>
        <item x="95"/>
        <item x="94"/>
        <item x="99"/>
        <item x="97"/>
        <item x="102"/>
        <item x="100"/>
        <item x="96"/>
        <item x="103"/>
        <item x="98"/>
        <item x="105"/>
        <item x="108"/>
        <item x="101"/>
        <item x="104"/>
        <item x="111"/>
        <item x="109"/>
        <item x="106"/>
        <item x="112"/>
        <item x="107"/>
        <item x="114"/>
        <item x="118"/>
        <item x="110"/>
        <item x="116"/>
        <item x="121"/>
        <item x="113"/>
        <item x="124"/>
        <item x="119"/>
        <item x="115"/>
        <item x="127"/>
        <item x="122"/>
        <item x="130"/>
        <item x="125"/>
        <item x="117"/>
        <item x="135"/>
        <item x="128"/>
        <item x="138"/>
        <item x="120"/>
        <item x="131"/>
        <item x="123"/>
        <item x="143"/>
        <item x="126"/>
        <item x="133"/>
        <item x="136"/>
        <item x="129"/>
        <item x="139"/>
        <item x="141"/>
        <item x="147"/>
        <item x="132"/>
        <item x="134"/>
        <item x="137"/>
        <item x="152"/>
        <item x="154"/>
        <item x="140"/>
        <item x="145"/>
        <item x="159"/>
        <item x="148"/>
        <item x="162"/>
        <item x="142"/>
        <item x="150"/>
        <item x="165"/>
        <item x="144"/>
        <item x="153"/>
        <item x="155"/>
        <item x="146"/>
        <item x="169"/>
        <item x="157"/>
        <item x="160"/>
        <item x="149"/>
        <item x="163"/>
        <item x="166"/>
        <item x="174"/>
        <item x="151"/>
        <item x="158"/>
        <item x="156"/>
        <item x="175"/>
        <item x="170"/>
        <item x="178"/>
        <item x="161"/>
        <item x="180"/>
        <item x="172"/>
        <item x="183"/>
        <item x="185"/>
        <item x="164"/>
        <item x="188"/>
        <item x="167"/>
        <item x="176"/>
        <item x="181"/>
        <item x="168"/>
        <item x="186"/>
        <item x="191"/>
        <item x="171"/>
        <item x="189"/>
        <item x="193"/>
        <item x="182"/>
        <item x="173"/>
        <item x="179"/>
        <item x="177"/>
        <item x="184"/>
        <item x="187"/>
        <item x="190"/>
        <item x="192"/>
        <item x="196"/>
        <item x="194"/>
        <item x="198"/>
        <item x="195"/>
        <item x="197"/>
        <item x="200"/>
        <item x="199"/>
        <item x="202"/>
        <item x="201"/>
        <item x="204"/>
        <item x="205"/>
        <item x="203"/>
        <item x="207"/>
        <item x="208"/>
        <item x="206"/>
        <item x="210"/>
        <item x="209"/>
        <item x="214"/>
        <item x="217"/>
        <item x="213"/>
        <item x="212"/>
        <item x="220"/>
        <item x="216"/>
        <item x="223"/>
        <item x="219"/>
        <item x="222"/>
        <item x="215"/>
        <item x="226"/>
        <item x="225"/>
        <item x="228"/>
        <item x="218"/>
        <item x="221"/>
        <item x="224"/>
        <item x="230"/>
        <item x="231"/>
        <item x="227"/>
        <item x="234"/>
        <item x="237"/>
        <item x="229"/>
        <item x="233"/>
        <item x="236"/>
        <item x="239"/>
        <item x="232"/>
        <item x="240"/>
        <item x="235"/>
        <item x="242"/>
        <item x="246"/>
        <item x="241"/>
        <item x="238"/>
        <item x="243"/>
        <item x="249"/>
        <item x="248"/>
        <item x="245"/>
        <item x="252"/>
        <item x="244"/>
        <item x="247"/>
        <item x="253"/>
        <item x="251"/>
        <item x="256"/>
        <item x="255"/>
        <item x="250"/>
        <item x="258"/>
        <item x="261"/>
        <item x="254"/>
        <item x="264"/>
        <item x="260"/>
        <item x="257"/>
        <item x="263"/>
        <item x="267"/>
        <item x="266"/>
        <item x="259"/>
        <item x="270"/>
        <item x="262"/>
        <item x="269"/>
        <item x="265"/>
        <item x="273"/>
        <item x="272"/>
        <item x="268"/>
        <item x="276"/>
        <item x="275"/>
        <item x="279"/>
        <item x="271"/>
        <item x="278"/>
        <item x="282"/>
        <item x="284"/>
        <item x="274"/>
        <item x="281"/>
        <item x="287"/>
        <item x="277"/>
        <item x="290"/>
        <item x="286"/>
        <item x="280"/>
        <item x="289"/>
        <item x="295"/>
        <item x="283"/>
        <item x="292"/>
        <item x="298"/>
        <item x="294"/>
        <item x="285"/>
        <item x="301"/>
        <item x="304"/>
        <item x="297"/>
        <item x="288"/>
        <item x="291"/>
        <item x="300"/>
        <item x="293"/>
        <item x="303"/>
        <item x="306"/>
        <item x="296"/>
        <item x="299"/>
        <item x="302"/>
        <item x="305"/>
        <item x="21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
  </rowFields>
  <rowItems count="8">
    <i>
      <x v="4"/>
    </i>
    <i>
      <x v="5"/>
    </i>
    <i>
      <x v="6"/>
    </i>
    <i>
      <x v="7"/>
    </i>
    <i>
      <x v="8"/>
    </i>
    <i>
      <x v="9"/>
    </i>
    <i>
      <x v="10"/>
    </i>
    <i t="grand">
      <x/>
    </i>
  </rowItems>
  <colFields count="1">
    <field x="-2"/>
  </colFields>
  <colItems count="12">
    <i>
      <x/>
    </i>
    <i i="1">
      <x v="1"/>
    </i>
    <i i="2">
      <x v="2"/>
    </i>
    <i i="3">
      <x v="3"/>
    </i>
    <i i="4">
      <x v="4"/>
    </i>
    <i i="5">
      <x v="5"/>
    </i>
    <i i="6">
      <x v="6"/>
    </i>
    <i i="7">
      <x v="7"/>
    </i>
    <i i="8">
      <x v="8"/>
    </i>
    <i i="9">
      <x v="9"/>
    </i>
    <i i="10">
      <x v="10"/>
    </i>
    <i i="11">
      <x v="11"/>
    </i>
  </colItems>
  <pageFields count="13">
    <pageField fld="0" item="1" hier="-1"/>
    <pageField fld="3" hier="-1"/>
    <pageField fld="9" hier="-1"/>
    <pageField fld="8" hier="-1"/>
    <pageField fld="5" hier="-1"/>
    <pageField fld="10" hier="-1"/>
    <pageField fld="4" hier="-1"/>
    <pageField fld="11" hier="-1"/>
    <pageField fld="7" hier="-1"/>
    <pageField fld="13" hier="-1"/>
    <pageField fld="12" hier="-1"/>
    <pageField fld="6" hier="-1"/>
    <pageField fld="14" hier="-1"/>
  </pageFields>
  <dataFields count="12">
    <dataField name="Sum of Cereals and products" fld="3" baseField="0" baseItem="1"/>
    <dataField name="Sum of Prepared meals, snacks, sweets etc." fld="14" baseField="0" baseItem="1"/>
    <dataField name="Sum of Sugar and Confectionery" fld="11" baseField="0" baseItem="2"/>
    <dataField name="Sum of Pulses and products" fld="10" baseField="0" baseItem="2"/>
    <dataField name="Sum of Spices" fld="12" baseField="0" baseItem="2"/>
    <dataField name="Sum of Vegetables" fld="9" baseField="0" baseItem="2"/>
    <dataField name="Sum of Non-alcoholic beverages" fld="13" baseField="0" baseItem="2"/>
    <dataField name="Sum of Fruits" fld="8" baseField="0" baseItem="2"/>
    <dataField name="Sum of Milk and products" fld="6" baseField="0" baseItem="2"/>
    <dataField name="Sum of Meat and fish" fld="4" baseField="0" baseItem="2"/>
    <dataField name="Sum of Oils and fats" fld="7" baseField="0" baseItem="2"/>
    <dataField name="Sum of Egg" fld="5" baseField="0" baseItem="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N5:O13" firstHeaderRow="1" firstDataRow="1" firstDataCol="1" rowPageCount="2" colPageCount="1"/>
  <pivotFields count="30">
    <pivotField axis="axisPage" showAll="0">
      <items count="4">
        <item x="0"/>
        <item x="2"/>
        <item x="1"/>
        <item t="default"/>
      </items>
    </pivotField>
    <pivotField axis="axisRow" multipleItemSelectionAllowed="1" showAll="0">
      <items count="12">
        <item h="1" x="0"/>
        <item h="1" x="1"/>
        <item h="1" x="2"/>
        <item h="1" x="3"/>
        <item x="4"/>
        <item x="5"/>
        <item x="6"/>
        <item x="7"/>
        <item x="8"/>
        <item x="9"/>
        <item x="10"/>
        <item t="default"/>
      </items>
    </pivotField>
    <pivotField showAll="0"/>
    <pivotField showAll="0">
      <items count="254">
        <item x="0"/>
        <item x="2"/>
        <item x="3"/>
        <item x="6"/>
        <item x="5"/>
        <item x="1"/>
        <item x="11"/>
        <item x="8"/>
        <item x="10"/>
        <item x="13"/>
        <item x="4"/>
        <item x="16"/>
        <item x="15"/>
        <item x="7"/>
        <item x="19"/>
        <item x="9"/>
        <item x="18"/>
        <item x="12"/>
        <item x="21"/>
        <item x="24"/>
        <item x="23"/>
        <item x="14"/>
        <item x="26"/>
        <item x="27"/>
        <item x="17"/>
        <item x="29"/>
        <item x="20"/>
        <item x="30"/>
        <item x="22"/>
        <item x="25"/>
        <item x="32"/>
        <item x="35"/>
        <item x="34"/>
        <item x="28"/>
        <item x="38"/>
        <item x="37"/>
        <item x="43"/>
        <item x="31"/>
        <item x="40"/>
        <item x="42"/>
        <item x="45"/>
        <item x="33"/>
        <item x="47"/>
        <item x="48"/>
        <item x="51"/>
        <item x="36"/>
        <item x="39"/>
        <item x="53"/>
        <item x="50"/>
        <item x="41"/>
        <item x="56"/>
        <item x="44"/>
        <item x="55"/>
        <item x="46"/>
        <item x="58"/>
        <item x="60"/>
        <item x="62"/>
        <item x="65"/>
        <item x="66"/>
        <item x="64"/>
        <item x="49"/>
        <item x="68"/>
        <item x="61"/>
        <item x="67"/>
        <item x="54"/>
        <item x="63"/>
        <item x="59"/>
        <item x="57"/>
        <item x="69"/>
        <item x="52"/>
        <item x="83"/>
        <item x="72"/>
        <item x="70"/>
        <item x="74"/>
        <item x="71"/>
        <item x="76"/>
        <item x="87"/>
        <item x="73"/>
        <item x="75"/>
        <item x="79"/>
        <item x="81"/>
        <item x="84"/>
        <item x="77"/>
        <item x="78"/>
        <item x="80"/>
        <item x="82"/>
        <item x="85"/>
        <item x="88"/>
        <item x="93"/>
        <item x="90"/>
        <item x="86"/>
        <item x="96"/>
        <item x="89"/>
        <item x="94"/>
        <item x="91"/>
        <item x="99"/>
        <item x="97"/>
        <item x="92"/>
        <item x="95"/>
        <item x="100"/>
        <item x="102"/>
        <item x="98"/>
        <item x="105"/>
        <item x="103"/>
        <item x="101"/>
        <item x="109"/>
        <item x="106"/>
        <item x="112"/>
        <item x="111"/>
        <item x="104"/>
        <item x="110"/>
        <item x="107"/>
        <item x="113"/>
        <item x="108"/>
        <item x="120"/>
        <item x="114"/>
        <item x="116"/>
        <item x="125"/>
        <item x="128"/>
        <item x="118"/>
        <item x="115"/>
        <item x="131"/>
        <item x="117"/>
        <item x="121"/>
        <item x="138"/>
        <item x="123"/>
        <item x="126"/>
        <item x="119"/>
        <item x="129"/>
        <item x="132"/>
        <item x="122"/>
        <item x="124"/>
        <item x="141"/>
        <item x="127"/>
        <item x="130"/>
        <item x="136"/>
        <item x="144"/>
        <item x="133"/>
        <item x="134"/>
        <item x="139"/>
        <item x="135"/>
        <item x="150"/>
        <item x="147"/>
        <item x="142"/>
        <item x="137"/>
        <item x="148"/>
        <item x="145"/>
        <item x="153"/>
        <item x="140"/>
        <item x="146"/>
        <item x="143"/>
        <item x="149"/>
        <item x="156"/>
        <item x="151"/>
        <item x="152"/>
        <item x="158"/>
        <item x="159"/>
        <item x="154"/>
        <item x="161"/>
        <item x="155"/>
        <item x="163"/>
        <item x="157"/>
        <item x="164"/>
        <item x="196"/>
        <item x="160"/>
        <item x="166"/>
        <item x="162"/>
        <item x="169"/>
        <item x="168"/>
        <item x="172"/>
        <item x="194"/>
        <item x="171"/>
        <item x="165"/>
        <item x="174"/>
        <item x="191"/>
        <item x="167"/>
        <item x="188"/>
        <item x="206"/>
        <item x="170"/>
        <item x="199"/>
        <item x="203"/>
        <item x="173"/>
        <item x="205"/>
        <item x="201"/>
        <item x="193"/>
        <item x="185"/>
        <item x="175"/>
        <item x="208"/>
        <item x="190"/>
        <item x="182"/>
        <item x="197"/>
        <item x="179"/>
        <item x="210"/>
        <item x="187"/>
        <item x="177"/>
        <item x="198"/>
        <item x="184"/>
        <item x="195"/>
        <item x="202"/>
        <item x="200"/>
        <item x="204"/>
        <item x="212"/>
        <item x="181"/>
        <item x="192"/>
        <item x="214"/>
        <item x="207"/>
        <item x="215"/>
        <item x="189"/>
        <item x="209"/>
        <item x="217"/>
        <item x="186"/>
        <item x="183"/>
        <item x="176"/>
        <item x="211"/>
        <item x="213"/>
        <item x="180"/>
        <item x="219"/>
        <item x="216"/>
        <item x="222"/>
        <item x="221"/>
        <item x="224"/>
        <item x="225"/>
        <item x="218"/>
        <item x="227"/>
        <item x="220"/>
        <item x="223"/>
        <item x="226"/>
        <item x="228"/>
        <item x="230"/>
        <item x="229"/>
        <item x="231"/>
        <item x="233"/>
        <item x="234"/>
        <item x="232"/>
        <item x="236"/>
        <item x="235"/>
        <item x="237"/>
        <item x="239"/>
        <item x="238"/>
        <item x="240"/>
        <item x="242"/>
        <item x="241"/>
        <item x="251"/>
        <item x="244"/>
        <item x="252"/>
        <item x="245"/>
        <item x="243"/>
        <item x="246"/>
        <item x="249"/>
        <item x="248"/>
        <item x="247"/>
        <item x="250"/>
        <item x="178"/>
        <item t="default"/>
      </items>
    </pivotField>
    <pivotField showAll="0">
      <items count="292">
        <item x="0"/>
        <item x="2"/>
        <item x="3"/>
        <item x="6"/>
        <item x="1"/>
        <item x="9"/>
        <item x="8"/>
        <item x="12"/>
        <item x="5"/>
        <item x="11"/>
        <item x="14"/>
        <item x="7"/>
        <item x="15"/>
        <item x="4"/>
        <item x="10"/>
        <item x="13"/>
        <item x="17"/>
        <item x="20"/>
        <item x="23"/>
        <item x="28"/>
        <item x="27"/>
        <item x="19"/>
        <item x="29"/>
        <item x="25"/>
        <item x="30"/>
        <item x="22"/>
        <item x="33"/>
        <item x="26"/>
        <item x="32"/>
        <item x="36"/>
        <item x="24"/>
        <item x="18"/>
        <item x="35"/>
        <item x="38"/>
        <item x="16"/>
        <item x="39"/>
        <item x="21"/>
        <item x="34"/>
        <item x="41"/>
        <item x="37"/>
        <item x="31"/>
        <item x="50"/>
        <item x="44"/>
        <item x="55"/>
        <item x="47"/>
        <item x="43"/>
        <item x="59"/>
        <item x="52"/>
        <item x="57"/>
        <item x="54"/>
        <item x="46"/>
        <item x="40"/>
        <item x="49"/>
        <item x="58"/>
        <item x="62"/>
        <item x="51"/>
        <item x="60"/>
        <item x="56"/>
        <item x="42"/>
        <item x="53"/>
        <item x="45"/>
        <item x="61"/>
        <item x="63"/>
        <item x="65"/>
        <item x="48"/>
        <item x="67"/>
        <item x="64"/>
        <item x="79"/>
        <item x="78"/>
        <item x="66"/>
        <item x="80"/>
        <item x="82"/>
        <item x="68"/>
        <item x="81"/>
        <item x="77"/>
        <item x="74"/>
        <item x="76"/>
        <item x="71"/>
        <item x="75"/>
        <item x="70"/>
        <item x="73"/>
        <item x="83"/>
        <item x="86"/>
        <item x="85"/>
        <item x="88"/>
        <item x="72"/>
        <item x="69"/>
        <item x="87"/>
        <item x="90"/>
        <item x="84"/>
        <item x="89"/>
        <item x="92"/>
        <item x="113"/>
        <item x="110"/>
        <item x="93"/>
        <item x="107"/>
        <item x="105"/>
        <item x="112"/>
        <item x="109"/>
        <item x="106"/>
        <item x="104"/>
        <item x="115"/>
        <item x="108"/>
        <item x="111"/>
        <item x="96"/>
        <item x="119"/>
        <item x="102"/>
        <item x="114"/>
        <item x="118"/>
        <item x="95"/>
        <item x="91"/>
        <item x="117"/>
        <item x="99"/>
        <item x="116"/>
        <item x="103"/>
        <item x="98"/>
        <item x="120"/>
        <item x="101"/>
        <item x="122"/>
        <item x="133"/>
        <item x="130"/>
        <item x="94"/>
        <item x="135"/>
        <item x="132"/>
        <item x="136"/>
        <item x="137"/>
        <item x="134"/>
        <item x="131"/>
        <item x="128"/>
        <item x="138"/>
        <item x="129"/>
        <item x="140"/>
        <item x="142"/>
        <item x="123"/>
        <item x="141"/>
        <item x="97"/>
        <item x="121"/>
        <item x="100"/>
        <item x="144"/>
        <item x="139"/>
        <item x="143"/>
        <item x="158"/>
        <item x="125"/>
        <item x="127"/>
        <item x="156"/>
        <item x="161"/>
        <item x="153"/>
        <item x="146"/>
        <item x="155"/>
        <item x="157"/>
        <item x="164"/>
        <item x="154"/>
        <item x="147"/>
        <item x="145"/>
        <item x="126"/>
        <item x="150"/>
        <item x="124"/>
        <item x="152"/>
        <item x="151"/>
        <item x="162"/>
        <item x="149"/>
        <item x="167"/>
        <item x="159"/>
        <item x="148"/>
        <item x="170"/>
        <item x="165"/>
        <item x="160"/>
        <item x="173"/>
        <item x="168"/>
        <item x="163"/>
        <item x="171"/>
        <item x="166"/>
        <item x="169"/>
        <item x="172"/>
        <item x="175"/>
        <item x="184"/>
        <item x="176"/>
        <item x="186"/>
        <item x="174"/>
        <item x="178"/>
        <item x="189"/>
        <item x="181"/>
        <item x="185"/>
        <item x="187"/>
        <item x="190"/>
        <item x="188"/>
        <item x="183"/>
        <item x="179"/>
        <item x="192"/>
        <item x="182"/>
        <item x="193"/>
        <item x="177"/>
        <item x="191"/>
        <item x="180"/>
        <item x="195"/>
        <item x="196"/>
        <item x="194"/>
        <item x="201"/>
        <item x="202"/>
        <item x="197"/>
        <item x="199"/>
        <item x="200"/>
        <item x="198"/>
        <item x="210"/>
        <item x="224"/>
        <item x="213"/>
        <item x="226"/>
        <item x="212"/>
        <item x="207"/>
        <item x="221"/>
        <item x="219"/>
        <item x="216"/>
        <item x="215"/>
        <item x="227"/>
        <item x="223"/>
        <item x="204"/>
        <item x="209"/>
        <item x="218"/>
        <item x="225"/>
        <item x="229"/>
        <item x="206"/>
        <item x="211"/>
        <item x="214"/>
        <item x="222"/>
        <item x="217"/>
        <item x="220"/>
        <item x="252"/>
        <item x="205"/>
        <item x="228"/>
        <item x="208"/>
        <item x="231"/>
        <item x="254"/>
        <item x="232"/>
        <item x="253"/>
        <item x="251"/>
        <item x="247"/>
        <item x="235"/>
        <item x="234"/>
        <item x="256"/>
        <item x="249"/>
        <item x="237"/>
        <item x="244"/>
        <item x="250"/>
        <item x="241"/>
        <item x="230"/>
        <item x="243"/>
        <item x="271"/>
        <item x="233"/>
        <item x="238"/>
        <item x="246"/>
        <item x="248"/>
        <item x="255"/>
        <item x="236"/>
        <item x="272"/>
        <item x="273"/>
        <item x="240"/>
        <item x="281"/>
        <item x="278"/>
        <item x="242"/>
        <item x="287"/>
        <item x="257"/>
        <item x="284"/>
        <item x="245"/>
        <item x="276"/>
        <item x="283"/>
        <item x="275"/>
        <item x="288"/>
        <item x="280"/>
        <item x="260"/>
        <item x="259"/>
        <item x="268"/>
        <item x="239"/>
        <item x="289"/>
        <item x="261"/>
        <item x="286"/>
        <item x="282"/>
        <item x="270"/>
        <item x="279"/>
        <item x="274"/>
        <item x="290"/>
        <item x="262"/>
        <item x="277"/>
        <item x="285"/>
        <item x="258"/>
        <item x="264"/>
        <item x="269"/>
        <item x="265"/>
        <item x="267"/>
        <item x="263"/>
        <item x="266"/>
        <item x="203"/>
        <item t="default"/>
      </items>
    </pivotField>
    <pivotField showAll="0">
      <items count="284">
        <item x="13"/>
        <item x="14"/>
        <item x="12"/>
        <item x="10"/>
        <item x="11"/>
        <item x="9"/>
        <item x="0"/>
        <item x="16"/>
        <item x="6"/>
        <item x="2"/>
        <item x="3"/>
        <item x="17"/>
        <item x="20"/>
        <item x="8"/>
        <item x="69"/>
        <item x="22"/>
        <item x="19"/>
        <item x="23"/>
        <item x="15"/>
        <item x="24"/>
        <item x="21"/>
        <item x="5"/>
        <item x="1"/>
        <item x="7"/>
        <item x="26"/>
        <item x="65"/>
        <item x="18"/>
        <item x="43"/>
        <item x="68"/>
        <item x="25"/>
        <item x="70"/>
        <item x="46"/>
        <item x="76"/>
        <item x="47"/>
        <item x="44"/>
        <item x="45"/>
        <item x="27"/>
        <item x="53"/>
        <item x="51"/>
        <item x="66"/>
        <item x="4"/>
        <item x="67"/>
        <item x="52"/>
        <item x="48"/>
        <item x="50"/>
        <item x="49"/>
        <item x="42"/>
        <item x="54"/>
        <item x="29"/>
        <item x="64"/>
        <item x="62"/>
        <item x="55"/>
        <item x="75"/>
        <item x="30"/>
        <item x="33"/>
        <item x="39"/>
        <item x="77"/>
        <item x="71"/>
        <item x="41"/>
        <item x="63"/>
        <item x="36"/>
        <item x="74"/>
        <item x="40"/>
        <item x="72"/>
        <item x="78"/>
        <item x="57"/>
        <item x="73"/>
        <item x="59"/>
        <item x="38"/>
        <item x="28"/>
        <item x="56"/>
        <item x="79"/>
        <item x="91"/>
        <item x="32"/>
        <item x="89"/>
        <item x="61"/>
        <item x="35"/>
        <item x="92"/>
        <item x="37"/>
        <item x="90"/>
        <item x="81"/>
        <item x="88"/>
        <item x="94"/>
        <item x="117"/>
        <item x="115"/>
        <item x="58"/>
        <item x="82"/>
        <item x="60"/>
        <item x="116"/>
        <item x="93"/>
        <item x="80"/>
        <item x="85"/>
        <item x="118"/>
        <item x="119"/>
        <item x="96"/>
        <item x="114"/>
        <item x="31"/>
        <item x="84"/>
        <item x="87"/>
        <item x="113"/>
        <item x="112"/>
        <item x="121"/>
        <item x="97"/>
        <item x="123"/>
        <item x="120"/>
        <item x="34"/>
        <item x="122"/>
        <item x="104"/>
        <item x="105"/>
        <item x="86"/>
        <item x="102"/>
        <item x="103"/>
        <item x="143"/>
        <item x="95"/>
        <item x="124"/>
        <item x="126"/>
        <item x="125"/>
        <item x="101"/>
        <item x="109"/>
        <item x="83"/>
        <item x="111"/>
        <item x="99"/>
        <item x="110"/>
        <item x="152"/>
        <item x="108"/>
        <item x="155"/>
        <item x="145"/>
        <item x="100"/>
        <item x="144"/>
        <item x="106"/>
        <item x="168"/>
        <item x="154"/>
        <item x="107"/>
        <item x="153"/>
        <item x="140"/>
        <item x="147"/>
        <item x="142"/>
        <item x="169"/>
        <item x="170"/>
        <item x="98"/>
        <item x="146"/>
        <item x="158"/>
        <item x="156"/>
        <item x="159"/>
        <item x="157"/>
        <item x="151"/>
        <item x="162"/>
        <item x="141"/>
        <item x="172"/>
        <item x="175"/>
        <item x="167"/>
        <item x="161"/>
        <item x="149"/>
        <item x="150"/>
        <item x="148"/>
        <item x="177"/>
        <item x="137"/>
        <item x="139"/>
        <item x="164"/>
        <item x="138"/>
        <item x="171"/>
        <item x="127"/>
        <item x="136"/>
        <item x="174"/>
        <item x="160"/>
        <item x="178"/>
        <item x="166"/>
        <item x="176"/>
        <item x="173"/>
        <item x="180"/>
        <item x="129"/>
        <item x="163"/>
        <item x="134"/>
        <item x="135"/>
        <item x="133"/>
        <item x="179"/>
        <item x="130"/>
        <item x="132"/>
        <item x="165"/>
        <item x="182"/>
        <item x="131"/>
        <item x="128"/>
        <item x="195"/>
        <item x="192"/>
        <item x="194"/>
        <item x="181"/>
        <item x="197"/>
        <item x="193"/>
        <item x="199"/>
        <item x="183"/>
        <item x="203"/>
        <item x="189"/>
        <item x="185"/>
        <item x="201"/>
        <item x="191"/>
        <item x="196"/>
        <item x="205"/>
        <item x="190"/>
        <item x="186"/>
        <item x="184"/>
        <item x="202"/>
        <item x="200"/>
        <item x="188"/>
        <item x="187"/>
        <item x="204"/>
        <item x="206"/>
        <item x="208"/>
        <item x="255"/>
        <item x="219"/>
        <item x="222"/>
        <item x="221"/>
        <item x="254"/>
        <item x="253"/>
        <item x="224"/>
        <item x="220"/>
        <item x="207"/>
        <item x="223"/>
        <item x="251"/>
        <item x="252"/>
        <item x="250"/>
        <item x="216"/>
        <item x="261"/>
        <item x="225"/>
        <item x="218"/>
        <item x="264"/>
        <item x="263"/>
        <item x="256"/>
        <item x="266"/>
        <item x="217"/>
        <item x="238"/>
        <item x="227"/>
        <item x="262"/>
        <item x="257"/>
        <item x="265"/>
        <item x="280"/>
        <item x="239"/>
        <item x="240"/>
        <item x="209"/>
        <item x="267"/>
        <item x="237"/>
        <item x="279"/>
        <item x="236"/>
        <item x="226"/>
        <item x="282"/>
        <item x="212"/>
        <item x="211"/>
        <item x="277"/>
        <item x="235"/>
        <item x="258"/>
        <item x="260"/>
        <item x="214"/>
        <item x="241"/>
        <item x="247"/>
        <item x="249"/>
        <item x="248"/>
        <item x="234"/>
        <item x="259"/>
        <item x="281"/>
        <item x="210"/>
        <item x="278"/>
        <item x="243"/>
        <item x="244"/>
        <item x="213"/>
        <item x="215"/>
        <item x="246"/>
        <item x="228"/>
        <item x="242"/>
        <item x="245"/>
        <item x="268"/>
        <item x="231"/>
        <item x="230"/>
        <item x="270"/>
        <item x="233"/>
        <item x="229"/>
        <item x="269"/>
        <item x="232"/>
        <item x="271"/>
        <item x="273"/>
        <item x="272"/>
        <item x="274"/>
        <item x="276"/>
        <item x="275"/>
        <item x="198"/>
        <item t="default"/>
      </items>
    </pivotField>
    <pivotField showAll="0">
      <items count="270">
        <item x="1"/>
        <item x="4"/>
        <item x="6"/>
        <item x="2"/>
        <item x="9"/>
        <item x="0"/>
        <item x="7"/>
        <item x="3"/>
        <item x="12"/>
        <item x="5"/>
        <item x="10"/>
        <item x="8"/>
        <item x="13"/>
        <item x="15"/>
        <item x="11"/>
        <item x="16"/>
        <item x="14"/>
        <item x="18"/>
        <item x="17"/>
        <item x="20"/>
        <item x="19"/>
        <item x="24"/>
        <item x="22"/>
        <item x="21"/>
        <item x="25"/>
        <item x="23"/>
        <item x="27"/>
        <item x="28"/>
        <item x="26"/>
        <item x="30"/>
        <item x="32"/>
        <item x="29"/>
        <item x="33"/>
        <item x="31"/>
        <item x="34"/>
        <item x="36"/>
        <item x="35"/>
        <item x="37"/>
        <item x="38"/>
        <item x="39"/>
        <item x="40"/>
        <item x="42"/>
        <item x="41"/>
        <item x="43"/>
        <item x="45"/>
        <item x="44"/>
        <item x="46"/>
        <item x="48"/>
        <item x="47"/>
        <item x="49"/>
        <item x="51"/>
        <item x="50"/>
        <item x="52"/>
        <item x="54"/>
        <item x="53"/>
        <item x="55"/>
        <item x="57"/>
        <item x="59"/>
        <item x="56"/>
        <item x="58"/>
        <item x="61"/>
        <item x="60"/>
        <item x="63"/>
        <item x="64"/>
        <item x="62"/>
        <item x="66"/>
        <item x="65"/>
        <item x="68"/>
        <item x="69"/>
        <item x="67"/>
        <item x="71"/>
        <item x="70"/>
        <item x="76"/>
        <item x="73"/>
        <item x="74"/>
        <item x="77"/>
        <item x="83"/>
        <item x="72"/>
        <item x="75"/>
        <item x="79"/>
        <item x="81"/>
        <item x="78"/>
        <item x="80"/>
        <item x="82"/>
        <item x="88"/>
        <item x="90"/>
        <item x="84"/>
        <item x="86"/>
        <item x="91"/>
        <item x="85"/>
        <item x="95"/>
        <item x="89"/>
        <item x="87"/>
        <item x="93"/>
        <item x="98"/>
        <item x="92"/>
        <item x="96"/>
        <item x="101"/>
        <item x="104"/>
        <item x="94"/>
        <item x="99"/>
        <item x="109"/>
        <item x="112"/>
        <item x="115"/>
        <item x="102"/>
        <item x="97"/>
        <item x="105"/>
        <item x="107"/>
        <item x="100"/>
        <item x="110"/>
        <item x="121"/>
        <item x="113"/>
        <item x="116"/>
        <item x="103"/>
        <item x="118"/>
        <item x="106"/>
        <item x="120"/>
        <item x="108"/>
        <item x="111"/>
        <item x="114"/>
        <item x="117"/>
        <item x="124"/>
        <item x="119"/>
        <item x="126"/>
        <item x="122"/>
        <item x="127"/>
        <item x="123"/>
        <item x="131"/>
        <item x="129"/>
        <item x="125"/>
        <item x="133"/>
        <item x="128"/>
        <item x="136"/>
        <item x="130"/>
        <item x="138"/>
        <item x="134"/>
        <item x="144"/>
        <item x="132"/>
        <item x="148"/>
        <item x="137"/>
        <item x="151"/>
        <item x="139"/>
        <item x="145"/>
        <item x="141"/>
        <item x="143"/>
        <item x="146"/>
        <item x="135"/>
        <item x="149"/>
        <item x="161"/>
        <item x="160"/>
        <item x="140"/>
        <item x="142"/>
        <item x="152"/>
        <item x="162"/>
        <item x="154"/>
        <item x="147"/>
        <item x="156"/>
        <item x="158"/>
        <item x="150"/>
        <item x="153"/>
        <item x="163"/>
        <item x="155"/>
        <item x="157"/>
        <item x="159"/>
        <item x="164"/>
        <item x="166"/>
        <item x="165"/>
        <item x="167"/>
        <item x="169"/>
        <item x="168"/>
        <item x="171"/>
        <item x="173"/>
        <item x="170"/>
        <item x="176"/>
        <item x="174"/>
        <item x="172"/>
        <item x="177"/>
        <item x="175"/>
        <item x="179"/>
        <item x="180"/>
        <item x="178"/>
        <item x="182"/>
        <item x="183"/>
        <item x="181"/>
        <item x="185"/>
        <item x="186"/>
        <item x="184"/>
        <item x="188"/>
        <item x="189"/>
        <item x="187"/>
        <item x="193"/>
        <item x="194"/>
        <item x="196"/>
        <item x="197"/>
        <item x="198"/>
        <item x="195"/>
        <item x="199"/>
        <item x="201"/>
        <item x="200"/>
        <item x="202"/>
        <item x="205"/>
        <item x="204"/>
        <item x="206"/>
        <item x="207"/>
        <item x="203"/>
        <item x="209"/>
        <item x="191"/>
        <item x="190"/>
        <item x="210"/>
        <item x="208"/>
        <item x="212"/>
        <item x="213"/>
        <item x="211"/>
        <item x="214"/>
        <item x="216"/>
        <item x="219"/>
        <item x="215"/>
        <item x="218"/>
        <item x="221"/>
        <item x="220"/>
        <item x="217"/>
        <item x="223"/>
        <item x="222"/>
        <item x="224"/>
        <item x="226"/>
        <item x="225"/>
        <item x="228"/>
        <item x="227"/>
        <item x="230"/>
        <item x="229"/>
        <item x="231"/>
        <item x="233"/>
        <item x="232"/>
        <item x="234"/>
        <item x="236"/>
        <item x="235"/>
        <item x="237"/>
        <item x="239"/>
        <item x="238"/>
        <item x="241"/>
        <item x="242"/>
        <item x="240"/>
        <item x="244"/>
        <item x="243"/>
        <item x="245"/>
        <item x="247"/>
        <item x="246"/>
        <item x="248"/>
        <item x="250"/>
        <item x="249"/>
        <item x="251"/>
        <item x="252"/>
        <item x="253"/>
        <item x="254"/>
        <item x="256"/>
        <item x="255"/>
        <item x="257"/>
        <item x="259"/>
        <item x="258"/>
        <item x="260"/>
        <item x="262"/>
        <item x="261"/>
        <item x="263"/>
        <item x="265"/>
        <item x="264"/>
        <item x="267"/>
        <item x="268"/>
        <item x="266"/>
        <item x="192"/>
        <item t="default"/>
      </items>
    </pivotField>
    <pivotField showAll="0">
      <items count="258">
        <item x="18"/>
        <item x="16"/>
        <item x="13"/>
        <item x="23"/>
        <item x="10"/>
        <item x="25"/>
        <item x="33"/>
        <item x="7"/>
        <item x="36"/>
        <item x="32"/>
        <item x="50"/>
        <item x="39"/>
        <item x="27"/>
        <item x="1"/>
        <item x="4"/>
        <item x="46"/>
        <item x="14"/>
        <item x="17"/>
        <item x="19"/>
        <item x="11"/>
        <item x="21"/>
        <item x="57"/>
        <item x="8"/>
        <item x="2"/>
        <item x="61"/>
        <item x="12"/>
        <item x="5"/>
        <item x="9"/>
        <item x="15"/>
        <item x="64"/>
        <item x="0"/>
        <item x="6"/>
        <item x="67"/>
        <item x="20"/>
        <item x="34"/>
        <item x="3"/>
        <item x="28"/>
        <item x="37"/>
        <item x="72"/>
        <item x="30"/>
        <item x="22"/>
        <item x="51"/>
        <item x="24"/>
        <item x="42"/>
        <item x="44"/>
        <item x="47"/>
        <item x="83"/>
        <item x="53"/>
        <item x="26"/>
        <item x="31"/>
        <item x="55"/>
        <item x="58"/>
        <item x="35"/>
        <item x="29"/>
        <item x="87"/>
        <item x="38"/>
        <item x="62"/>
        <item x="76"/>
        <item x="40"/>
        <item x="49"/>
        <item x="41"/>
        <item x="43"/>
        <item x="48"/>
        <item x="45"/>
        <item x="68"/>
        <item x="52"/>
        <item x="65"/>
        <item x="70"/>
        <item x="54"/>
        <item x="56"/>
        <item x="59"/>
        <item x="60"/>
        <item x="98"/>
        <item x="74"/>
        <item x="109"/>
        <item x="66"/>
        <item x="69"/>
        <item x="63"/>
        <item x="104"/>
        <item x="85"/>
        <item x="71"/>
        <item x="84"/>
        <item x="77"/>
        <item x="88"/>
        <item x="116"/>
        <item x="79"/>
        <item x="81"/>
        <item x="73"/>
        <item x="118"/>
        <item x="121"/>
        <item x="91"/>
        <item x="123"/>
        <item x="125"/>
        <item x="130"/>
        <item x="93"/>
        <item x="95"/>
        <item x="132"/>
        <item x="75"/>
        <item x="99"/>
        <item x="110"/>
        <item x="86"/>
        <item x="78"/>
        <item x="108"/>
        <item x="82"/>
        <item x="89"/>
        <item x="106"/>
        <item x="80"/>
        <item x="115"/>
        <item x="102"/>
        <item x="105"/>
        <item x="141"/>
        <item x="90"/>
        <item x="92"/>
        <item x="94"/>
        <item x="122"/>
        <item x="112"/>
        <item x="113"/>
        <item x="96"/>
        <item x="111"/>
        <item x="126"/>
        <item x="97"/>
        <item x="107"/>
        <item x="114"/>
        <item x="147"/>
        <item x="100"/>
        <item x="138"/>
        <item x="101"/>
        <item x="103"/>
        <item x="133"/>
        <item x="142"/>
        <item x="149"/>
        <item x="135"/>
        <item x="120"/>
        <item x="117"/>
        <item x="119"/>
        <item x="124"/>
        <item x="127"/>
        <item x="137"/>
        <item x="128"/>
        <item x="129"/>
        <item x="136"/>
        <item x="139"/>
        <item x="140"/>
        <item x="134"/>
        <item x="143"/>
        <item x="131"/>
        <item x="144"/>
        <item x="145"/>
        <item x="150"/>
        <item x="146"/>
        <item x="152"/>
        <item x="155"/>
        <item x="148"/>
        <item x="153"/>
        <item x="158"/>
        <item x="156"/>
        <item x="160"/>
        <item x="151"/>
        <item x="164"/>
        <item x="157"/>
        <item x="167"/>
        <item x="154"/>
        <item x="170"/>
        <item x="161"/>
        <item x="172"/>
        <item x="165"/>
        <item x="159"/>
        <item x="168"/>
        <item x="175"/>
        <item x="163"/>
        <item x="166"/>
        <item x="173"/>
        <item x="169"/>
        <item x="178"/>
        <item x="171"/>
        <item x="176"/>
        <item x="181"/>
        <item x="174"/>
        <item x="179"/>
        <item x="177"/>
        <item x="182"/>
        <item x="184"/>
        <item x="180"/>
        <item x="187"/>
        <item x="185"/>
        <item x="190"/>
        <item x="183"/>
        <item x="188"/>
        <item x="255"/>
        <item x="186"/>
        <item x="252"/>
        <item x="193"/>
        <item x="256"/>
        <item x="191"/>
        <item x="199"/>
        <item x="215"/>
        <item x="217"/>
        <item x="196"/>
        <item x="254"/>
        <item x="212"/>
        <item x="253"/>
        <item x="202"/>
        <item x="189"/>
        <item x="209"/>
        <item x="206"/>
        <item x="239"/>
        <item x="246"/>
        <item x="251"/>
        <item x="194"/>
        <item x="244"/>
        <item x="250"/>
        <item x="237"/>
        <item x="220"/>
        <item x="200"/>
        <item x="234"/>
        <item x="249"/>
        <item x="248"/>
        <item x="197"/>
        <item x="192"/>
        <item x="216"/>
        <item x="232"/>
        <item x="218"/>
        <item x="223"/>
        <item x="240"/>
        <item x="247"/>
        <item x="213"/>
        <item x="203"/>
        <item x="245"/>
        <item x="229"/>
        <item x="198"/>
        <item x="242"/>
        <item x="226"/>
        <item x="210"/>
        <item x="195"/>
        <item x="207"/>
        <item x="201"/>
        <item x="238"/>
        <item x="235"/>
        <item x="214"/>
        <item x="243"/>
        <item x="241"/>
        <item x="236"/>
        <item x="221"/>
        <item x="204"/>
        <item x="211"/>
        <item x="233"/>
        <item x="208"/>
        <item x="205"/>
        <item x="224"/>
        <item x="230"/>
        <item x="231"/>
        <item x="227"/>
        <item x="219"/>
        <item x="222"/>
        <item x="228"/>
        <item x="225"/>
        <item x="162"/>
        <item t="default"/>
      </items>
    </pivotField>
    <pivotField showAll="0">
      <items count="282">
        <item x="1"/>
        <item x="4"/>
        <item x="2"/>
        <item x="5"/>
        <item x="0"/>
        <item x="3"/>
        <item x="7"/>
        <item x="8"/>
        <item x="6"/>
        <item x="26"/>
        <item x="25"/>
        <item x="12"/>
        <item x="9"/>
        <item x="22"/>
        <item x="11"/>
        <item x="15"/>
        <item x="14"/>
        <item x="10"/>
        <item x="23"/>
        <item x="27"/>
        <item x="29"/>
        <item x="18"/>
        <item x="13"/>
        <item x="17"/>
        <item x="21"/>
        <item x="24"/>
        <item x="20"/>
        <item x="33"/>
        <item x="16"/>
        <item x="19"/>
        <item x="32"/>
        <item x="30"/>
        <item x="34"/>
        <item x="35"/>
        <item x="36"/>
        <item x="31"/>
        <item x="28"/>
        <item x="38"/>
        <item x="96"/>
        <item x="39"/>
        <item x="95"/>
        <item x="37"/>
        <item x="99"/>
        <item x="93"/>
        <item x="66"/>
        <item x="69"/>
        <item x="61"/>
        <item x="64"/>
        <item x="58"/>
        <item x="90"/>
        <item x="71"/>
        <item x="85"/>
        <item x="87"/>
        <item x="55"/>
        <item x="97"/>
        <item x="40"/>
        <item x="62"/>
        <item x="46"/>
        <item x="42"/>
        <item x="67"/>
        <item x="43"/>
        <item x="59"/>
        <item x="94"/>
        <item x="41"/>
        <item x="56"/>
        <item x="72"/>
        <item x="45"/>
        <item x="91"/>
        <item x="48"/>
        <item x="86"/>
        <item x="63"/>
        <item x="60"/>
        <item x="57"/>
        <item x="88"/>
        <item x="49"/>
        <item x="44"/>
        <item x="118"/>
        <item x="68"/>
        <item x="119"/>
        <item x="51"/>
        <item x="54"/>
        <item x="84"/>
        <item x="65"/>
        <item x="74"/>
        <item x="77"/>
        <item x="70"/>
        <item x="53"/>
        <item x="47"/>
        <item x="122"/>
        <item x="92"/>
        <item x="98"/>
        <item x="89"/>
        <item x="80"/>
        <item x="75"/>
        <item x="78"/>
        <item x="52"/>
        <item x="81"/>
        <item x="120"/>
        <item x="83"/>
        <item x="79"/>
        <item x="82"/>
        <item x="102"/>
        <item x="50"/>
        <item x="150"/>
        <item x="76"/>
        <item x="73"/>
        <item x="115"/>
        <item x="101"/>
        <item x="148"/>
        <item x="130"/>
        <item x="123"/>
        <item x="177"/>
        <item x="105"/>
        <item x="117"/>
        <item x="111"/>
        <item x="103"/>
        <item x="113"/>
        <item x="145"/>
        <item x="106"/>
        <item x="125"/>
        <item x="116"/>
        <item x="108"/>
        <item x="133"/>
        <item x="104"/>
        <item x="140"/>
        <item x="178"/>
        <item x="128"/>
        <item x="109"/>
        <item x="131"/>
        <item x="100"/>
        <item x="126"/>
        <item x="114"/>
        <item x="107"/>
        <item x="121"/>
        <item x="112"/>
        <item x="135"/>
        <item x="174"/>
        <item x="124"/>
        <item x="129"/>
        <item x="171"/>
        <item x="110"/>
        <item x="197"/>
        <item x="132"/>
        <item x="151"/>
        <item x="143"/>
        <item x="127"/>
        <item x="146"/>
        <item x="175"/>
        <item x="137"/>
        <item x="176"/>
        <item x="153"/>
        <item x="141"/>
        <item x="198"/>
        <item x="196"/>
        <item x="181"/>
        <item x="179"/>
        <item x="188"/>
        <item x="134"/>
        <item x="194"/>
        <item x="195"/>
        <item x="173"/>
        <item x="172"/>
        <item x="138"/>
        <item x="191"/>
        <item x="211"/>
        <item x="155"/>
        <item x="169"/>
        <item x="184"/>
        <item x="180"/>
        <item x="190"/>
        <item x="142"/>
        <item x="183"/>
        <item x="202"/>
        <item x="205"/>
        <item x="147"/>
        <item x="144"/>
        <item x="193"/>
        <item x="212"/>
        <item x="139"/>
        <item x="149"/>
        <item x="136"/>
        <item x="210"/>
        <item x="192"/>
        <item x="152"/>
        <item x="214"/>
        <item x="166"/>
        <item x="189"/>
        <item x="199"/>
        <item x="157"/>
        <item x="186"/>
        <item x="204"/>
        <item x="209"/>
        <item x="170"/>
        <item x="216"/>
        <item x="182"/>
        <item x="208"/>
        <item x="160"/>
        <item x="242"/>
        <item x="167"/>
        <item x="201"/>
        <item x="239"/>
        <item x="163"/>
        <item x="213"/>
        <item x="233"/>
        <item x="154"/>
        <item x="164"/>
        <item x="165"/>
        <item x="158"/>
        <item x="218"/>
        <item x="187"/>
        <item x="215"/>
        <item x="162"/>
        <item x="168"/>
        <item x="203"/>
        <item x="161"/>
        <item x="185"/>
        <item x="241"/>
        <item x="206"/>
        <item x="207"/>
        <item x="243"/>
        <item x="270"/>
        <item x="156"/>
        <item x="238"/>
        <item x="235"/>
        <item x="232"/>
        <item x="217"/>
        <item x="159"/>
        <item x="245"/>
        <item x="228"/>
        <item x="269"/>
        <item x="240"/>
        <item x="225"/>
        <item x="265"/>
        <item x="236"/>
        <item x="268"/>
        <item x="244"/>
        <item x="237"/>
        <item x="271"/>
        <item x="219"/>
        <item x="267"/>
        <item x="234"/>
        <item x="231"/>
        <item x="263"/>
        <item x="222"/>
        <item x="266"/>
        <item x="264"/>
        <item x="230"/>
        <item x="260"/>
        <item x="221"/>
        <item x="227"/>
        <item x="262"/>
        <item x="252"/>
        <item x="224"/>
        <item x="272"/>
        <item x="261"/>
        <item x="249"/>
        <item x="220"/>
        <item x="278"/>
        <item x="257"/>
        <item x="274"/>
        <item x="254"/>
        <item x="246"/>
        <item x="229"/>
        <item x="251"/>
        <item x="226"/>
        <item x="273"/>
        <item x="280"/>
        <item x="223"/>
        <item x="248"/>
        <item x="259"/>
        <item x="275"/>
        <item x="253"/>
        <item x="256"/>
        <item x="250"/>
        <item x="279"/>
        <item x="247"/>
        <item x="277"/>
        <item x="258"/>
        <item x="276"/>
        <item x="255"/>
        <item x="200"/>
        <item t="default"/>
      </items>
    </pivotField>
    <pivotField showAll="0">
      <items count="313">
        <item x="6"/>
        <item x="0"/>
        <item x="2"/>
        <item x="3"/>
        <item x="1"/>
        <item x="5"/>
        <item x="8"/>
        <item x="7"/>
        <item x="4"/>
        <item x="10"/>
        <item x="11"/>
        <item x="9"/>
        <item x="38"/>
        <item x="13"/>
        <item x="41"/>
        <item x="39"/>
        <item x="37"/>
        <item x="42"/>
        <item x="40"/>
        <item x="14"/>
        <item x="134"/>
        <item x="35"/>
        <item x="136"/>
        <item x="135"/>
        <item x="138"/>
        <item x="139"/>
        <item x="133"/>
        <item x="137"/>
        <item x="43"/>
        <item x="45"/>
        <item x="131"/>
        <item x="44"/>
        <item x="140"/>
        <item x="36"/>
        <item x="142"/>
        <item x="12"/>
        <item x="143"/>
        <item x="34"/>
        <item x="47"/>
        <item x="132"/>
        <item x="144"/>
        <item x="16"/>
        <item x="46"/>
        <item x="141"/>
        <item x="77"/>
        <item x="173"/>
        <item x="75"/>
        <item x="107"/>
        <item x="72"/>
        <item x="80"/>
        <item x="79"/>
        <item x="196"/>
        <item x="145"/>
        <item x="17"/>
        <item x="48"/>
        <item x="74"/>
        <item x="198"/>
        <item x="108"/>
        <item x="105"/>
        <item x="194"/>
        <item x="106"/>
        <item x="78"/>
        <item x="82"/>
        <item x="195"/>
        <item x="76"/>
        <item x="197"/>
        <item x="193"/>
        <item x="73"/>
        <item x="50"/>
        <item x="69"/>
        <item x="192"/>
        <item x="174"/>
        <item x="71"/>
        <item x="147"/>
        <item x="200"/>
        <item x="109"/>
        <item x="70"/>
        <item x="171"/>
        <item x="111"/>
        <item x="172"/>
        <item x="83"/>
        <item x="81"/>
        <item x="191"/>
        <item x="110"/>
        <item x="169"/>
        <item x="49"/>
        <item x="175"/>
        <item x="170"/>
        <item x="254"/>
        <item x="20"/>
        <item x="85"/>
        <item x="19"/>
        <item x="102"/>
        <item x="66"/>
        <item x="68"/>
        <item x="203"/>
        <item x="86"/>
        <item x="304"/>
        <item x="67"/>
        <item x="199"/>
        <item x="104"/>
        <item x="112"/>
        <item x="130"/>
        <item x="129"/>
        <item x="146"/>
        <item x="168"/>
        <item x="308"/>
        <item x="302"/>
        <item x="202"/>
        <item x="176"/>
        <item x="15"/>
        <item x="178"/>
        <item x="177"/>
        <item x="103"/>
        <item x="257"/>
        <item x="32"/>
        <item x="88"/>
        <item x="190"/>
        <item x="33"/>
        <item x="100"/>
        <item x="31"/>
        <item x="84"/>
        <item x="189"/>
        <item x="187"/>
        <item x="256"/>
        <item x="310"/>
        <item x="232"/>
        <item x="101"/>
        <item x="126"/>
        <item x="184"/>
        <item x="123"/>
        <item x="250"/>
        <item x="186"/>
        <item x="51"/>
        <item x="299"/>
        <item x="166"/>
        <item x="125"/>
        <item x="128"/>
        <item x="185"/>
        <item x="113"/>
        <item x="148"/>
        <item x="167"/>
        <item x="22"/>
        <item x="63"/>
        <item x="165"/>
        <item x="227"/>
        <item x="65"/>
        <item x="114"/>
        <item x="306"/>
        <item x="260"/>
        <item x="124"/>
        <item x="188"/>
        <item x="64"/>
        <item x="87"/>
        <item x="89"/>
        <item x="263"/>
        <item x="23"/>
        <item x="179"/>
        <item x="153"/>
        <item x="127"/>
        <item x="97"/>
        <item x="60"/>
        <item x="259"/>
        <item x="278"/>
        <item x="181"/>
        <item x="207"/>
        <item x="182"/>
        <item x="233"/>
        <item x="155"/>
        <item x="62"/>
        <item x="120"/>
        <item x="156"/>
        <item x="183"/>
        <item x="91"/>
        <item x="53"/>
        <item x="117"/>
        <item x="99"/>
        <item x="57"/>
        <item x="92"/>
        <item x="122"/>
        <item x="180"/>
        <item x="150"/>
        <item x="61"/>
        <item x="116"/>
        <item x="301"/>
        <item x="252"/>
        <item x="206"/>
        <item x="96"/>
        <item x="154"/>
        <item x="18"/>
        <item x="162"/>
        <item x="54"/>
        <item x="201"/>
        <item x="164"/>
        <item x="59"/>
        <item x="94"/>
        <item x="265"/>
        <item x="158"/>
        <item x="229"/>
        <item x="151"/>
        <item x="163"/>
        <item x="210"/>
        <item x="121"/>
        <item x="262"/>
        <item x="98"/>
        <item x="25"/>
        <item x="224"/>
        <item x="119"/>
        <item x="90"/>
        <item x="95"/>
        <item x="253"/>
        <item x="281"/>
        <item x="255"/>
        <item x="279"/>
        <item x="228"/>
        <item x="284"/>
        <item x="209"/>
        <item x="159"/>
        <item x="56"/>
        <item x="93"/>
        <item x="58"/>
        <item x="277"/>
        <item x="204"/>
        <item x="266"/>
        <item x="226"/>
        <item x="234"/>
        <item x="27"/>
        <item x="297"/>
        <item x="272"/>
        <item x="52"/>
        <item x="289"/>
        <item x="157"/>
        <item x="115"/>
        <item x="161"/>
        <item x="24"/>
        <item x="283"/>
        <item x="149"/>
        <item x="303"/>
        <item x="305"/>
        <item x="307"/>
        <item x="258"/>
        <item x="291"/>
        <item x="21"/>
        <item x="28"/>
        <item x="300"/>
        <item x="212"/>
        <item x="118"/>
        <item x="152"/>
        <item x="309"/>
        <item x="230"/>
        <item x="205"/>
        <item x="251"/>
        <item x="225"/>
        <item x="55"/>
        <item x="288"/>
        <item x="286"/>
        <item x="30"/>
        <item x="264"/>
        <item x="26"/>
        <item x="269"/>
        <item x="294"/>
        <item x="311"/>
        <item x="160"/>
        <item x="268"/>
        <item x="261"/>
        <item x="237"/>
        <item x="247"/>
        <item x="274"/>
        <item x="214"/>
        <item x="208"/>
        <item x="280"/>
        <item x="215"/>
        <item x="221"/>
        <item x="293"/>
        <item x="235"/>
        <item x="211"/>
        <item x="29"/>
        <item x="249"/>
        <item x="223"/>
        <item x="276"/>
        <item x="271"/>
        <item x="217"/>
        <item x="296"/>
        <item x="238"/>
        <item x="236"/>
        <item x="282"/>
        <item x="275"/>
        <item x="298"/>
        <item x="248"/>
        <item x="213"/>
        <item x="222"/>
        <item x="287"/>
        <item x="240"/>
        <item x="218"/>
        <item x="285"/>
        <item x="290"/>
        <item x="267"/>
        <item x="216"/>
        <item x="220"/>
        <item x="273"/>
        <item x="292"/>
        <item x="241"/>
        <item x="244"/>
        <item x="239"/>
        <item x="295"/>
        <item x="270"/>
        <item x="243"/>
        <item x="246"/>
        <item x="219"/>
        <item x="245"/>
        <item x="242"/>
        <item x="231"/>
        <item t="default"/>
      </items>
    </pivotField>
    <pivotField showAll="0">
      <items count="266">
        <item x="7"/>
        <item x="4"/>
        <item x="9"/>
        <item x="18"/>
        <item x="8"/>
        <item x="15"/>
        <item x="10"/>
        <item x="5"/>
        <item x="12"/>
        <item x="6"/>
        <item x="1"/>
        <item x="3"/>
        <item x="2"/>
        <item x="0"/>
        <item x="13"/>
        <item x="16"/>
        <item x="19"/>
        <item x="11"/>
        <item x="14"/>
        <item x="22"/>
        <item x="17"/>
        <item x="28"/>
        <item x="20"/>
        <item x="24"/>
        <item x="21"/>
        <item x="26"/>
        <item x="29"/>
        <item x="23"/>
        <item x="31"/>
        <item x="25"/>
        <item x="27"/>
        <item x="30"/>
        <item x="32"/>
        <item x="33"/>
        <item x="34"/>
        <item x="36"/>
        <item x="37"/>
        <item x="169"/>
        <item x="39"/>
        <item x="35"/>
        <item x="38"/>
        <item x="41"/>
        <item x="40"/>
        <item x="176"/>
        <item x="174"/>
        <item x="166"/>
        <item x="42"/>
        <item x="44"/>
        <item x="45"/>
        <item x="43"/>
        <item x="178"/>
        <item x="48"/>
        <item x="47"/>
        <item x="50"/>
        <item x="51"/>
        <item x="54"/>
        <item x="46"/>
        <item x="161"/>
        <item x="53"/>
        <item x="49"/>
        <item x="179"/>
        <item x="56"/>
        <item x="181"/>
        <item x="158"/>
        <item x="59"/>
        <item x="58"/>
        <item x="52"/>
        <item x="155"/>
        <item x="62"/>
        <item x="55"/>
        <item x="182"/>
        <item x="183"/>
        <item x="61"/>
        <item x="177"/>
        <item x="180"/>
        <item x="170"/>
        <item x="65"/>
        <item x="172"/>
        <item x="184"/>
        <item x="153"/>
        <item x="167"/>
        <item x="64"/>
        <item x="57"/>
        <item x="145"/>
        <item x="151"/>
        <item x="68"/>
        <item x="185"/>
        <item x="148"/>
        <item x="164"/>
        <item x="143"/>
        <item x="67"/>
        <item x="186"/>
        <item x="60"/>
        <item x="175"/>
        <item x="162"/>
        <item x="168"/>
        <item x="171"/>
        <item x="173"/>
        <item x="63"/>
        <item x="159"/>
        <item x="188"/>
        <item x="140"/>
        <item x="189"/>
        <item x="165"/>
        <item x="187"/>
        <item x="191"/>
        <item x="156"/>
        <item x="163"/>
        <item x="193"/>
        <item x="192"/>
        <item x="160"/>
        <item x="196"/>
        <item x="70"/>
        <item x="190"/>
        <item x="194"/>
        <item x="154"/>
        <item x="66"/>
        <item x="137"/>
        <item x="197"/>
        <item x="157"/>
        <item x="71"/>
        <item x="195"/>
        <item x="152"/>
        <item x="199"/>
        <item x="146"/>
        <item x="149"/>
        <item x="198"/>
        <item x="144"/>
        <item x="74"/>
        <item x="200"/>
        <item x="201"/>
        <item x="132"/>
        <item x="141"/>
        <item x="150"/>
        <item x="147"/>
        <item x="203"/>
        <item x="73"/>
        <item x="77"/>
        <item x="142"/>
        <item x="138"/>
        <item x="202"/>
        <item x="76"/>
        <item x="206"/>
        <item x="207"/>
        <item x="139"/>
        <item x="205"/>
        <item x="135"/>
        <item x="204"/>
        <item x="136"/>
        <item x="80"/>
        <item x="69"/>
        <item x="129"/>
        <item x="133"/>
        <item x="79"/>
        <item x="134"/>
        <item x="131"/>
        <item x="72"/>
        <item x="217"/>
        <item x="75"/>
        <item x="218"/>
        <item x="215"/>
        <item x="82"/>
        <item x="208"/>
        <item x="212"/>
        <item x="210"/>
        <item x="209"/>
        <item x="214"/>
        <item x="216"/>
        <item x="213"/>
        <item x="130"/>
        <item x="83"/>
        <item x="126"/>
        <item x="219"/>
        <item x="78"/>
        <item x="221"/>
        <item x="128"/>
        <item x="225"/>
        <item x="220"/>
        <item x="227"/>
        <item x="228"/>
        <item x="127"/>
        <item x="226"/>
        <item x="223"/>
        <item x="224"/>
        <item x="86"/>
        <item x="229"/>
        <item x="98"/>
        <item x="222"/>
        <item x="125"/>
        <item x="89"/>
        <item x="101"/>
        <item x="95"/>
        <item x="243"/>
        <item x="245"/>
        <item x="234"/>
        <item x="244"/>
        <item x="92"/>
        <item x="239"/>
        <item x="236"/>
        <item x="238"/>
        <item x="241"/>
        <item x="100"/>
        <item x="242"/>
        <item x="237"/>
        <item x="247"/>
        <item x="235"/>
        <item x="246"/>
        <item x="230"/>
        <item x="240"/>
        <item x="85"/>
        <item x="81"/>
        <item x="232"/>
        <item x="231"/>
        <item x="104"/>
        <item x="233"/>
        <item x="248"/>
        <item x="250"/>
        <item x="249"/>
        <item x="97"/>
        <item x="103"/>
        <item x="123"/>
        <item x="124"/>
        <item x="251"/>
        <item x="252"/>
        <item x="107"/>
        <item x="253"/>
        <item x="255"/>
        <item x="254"/>
        <item x="121"/>
        <item x="118"/>
        <item x="99"/>
        <item x="116"/>
        <item x="257"/>
        <item x="94"/>
        <item x="259"/>
        <item x="260"/>
        <item x="256"/>
        <item x="261"/>
        <item x="88"/>
        <item x="258"/>
        <item x="91"/>
        <item x="106"/>
        <item x="110"/>
        <item x="120"/>
        <item x="113"/>
        <item x="262"/>
        <item x="264"/>
        <item x="117"/>
        <item x="109"/>
        <item x="263"/>
        <item x="122"/>
        <item x="115"/>
        <item x="119"/>
        <item x="96"/>
        <item x="102"/>
        <item x="112"/>
        <item x="114"/>
        <item x="105"/>
        <item x="93"/>
        <item x="108"/>
        <item x="84"/>
        <item x="111"/>
        <item x="90"/>
        <item x="87"/>
        <item x="211"/>
        <item t="default"/>
      </items>
    </pivotField>
    <pivotField showAll="0">
      <items count="206">
        <item x="66"/>
        <item x="63"/>
        <item x="69"/>
        <item x="72"/>
        <item x="61"/>
        <item x="70"/>
        <item x="67"/>
        <item x="59"/>
        <item x="64"/>
        <item x="56"/>
        <item x="73"/>
        <item x="68"/>
        <item x="76"/>
        <item x="65"/>
        <item x="54"/>
        <item x="75"/>
        <item x="71"/>
        <item x="62"/>
        <item x="74"/>
        <item x="51"/>
        <item x="60"/>
        <item x="33"/>
        <item x="57"/>
        <item x="48"/>
        <item x="36"/>
        <item x="78"/>
        <item x="31"/>
        <item x="55"/>
        <item x="79"/>
        <item x="58"/>
        <item x="77"/>
        <item x="45"/>
        <item x="52"/>
        <item x="28"/>
        <item x="80"/>
        <item x="82"/>
        <item x="53"/>
        <item x="49"/>
        <item x="81"/>
        <item x="34"/>
        <item x="25"/>
        <item x="37"/>
        <item x="43"/>
        <item x="50"/>
        <item x="22"/>
        <item x="38"/>
        <item x="83"/>
        <item x="47"/>
        <item x="46"/>
        <item x="20"/>
        <item x="84"/>
        <item x="19"/>
        <item x="32"/>
        <item x="35"/>
        <item x="17"/>
        <item x="14"/>
        <item x="29"/>
        <item x="30"/>
        <item x="11"/>
        <item x="8"/>
        <item x="44"/>
        <item x="26"/>
        <item x="6"/>
        <item x="23"/>
        <item x="39"/>
        <item x="27"/>
        <item x="12"/>
        <item x="15"/>
        <item x="18"/>
        <item x="9"/>
        <item x="24"/>
        <item x="10"/>
        <item x="4"/>
        <item x="21"/>
        <item x="42"/>
        <item x="13"/>
        <item x="7"/>
        <item x="16"/>
        <item x="41"/>
        <item x="40"/>
        <item x="5"/>
        <item x="1"/>
        <item x="147"/>
        <item x="3"/>
        <item x="2"/>
        <item x="86"/>
        <item x="0"/>
        <item x="87"/>
        <item x="161"/>
        <item x="150"/>
        <item x="89"/>
        <item x="90"/>
        <item x="162"/>
        <item x="85"/>
        <item x="163"/>
        <item x="148"/>
        <item x="92"/>
        <item x="93"/>
        <item x="160"/>
        <item x="144"/>
        <item x="165"/>
        <item x="159"/>
        <item x="88"/>
        <item x="164"/>
        <item x="95"/>
        <item x="157"/>
        <item x="166"/>
        <item x="146"/>
        <item x="156"/>
        <item x="91"/>
        <item x="96"/>
        <item x="183"/>
        <item x="154"/>
        <item x="149"/>
        <item x="158"/>
        <item x="172"/>
        <item x="167"/>
        <item x="155"/>
        <item x="98"/>
        <item x="99"/>
        <item x="169"/>
        <item x="94"/>
        <item x="102"/>
        <item x="152"/>
        <item x="170"/>
        <item x="145"/>
        <item x="101"/>
        <item x="185"/>
        <item x="168"/>
        <item x="104"/>
        <item x="141"/>
        <item x="151"/>
        <item x="107"/>
        <item x="186"/>
        <item x="97"/>
        <item x="153"/>
        <item x="108"/>
        <item x="180"/>
        <item x="171"/>
        <item x="100"/>
        <item x="143"/>
        <item x="178"/>
        <item x="103"/>
        <item x="106"/>
        <item x="105"/>
        <item x="182"/>
        <item x="184"/>
        <item x="142"/>
        <item x="110"/>
        <item x="175"/>
        <item x="177"/>
        <item x="176"/>
        <item x="112"/>
        <item x="140"/>
        <item x="181"/>
        <item x="109"/>
        <item x="115"/>
        <item x="139"/>
        <item x="114"/>
        <item x="179"/>
        <item x="194"/>
        <item x="117"/>
        <item x="118"/>
        <item x="138"/>
        <item x="121"/>
        <item x="195"/>
        <item x="196"/>
        <item x="198"/>
        <item x="189"/>
        <item x="120"/>
        <item x="111"/>
        <item x="123"/>
        <item x="188"/>
        <item x="173"/>
        <item x="197"/>
        <item x="124"/>
        <item x="199"/>
        <item x="113"/>
        <item x="187"/>
        <item x="126"/>
        <item x="192"/>
        <item x="137"/>
        <item x="116"/>
        <item x="122"/>
        <item x="119"/>
        <item x="201"/>
        <item x="128"/>
        <item x="193"/>
        <item x="130"/>
        <item x="125"/>
        <item x="190"/>
        <item x="132"/>
        <item x="136"/>
        <item x="127"/>
        <item x="200"/>
        <item x="129"/>
        <item x="133"/>
        <item x="131"/>
        <item x="203"/>
        <item x="135"/>
        <item x="191"/>
        <item x="202"/>
        <item x="134"/>
        <item x="204"/>
        <item x="174"/>
        <item t="default"/>
      </items>
    </pivotField>
    <pivotField showAll="0">
      <items count="283">
        <item x="1"/>
        <item x="3"/>
        <item x="6"/>
        <item x="2"/>
        <item x="4"/>
        <item x="7"/>
        <item x="0"/>
        <item x="8"/>
        <item x="5"/>
        <item x="9"/>
        <item x="10"/>
        <item x="12"/>
        <item x="11"/>
        <item x="13"/>
        <item x="15"/>
        <item x="14"/>
        <item x="17"/>
        <item x="18"/>
        <item x="20"/>
        <item x="16"/>
        <item x="21"/>
        <item x="24"/>
        <item x="23"/>
        <item x="19"/>
        <item x="26"/>
        <item x="27"/>
        <item x="22"/>
        <item x="29"/>
        <item x="25"/>
        <item x="30"/>
        <item x="33"/>
        <item x="28"/>
        <item x="36"/>
        <item x="32"/>
        <item x="39"/>
        <item x="35"/>
        <item x="42"/>
        <item x="38"/>
        <item x="45"/>
        <item x="41"/>
        <item x="31"/>
        <item x="48"/>
        <item x="44"/>
        <item x="34"/>
        <item x="51"/>
        <item x="47"/>
        <item x="37"/>
        <item x="40"/>
        <item x="50"/>
        <item x="54"/>
        <item x="57"/>
        <item x="43"/>
        <item x="53"/>
        <item x="62"/>
        <item x="65"/>
        <item x="46"/>
        <item x="56"/>
        <item x="68"/>
        <item x="59"/>
        <item x="61"/>
        <item x="49"/>
        <item x="71"/>
        <item x="64"/>
        <item x="67"/>
        <item x="74"/>
        <item x="76"/>
        <item x="52"/>
        <item x="70"/>
        <item x="78"/>
        <item x="73"/>
        <item x="55"/>
        <item x="77"/>
        <item x="58"/>
        <item x="81"/>
        <item x="80"/>
        <item x="60"/>
        <item x="86"/>
        <item x="63"/>
        <item x="66"/>
        <item x="83"/>
        <item x="85"/>
        <item x="69"/>
        <item x="88"/>
        <item x="75"/>
        <item x="72"/>
        <item x="93"/>
        <item x="90"/>
        <item x="79"/>
        <item x="96"/>
        <item x="99"/>
        <item x="92"/>
        <item x="82"/>
        <item x="102"/>
        <item x="105"/>
        <item x="95"/>
        <item x="108"/>
        <item x="84"/>
        <item x="98"/>
        <item x="110"/>
        <item x="87"/>
        <item x="101"/>
        <item x="113"/>
        <item x="144"/>
        <item x="104"/>
        <item x="107"/>
        <item x="142"/>
        <item x="139"/>
        <item x="116"/>
        <item x="89"/>
        <item x="147"/>
        <item x="119"/>
        <item x="146"/>
        <item x="112"/>
        <item x="136"/>
        <item x="91"/>
        <item x="133"/>
        <item x="115"/>
        <item x="141"/>
        <item x="126"/>
        <item x="130"/>
        <item x="94"/>
        <item x="152"/>
        <item x="148"/>
        <item x="154"/>
        <item x="118"/>
        <item x="155"/>
        <item x="145"/>
        <item x="138"/>
        <item x="121"/>
        <item x="153"/>
        <item x="149"/>
        <item x="157"/>
        <item x="97"/>
        <item x="135"/>
        <item x="123"/>
        <item x="159"/>
        <item x="167"/>
        <item x="125"/>
        <item x="161"/>
        <item x="100"/>
        <item x="132"/>
        <item x="103"/>
        <item x="143"/>
        <item x="156"/>
        <item x="106"/>
        <item x="129"/>
        <item x="158"/>
        <item x="109"/>
        <item x="150"/>
        <item x="164"/>
        <item x="151"/>
        <item x="168"/>
        <item x="166"/>
        <item x="163"/>
        <item x="160"/>
        <item x="162"/>
        <item x="140"/>
        <item x="165"/>
        <item x="111"/>
        <item x="170"/>
        <item x="169"/>
        <item x="172"/>
        <item x="137"/>
        <item x="171"/>
        <item x="114"/>
        <item x="174"/>
        <item x="117"/>
        <item x="134"/>
        <item x="175"/>
        <item x="173"/>
        <item x="120"/>
        <item x="122"/>
        <item x="131"/>
        <item x="176"/>
        <item x="124"/>
        <item x="127"/>
        <item x="128"/>
        <item x="178"/>
        <item x="179"/>
        <item x="177"/>
        <item x="181"/>
        <item x="182"/>
        <item x="180"/>
        <item x="184"/>
        <item x="187"/>
        <item x="185"/>
        <item x="190"/>
        <item x="183"/>
        <item x="188"/>
        <item x="186"/>
        <item x="191"/>
        <item x="189"/>
        <item x="193"/>
        <item x="192"/>
        <item x="196"/>
        <item x="197"/>
        <item x="195"/>
        <item x="198"/>
        <item x="200"/>
        <item x="199"/>
        <item x="202"/>
        <item x="201"/>
        <item x="204"/>
        <item x="205"/>
        <item x="207"/>
        <item x="203"/>
        <item x="212"/>
        <item x="214"/>
        <item x="216"/>
        <item x="208"/>
        <item x="206"/>
        <item x="217"/>
        <item x="210"/>
        <item x="213"/>
        <item x="215"/>
        <item x="209"/>
        <item x="211"/>
        <item x="219"/>
        <item x="222"/>
        <item x="226"/>
        <item x="230"/>
        <item x="233"/>
        <item x="220"/>
        <item x="224"/>
        <item x="223"/>
        <item x="227"/>
        <item x="231"/>
        <item x="234"/>
        <item x="218"/>
        <item x="225"/>
        <item x="221"/>
        <item x="228"/>
        <item x="236"/>
        <item x="229"/>
        <item x="232"/>
        <item x="235"/>
        <item x="238"/>
        <item x="240"/>
        <item x="237"/>
        <item x="241"/>
        <item x="243"/>
        <item x="239"/>
        <item x="244"/>
        <item x="246"/>
        <item x="242"/>
        <item x="247"/>
        <item x="249"/>
        <item x="245"/>
        <item x="252"/>
        <item x="250"/>
        <item x="255"/>
        <item x="248"/>
        <item x="253"/>
        <item x="251"/>
        <item x="258"/>
        <item x="256"/>
        <item x="254"/>
        <item x="259"/>
        <item x="257"/>
        <item x="263"/>
        <item x="261"/>
        <item x="266"/>
        <item x="260"/>
        <item x="264"/>
        <item x="269"/>
        <item x="262"/>
        <item x="267"/>
        <item x="272"/>
        <item x="265"/>
        <item x="270"/>
        <item x="268"/>
        <item x="277"/>
        <item x="273"/>
        <item x="275"/>
        <item x="271"/>
        <item x="280"/>
        <item x="274"/>
        <item x="278"/>
        <item x="276"/>
        <item x="281"/>
        <item x="279"/>
        <item x="194"/>
        <item t="default"/>
      </items>
    </pivotField>
    <pivotField showAll="0">
      <items count="269">
        <item x="0"/>
        <item x="2"/>
        <item x="1"/>
        <item x="4"/>
        <item x="5"/>
        <item x="3"/>
        <item x="7"/>
        <item x="8"/>
        <item x="6"/>
        <item x="10"/>
        <item x="11"/>
        <item x="13"/>
        <item x="9"/>
        <item x="15"/>
        <item x="12"/>
        <item x="17"/>
        <item x="18"/>
        <item x="14"/>
        <item x="20"/>
        <item x="16"/>
        <item x="22"/>
        <item x="19"/>
        <item x="21"/>
        <item x="24"/>
        <item x="23"/>
        <item x="25"/>
        <item x="26"/>
        <item x="32"/>
        <item x="28"/>
        <item x="27"/>
        <item x="30"/>
        <item x="33"/>
        <item x="29"/>
        <item x="31"/>
        <item x="35"/>
        <item x="34"/>
        <item x="37"/>
        <item x="40"/>
        <item x="36"/>
        <item x="43"/>
        <item x="41"/>
        <item x="38"/>
        <item x="44"/>
        <item x="39"/>
        <item x="42"/>
        <item x="47"/>
        <item x="48"/>
        <item x="45"/>
        <item x="46"/>
        <item x="54"/>
        <item x="57"/>
        <item x="49"/>
        <item x="60"/>
        <item x="50"/>
        <item x="52"/>
        <item x="55"/>
        <item x="65"/>
        <item x="58"/>
        <item x="51"/>
        <item x="53"/>
        <item x="70"/>
        <item x="61"/>
        <item x="56"/>
        <item x="63"/>
        <item x="66"/>
        <item x="59"/>
        <item x="68"/>
        <item x="78"/>
        <item x="81"/>
        <item x="71"/>
        <item x="64"/>
        <item x="62"/>
        <item x="67"/>
        <item x="89"/>
        <item x="74"/>
        <item x="69"/>
        <item x="76"/>
        <item x="96"/>
        <item x="72"/>
        <item x="99"/>
        <item x="79"/>
        <item x="82"/>
        <item x="73"/>
        <item x="104"/>
        <item x="75"/>
        <item x="106"/>
        <item x="85"/>
        <item x="111"/>
        <item x="87"/>
        <item x="77"/>
        <item x="90"/>
        <item x="120"/>
        <item x="80"/>
        <item x="83"/>
        <item x="92"/>
        <item x="123"/>
        <item x="84"/>
        <item x="94"/>
        <item x="127"/>
        <item x="129"/>
        <item x="97"/>
        <item x="86"/>
        <item x="100"/>
        <item x="88"/>
        <item x="132"/>
        <item x="102"/>
        <item x="137"/>
        <item x="138"/>
        <item x="107"/>
        <item x="109"/>
        <item x="91"/>
        <item x="112"/>
        <item x="114"/>
        <item x="141"/>
        <item x="116"/>
        <item x="146"/>
        <item x="93"/>
        <item x="152"/>
        <item x="118"/>
        <item x="131"/>
        <item x="98"/>
        <item x="95"/>
        <item x="155"/>
        <item x="103"/>
        <item x="101"/>
        <item x="125"/>
        <item x="105"/>
        <item x="160"/>
        <item x="133"/>
        <item x="108"/>
        <item x="135"/>
        <item x="110"/>
        <item x="165"/>
        <item x="113"/>
        <item x="115"/>
        <item x="130"/>
        <item x="142"/>
        <item x="126"/>
        <item x="128"/>
        <item x="122"/>
        <item x="117"/>
        <item x="174"/>
        <item x="119"/>
        <item x="121"/>
        <item x="124"/>
        <item x="134"/>
        <item x="136"/>
        <item x="140"/>
        <item x="150"/>
        <item x="147"/>
        <item x="144"/>
        <item x="153"/>
        <item x="139"/>
        <item x="156"/>
        <item x="158"/>
        <item x="143"/>
        <item x="161"/>
        <item x="162"/>
        <item x="163"/>
        <item x="166"/>
        <item x="168"/>
        <item x="181"/>
        <item x="170"/>
        <item x="172"/>
        <item x="175"/>
        <item x="176"/>
        <item x="178"/>
        <item x="149"/>
        <item x="151"/>
        <item x="145"/>
        <item x="154"/>
        <item x="148"/>
        <item x="157"/>
        <item x="159"/>
        <item x="164"/>
        <item x="167"/>
        <item x="177"/>
        <item x="169"/>
        <item x="182"/>
        <item x="171"/>
        <item x="173"/>
        <item x="184"/>
        <item x="190"/>
        <item x="180"/>
        <item x="186"/>
        <item x="193"/>
        <item x="183"/>
        <item x="188"/>
        <item x="185"/>
        <item x="196"/>
        <item x="191"/>
        <item x="187"/>
        <item x="194"/>
        <item x="189"/>
        <item x="201"/>
        <item x="204"/>
        <item x="197"/>
        <item x="207"/>
        <item x="210"/>
        <item x="192"/>
        <item x="214"/>
        <item x="218"/>
        <item x="199"/>
        <item x="195"/>
        <item x="202"/>
        <item x="225"/>
        <item x="228"/>
        <item x="231"/>
        <item x="234"/>
        <item x="205"/>
        <item x="236"/>
        <item x="239"/>
        <item x="208"/>
        <item x="242"/>
        <item x="198"/>
        <item x="245"/>
        <item x="200"/>
        <item x="212"/>
        <item x="247"/>
        <item x="250"/>
        <item x="203"/>
        <item x="253"/>
        <item x="215"/>
        <item x="256"/>
        <item x="219"/>
        <item x="221"/>
        <item x="223"/>
        <item x="226"/>
        <item x="206"/>
        <item x="229"/>
        <item x="261"/>
        <item x="232"/>
        <item x="209"/>
        <item x="266"/>
        <item x="211"/>
        <item x="237"/>
        <item x="213"/>
        <item x="240"/>
        <item x="216"/>
        <item x="243"/>
        <item x="217"/>
        <item x="220"/>
        <item x="248"/>
        <item x="222"/>
        <item x="224"/>
        <item x="251"/>
        <item x="254"/>
        <item x="227"/>
        <item x="257"/>
        <item x="230"/>
        <item x="259"/>
        <item x="262"/>
        <item x="233"/>
        <item x="264"/>
        <item x="235"/>
        <item x="267"/>
        <item x="238"/>
        <item x="241"/>
        <item x="244"/>
        <item x="246"/>
        <item x="249"/>
        <item x="252"/>
        <item x="255"/>
        <item x="258"/>
        <item x="260"/>
        <item x="263"/>
        <item x="265"/>
        <item x="179"/>
        <item t="default"/>
      </items>
    </pivotField>
    <pivotField showAll="0">
      <items count="308">
        <item x="0"/>
        <item x="2"/>
        <item x="3"/>
        <item x="1"/>
        <item x="6"/>
        <item x="5"/>
        <item x="9"/>
        <item x="8"/>
        <item x="4"/>
        <item x="11"/>
        <item x="7"/>
        <item x="12"/>
        <item x="14"/>
        <item x="10"/>
        <item x="15"/>
        <item x="13"/>
        <item x="17"/>
        <item x="18"/>
        <item x="16"/>
        <item x="20"/>
        <item x="19"/>
        <item x="22"/>
        <item x="23"/>
        <item x="21"/>
        <item x="25"/>
        <item x="26"/>
        <item x="24"/>
        <item x="27"/>
        <item x="29"/>
        <item x="30"/>
        <item x="28"/>
        <item x="33"/>
        <item x="32"/>
        <item x="35"/>
        <item x="31"/>
        <item x="38"/>
        <item x="41"/>
        <item x="37"/>
        <item x="34"/>
        <item x="44"/>
        <item x="40"/>
        <item x="43"/>
        <item x="36"/>
        <item x="47"/>
        <item x="46"/>
        <item x="39"/>
        <item x="50"/>
        <item x="42"/>
        <item x="49"/>
        <item x="45"/>
        <item x="52"/>
        <item x="48"/>
        <item x="55"/>
        <item x="54"/>
        <item x="58"/>
        <item x="51"/>
        <item x="57"/>
        <item x="60"/>
        <item x="53"/>
        <item x="63"/>
        <item x="56"/>
        <item x="62"/>
        <item x="59"/>
        <item x="65"/>
        <item x="67"/>
        <item x="68"/>
        <item x="61"/>
        <item x="64"/>
        <item x="70"/>
        <item x="66"/>
        <item x="72"/>
        <item x="69"/>
        <item x="73"/>
        <item x="75"/>
        <item x="71"/>
        <item x="74"/>
        <item x="76"/>
        <item x="77"/>
        <item x="79"/>
        <item x="80"/>
        <item x="82"/>
        <item x="78"/>
        <item x="83"/>
        <item x="81"/>
        <item x="85"/>
        <item x="87"/>
        <item x="84"/>
        <item x="86"/>
        <item x="89"/>
        <item x="90"/>
        <item x="88"/>
        <item x="92"/>
        <item x="93"/>
        <item x="91"/>
        <item x="95"/>
        <item x="94"/>
        <item x="99"/>
        <item x="97"/>
        <item x="102"/>
        <item x="100"/>
        <item x="96"/>
        <item x="103"/>
        <item x="98"/>
        <item x="105"/>
        <item x="108"/>
        <item x="101"/>
        <item x="104"/>
        <item x="111"/>
        <item x="109"/>
        <item x="106"/>
        <item x="112"/>
        <item x="107"/>
        <item x="114"/>
        <item x="118"/>
        <item x="110"/>
        <item x="116"/>
        <item x="121"/>
        <item x="113"/>
        <item x="124"/>
        <item x="119"/>
        <item x="115"/>
        <item x="127"/>
        <item x="122"/>
        <item x="130"/>
        <item x="125"/>
        <item x="117"/>
        <item x="135"/>
        <item x="128"/>
        <item x="138"/>
        <item x="120"/>
        <item x="131"/>
        <item x="123"/>
        <item x="143"/>
        <item x="126"/>
        <item x="133"/>
        <item x="136"/>
        <item x="129"/>
        <item x="139"/>
        <item x="141"/>
        <item x="147"/>
        <item x="132"/>
        <item x="134"/>
        <item x="137"/>
        <item x="152"/>
        <item x="154"/>
        <item x="140"/>
        <item x="145"/>
        <item x="159"/>
        <item x="148"/>
        <item x="162"/>
        <item x="142"/>
        <item x="150"/>
        <item x="165"/>
        <item x="144"/>
        <item x="153"/>
        <item x="155"/>
        <item x="146"/>
        <item x="169"/>
        <item x="157"/>
        <item x="160"/>
        <item x="149"/>
        <item x="163"/>
        <item x="166"/>
        <item x="174"/>
        <item x="151"/>
        <item x="158"/>
        <item x="156"/>
        <item x="175"/>
        <item x="170"/>
        <item x="178"/>
        <item x="161"/>
        <item x="180"/>
        <item x="172"/>
        <item x="183"/>
        <item x="185"/>
        <item x="164"/>
        <item x="188"/>
        <item x="167"/>
        <item x="176"/>
        <item x="181"/>
        <item x="168"/>
        <item x="186"/>
        <item x="191"/>
        <item x="171"/>
        <item x="189"/>
        <item x="193"/>
        <item x="182"/>
        <item x="173"/>
        <item x="179"/>
        <item x="177"/>
        <item x="184"/>
        <item x="187"/>
        <item x="190"/>
        <item x="192"/>
        <item x="196"/>
        <item x="194"/>
        <item x="198"/>
        <item x="195"/>
        <item x="197"/>
        <item x="200"/>
        <item x="199"/>
        <item x="202"/>
        <item x="201"/>
        <item x="204"/>
        <item x="205"/>
        <item x="203"/>
        <item x="207"/>
        <item x="208"/>
        <item x="206"/>
        <item x="210"/>
        <item x="209"/>
        <item x="214"/>
        <item x="217"/>
        <item x="213"/>
        <item x="212"/>
        <item x="220"/>
        <item x="216"/>
        <item x="223"/>
        <item x="219"/>
        <item x="222"/>
        <item x="215"/>
        <item x="226"/>
        <item x="225"/>
        <item x="228"/>
        <item x="218"/>
        <item x="221"/>
        <item x="224"/>
        <item x="230"/>
        <item x="231"/>
        <item x="227"/>
        <item x="234"/>
        <item x="237"/>
        <item x="229"/>
        <item x="233"/>
        <item x="236"/>
        <item x="239"/>
        <item x="232"/>
        <item x="240"/>
        <item x="235"/>
        <item x="242"/>
        <item x="246"/>
        <item x="241"/>
        <item x="238"/>
        <item x="243"/>
        <item x="249"/>
        <item x="248"/>
        <item x="245"/>
        <item x="252"/>
        <item x="244"/>
        <item x="247"/>
        <item x="253"/>
        <item x="251"/>
        <item x="256"/>
        <item x="255"/>
        <item x="250"/>
        <item x="258"/>
        <item x="261"/>
        <item x="254"/>
        <item x="264"/>
        <item x="260"/>
        <item x="257"/>
        <item x="263"/>
        <item x="267"/>
        <item x="266"/>
        <item x="259"/>
        <item x="270"/>
        <item x="262"/>
        <item x="269"/>
        <item x="265"/>
        <item x="273"/>
        <item x="272"/>
        <item x="268"/>
        <item x="276"/>
        <item x="275"/>
        <item x="279"/>
        <item x="271"/>
        <item x="278"/>
        <item x="282"/>
        <item x="284"/>
        <item x="274"/>
        <item x="281"/>
        <item x="287"/>
        <item x="277"/>
        <item x="290"/>
        <item x="286"/>
        <item x="280"/>
        <item x="289"/>
        <item x="295"/>
        <item x="283"/>
        <item x="292"/>
        <item x="298"/>
        <item x="294"/>
        <item x="285"/>
        <item x="301"/>
        <item x="304"/>
        <item x="297"/>
        <item x="288"/>
        <item x="291"/>
        <item x="300"/>
        <item x="293"/>
        <item x="303"/>
        <item x="306"/>
        <item x="296"/>
        <item x="299"/>
        <item x="302"/>
        <item x="305"/>
        <item x="211"/>
        <item t="default"/>
      </items>
    </pivotField>
    <pivotField showAll="0"/>
    <pivotField axis="axisPage" dataField="1" showAll="0">
      <items count="310">
        <item x="0"/>
        <item x="1"/>
        <item x="2"/>
        <item x="4"/>
        <item x="3"/>
        <item x="5"/>
        <item x="7"/>
        <item x="6"/>
        <item x="8"/>
        <item x="10"/>
        <item x="11"/>
        <item x="9"/>
        <item x="13"/>
        <item x="14"/>
        <item x="16"/>
        <item x="12"/>
        <item x="18"/>
        <item x="19"/>
        <item x="15"/>
        <item x="21"/>
        <item x="17"/>
        <item x="23"/>
        <item x="24"/>
        <item x="20"/>
        <item x="26"/>
        <item x="27"/>
        <item x="22"/>
        <item x="29"/>
        <item x="25"/>
        <item x="30"/>
        <item x="32"/>
        <item x="28"/>
        <item x="35"/>
        <item x="34"/>
        <item x="38"/>
        <item x="37"/>
        <item x="31"/>
        <item x="40"/>
        <item x="41"/>
        <item x="33"/>
        <item x="43"/>
        <item x="36"/>
        <item x="44"/>
        <item x="39"/>
        <item x="46"/>
        <item x="47"/>
        <item x="42"/>
        <item x="49"/>
        <item x="50"/>
        <item x="45"/>
        <item x="52"/>
        <item x="48"/>
        <item x="55"/>
        <item x="54"/>
        <item x="58"/>
        <item x="57"/>
        <item x="51"/>
        <item x="59"/>
        <item x="62"/>
        <item x="61"/>
        <item x="64"/>
        <item x="53"/>
        <item x="66"/>
        <item x="67"/>
        <item x="56"/>
        <item x="70"/>
        <item x="69"/>
        <item x="72"/>
        <item x="60"/>
        <item x="63"/>
        <item x="75"/>
        <item x="74"/>
        <item x="65"/>
        <item x="77"/>
        <item x="68"/>
        <item x="78"/>
        <item x="71"/>
        <item x="80"/>
        <item x="81"/>
        <item x="73"/>
        <item x="83"/>
        <item x="86"/>
        <item x="85"/>
        <item x="76"/>
        <item x="89"/>
        <item x="88"/>
        <item x="79"/>
        <item x="92"/>
        <item x="91"/>
        <item x="82"/>
        <item x="94"/>
        <item x="84"/>
        <item x="99"/>
        <item x="96"/>
        <item x="87"/>
        <item x="102"/>
        <item x="98"/>
        <item x="90"/>
        <item x="105"/>
        <item x="101"/>
        <item x="108"/>
        <item x="104"/>
        <item x="107"/>
        <item x="111"/>
        <item x="93"/>
        <item x="110"/>
        <item x="114"/>
        <item x="95"/>
        <item x="113"/>
        <item x="117"/>
        <item x="116"/>
        <item x="97"/>
        <item x="120"/>
        <item x="100"/>
        <item x="119"/>
        <item x="103"/>
        <item x="123"/>
        <item x="122"/>
        <item x="126"/>
        <item x="106"/>
        <item x="125"/>
        <item x="127"/>
        <item x="109"/>
        <item x="128"/>
        <item x="112"/>
        <item x="115"/>
        <item x="130"/>
        <item x="118"/>
        <item x="133"/>
        <item x="132"/>
        <item x="121"/>
        <item x="136"/>
        <item x="124"/>
        <item x="135"/>
        <item x="129"/>
        <item x="138"/>
        <item x="140"/>
        <item x="141"/>
        <item x="131"/>
        <item x="144"/>
        <item x="143"/>
        <item x="134"/>
        <item x="146"/>
        <item x="147"/>
        <item x="137"/>
        <item x="139"/>
        <item x="149"/>
        <item x="142"/>
        <item x="145"/>
        <item x="150"/>
        <item x="152"/>
        <item x="148"/>
        <item x="154"/>
        <item x="156"/>
        <item x="151"/>
        <item x="158"/>
        <item x="163"/>
        <item x="153"/>
        <item x="160"/>
        <item x="155"/>
        <item x="162"/>
        <item x="165"/>
        <item x="166"/>
        <item x="169"/>
        <item x="157"/>
        <item x="168"/>
        <item x="179"/>
        <item x="171"/>
        <item x="159"/>
        <item x="174"/>
        <item x="178"/>
        <item x="161"/>
        <item x="173"/>
        <item x="176"/>
        <item x="170"/>
        <item x="164"/>
        <item x="182"/>
        <item x="167"/>
        <item x="172"/>
        <item x="175"/>
        <item x="177"/>
        <item x="185"/>
        <item x="180"/>
        <item x="187"/>
        <item x="184"/>
        <item x="190"/>
        <item x="193"/>
        <item x="196"/>
        <item x="189"/>
        <item x="192"/>
        <item x="181"/>
        <item x="195"/>
        <item x="198"/>
        <item x="183"/>
        <item x="200"/>
        <item x="201"/>
        <item x="186"/>
        <item x="203"/>
        <item x="188"/>
        <item x="191"/>
        <item x="194"/>
        <item x="206"/>
        <item x="205"/>
        <item x="197"/>
        <item x="209"/>
        <item x="208"/>
        <item x="199"/>
        <item x="212"/>
        <item x="211"/>
        <item x="202"/>
        <item x="214"/>
        <item x="204"/>
        <item x="216"/>
        <item x="207"/>
        <item x="218"/>
        <item x="210"/>
        <item x="220"/>
        <item x="213"/>
        <item x="221"/>
        <item x="215"/>
        <item x="223"/>
        <item x="217"/>
        <item x="224"/>
        <item x="219"/>
        <item x="226"/>
        <item x="222"/>
        <item x="225"/>
        <item x="231"/>
        <item x="228"/>
        <item x="233"/>
        <item x="237"/>
        <item x="234"/>
        <item x="239"/>
        <item x="230"/>
        <item x="242"/>
        <item x="238"/>
        <item x="236"/>
        <item x="245"/>
        <item x="241"/>
        <item x="244"/>
        <item x="250"/>
        <item x="247"/>
        <item x="229"/>
        <item x="253"/>
        <item x="232"/>
        <item x="252"/>
        <item x="249"/>
        <item x="235"/>
        <item x="240"/>
        <item x="258"/>
        <item x="255"/>
        <item x="261"/>
        <item x="243"/>
        <item x="266"/>
        <item x="273"/>
        <item x="260"/>
        <item x="263"/>
        <item x="269"/>
        <item x="276"/>
        <item x="246"/>
        <item x="257"/>
        <item x="265"/>
        <item x="275"/>
        <item x="278"/>
        <item x="272"/>
        <item x="268"/>
        <item x="277"/>
        <item x="270"/>
        <item x="286"/>
        <item x="248"/>
        <item x="251"/>
        <item x="280"/>
        <item x="282"/>
        <item x="283"/>
        <item x="285"/>
        <item x="254"/>
        <item x="291"/>
        <item x="288"/>
        <item x="294"/>
        <item x="290"/>
        <item x="262"/>
        <item x="259"/>
        <item x="293"/>
        <item x="296"/>
        <item x="274"/>
        <item x="264"/>
        <item x="271"/>
        <item x="298"/>
        <item x="267"/>
        <item x="281"/>
        <item x="300"/>
        <item x="279"/>
        <item x="256"/>
        <item x="284"/>
        <item x="304"/>
        <item x="287"/>
        <item x="289"/>
        <item x="303"/>
        <item x="292"/>
        <item x="306"/>
        <item x="295"/>
        <item x="297"/>
        <item x="308"/>
        <item x="299"/>
        <item x="301"/>
        <item x="302"/>
        <item x="305"/>
        <item x="307"/>
        <item x="22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
  </rowFields>
  <rowItems count="8">
    <i>
      <x v="4"/>
    </i>
    <i>
      <x v="5"/>
    </i>
    <i>
      <x v="6"/>
    </i>
    <i>
      <x v="7"/>
    </i>
    <i>
      <x v="8"/>
    </i>
    <i>
      <x v="9"/>
    </i>
    <i>
      <x v="10"/>
    </i>
    <i t="grand">
      <x/>
    </i>
  </rowItems>
  <colItems count="1">
    <i/>
  </colItems>
  <pageFields count="2">
    <pageField fld="0" item="1" hier="-1"/>
    <pageField fld="16" hier="-1"/>
  </pageFields>
  <dataFields count="1">
    <dataField name="Sum of Pan, tobacco and intoxicants" fld="1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Q5:R13" firstHeaderRow="1" firstDataRow="1" firstDataCol="1" rowPageCount="2" colPageCount="1"/>
  <pivotFields count="30">
    <pivotField axis="axisPage" showAll="0">
      <items count="4">
        <item x="0"/>
        <item x="2"/>
        <item x="1"/>
        <item t="default"/>
      </items>
    </pivotField>
    <pivotField axis="axisRow" multipleItemSelectionAllowed="1" showAll="0">
      <items count="12">
        <item h="1" x="0"/>
        <item h="1" x="1"/>
        <item h="1" x="2"/>
        <item h="1" x="3"/>
        <item x="4"/>
        <item x="5"/>
        <item x="6"/>
        <item x="7"/>
        <item x="8"/>
        <item x="9"/>
        <item x="10"/>
        <item t="default"/>
      </items>
    </pivotField>
    <pivotField showAll="0"/>
    <pivotField showAll="0">
      <items count="254">
        <item x="0"/>
        <item x="2"/>
        <item x="3"/>
        <item x="6"/>
        <item x="5"/>
        <item x="1"/>
        <item x="11"/>
        <item x="8"/>
        <item x="10"/>
        <item x="13"/>
        <item x="4"/>
        <item x="16"/>
        <item x="15"/>
        <item x="7"/>
        <item x="19"/>
        <item x="9"/>
        <item x="18"/>
        <item x="12"/>
        <item x="21"/>
        <item x="24"/>
        <item x="23"/>
        <item x="14"/>
        <item x="26"/>
        <item x="27"/>
        <item x="17"/>
        <item x="29"/>
        <item x="20"/>
        <item x="30"/>
        <item x="22"/>
        <item x="25"/>
        <item x="32"/>
        <item x="35"/>
        <item x="34"/>
        <item x="28"/>
        <item x="38"/>
        <item x="37"/>
        <item x="43"/>
        <item x="31"/>
        <item x="40"/>
        <item x="42"/>
        <item x="45"/>
        <item x="33"/>
        <item x="47"/>
        <item x="48"/>
        <item x="51"/>
        <item x="36"/>
        <item x="39"/>
        <item x="53"/>
        <item x="50"/>
        <item x="41"/>
        <item x="56"/>
        <item x="44"/>
        <item x="55"/>
        <item x="46"/>
        <item x="58"/>
        <item x="60"/>
        <item x="62"/>
        <item x="65"/>
        <item x="66"/>
        <item x="64"/>
        <item x="49"/>
        <item x="68"/>
        <item x="61"/>
        <item x="67"/>
        <item x="54"/>
        <item x="63"/>
        <item x="59"/>
        <item x="57"/>
        <item x="69"/>
        <item x="52"/>
        <item x="83"/>
        <item x="72"/>
        <item x="70"/>
        <item x="74"/>
        <item x="71"/>
        <item x="76"/>
        <item x="87"/>
        <item x="73"/>
        <item x="75"/>
        <item x="79"/>
        <item x="81"/>
        <item x="84"/>
        <item x="77"/>
        <item x="78"/>
        <item x="80"/>
        <item x="82"/>
        <item x="85"/>
        <item x="88"/>
        <item x="93"/>
        <item x="90"/>
        <item x="86"/>
        <item x="96"/>
        <item x="89"/>
        <item x="94"/>
        <item x="91"/>
        <item x="99"/>
        <item x="97"/>
        <item x="92"/>
        <item x="95"/>
        <item x="100"/>
        <item x="102"/>
        <item x="98"/>
        <item x="105"/>
        <item x="103"/>
        <item x="101"/>
        <item x="109"/>
        <item x="106"/>
        <item x="112"/>
        <item x="111"/>
        <item x="104"/>
        <item x="110"/>
        <item x="107"/>
        <item x="113"/>
        <item x="108"/>
        <item x="120"/>
        <item x="114"/>
        <item x="116"/>
        <item x="125"/>
        <item x="128"/>
        <item x="118"/>
        <item x="115"/>
        <item x="131"/>
        <item x="117"/>
        <item x="121"/>
        <item x="138"/>
        <item x="123"/>
        <item x="126"/>
        <item x="119"/>
        <item x="129"/>
        <item x="132"/>
        <item x="122"/>
        <item x="124"/>
        <item x="141"/>
        <item x="127"/>
        <item x="130"/>
        <item x="136"/>
        <item x="144"/>
        <item x="133"/>
        <item x="134"/>
        <item x="139"/>
        <item x="135"/>
        <item x="150"/>
        <item x="147"/>
        <item x="142"/>
        <item x="137"/>
        <item x="148"/>
        <item x="145"/>
        <item x="153"/>
        <item x="140"/>
        <item x="146"/>
        <item x="143"/>
        <item x="149"/>
        <item x="156"/>
        <item x="151"/>
        <item x="152"/>
        <item x="158"/>
        <item x="159"/>
        <item x="154"/>
        <item x="161"/>
        <item x="155"/>
        <item x="163"/>
        <item x="157"/>
        <item x="164"/>
        <item x="196"/>
        <item x="160"/>
        <item x="166"/>
        <item x="162"/>
        <item x="169"/>
        <item x="168"/>
        <item x="172"/>
        <item x="194"/>
        <item x="171"/>
        <item x="165"/>
        <item x="174"/>
        <item x="191"/>
        <item x="167"/>
        <item x="188"/>
        <item x="206"/>
        <item x="170"/>
        <item x="199"/>
        <item x="203"/>
        <item x="173"/>
        <item x="205"/>
        <item x="201"/>
        <item x="193"/>
        <item x="185"/>
        <item x="175"/>
        <item x="208"/>
        <item x="190"/>
        <item x="182"/>
        <item x="197"/>
        <item x="179"/>
        <item x="210"/>
        <item x="187"/>
        <item x="177"/>
        <item x="198"/>
        <item x="184"/>
        <item x="195"/>
        <item x="202"/>
        <item x="200"/>
        <item x="204"/>
        <item x="212"/>
        <item x="181"/>
        <item x="192"/>
        <item x="214"/>
        <item x="207"/>
        <item x="215"/>
        <item x="189"/>
        <item x="209"/>
        <item x="217"/>
        <item x="186"/>
        <item x="183"/>
        <item x="176"/>
        <item x="211"/>
        <item x="213"/>
        <item x="180"/>
        <item x="219"/>
        <item x="216"/>
        <item x="222"/>
        <item x="221"/>
        <item x="224"/>
        <item x="225"/>
        <item x="218"/>
        <item x="227"/>
        <item x="220"/>
        <item x="223"/>
        <item x="226"/>
        <item x="228"/>
        <item x="230"/>
        <item x="229"/>
        <item x="231"/>
        <item x="233"/>
        <item x="234"/>
        <item x="232"/>
        <item x="236"/>
        <item x="235"/>
        <item x="237"/>
        <item x="239"/>
        <item x="238"/>
        <item x="240"/>
        <item x="242"/>
        <item x="241"/>
        <item x="251"/>
        <item x="244"/>
        <item x="252"/>
        <item x="245"/>
        <item x="243"/>
        <item x="246"/>
        <item x="249"/>
        <item x="248"/>
        <item x="247"/>
        <item x="250"/>
        <item x="178"/>
        <item t="default"/>
      </items>
    </pivotField>
    <pivotField showAll="0">
      <items count="292">
        <item x="0"/>
        <item x="2"/>
        <item x="3"/>
        <item x="6"/>
        <item x="1"/>
        <item x="9"/>
        <item x="8"/>
        <item x="12"/>
        <item x="5"/>
        <item x="11"/>
        <item x="14"/>
        <item x="7"/>
        <item x="15"/>
        <item x="4"/>
        <item x="10"/>
        <item x="13"/>
        <item x="17"/>
        <item x="20"/>
        <item x="23"/>
        <item x="28"/>
        <item x="27"/>
        <item x="19"/>
        <item x="29"/>
        <item x="25"/>
        <item x="30"/>
        <item x="22"/>
        <item x="33"/>
        <item x="26"/>
        <item x="32"/>
        <item x="36"/>
        <item x="24"/>
        <item x="18"/>
        <item x="35"/>
        <item x="38"/>
        <item x="16"/>
        <item x="39"/>
        <item x="21"/>
        <item x="34"/>
        <item x="41"/>
        <item x="37"/>
        <item x="31"/>
        <item x="50"/>
        <item x="44"/>
        <item x="55"/>
        <item x="47"/>
        <item x="43"/>
        <item x="59"/>
        <item x="52"/>
        <item x="57"/>
        <item x="54"/>
        <item x="46"/>
        <item x="40"/>
        <item x="49"/>
        <item x="58"/>
        <item x="62"/>
        <item x="51"/>
        <item x="60"/>
        <item x="56"/>
        <item x="42"/>
        <item x="53"/>
        <item x="45"/>
        <item x="61"/>
        <item x="63"/>
        <item x="65"/>
        <item x="48"/>
        <item x="67"/>
        <item x="64"/>
        <item x="79"/>
        <item x="78"/>
        <item x="66"/>
        <item x="80"/>
        <item x="82"/>
        <item x="68"/>
        <item x="81"/>
        <item x="77"/>
        <item x="74"/>
        <item x="76"/>
        <item x="71"/>
        <item x="75"/>
        <item x="70"/>
        <item x="73"/>
        <item x="83"/>
        <item x="86"/>
        <item x="85"/>
        <item x="88"/>
        <item x="72"/>
        <item x="69"/>
        <item x="87"/>
        <item x="90"/>
        <item x="84"/>
        <item x="89"/>
        <item x="92"/>
        <item x="113"/>
        <item x="110"/>
        <item x="93"/>
        <item x="107"/>
        <item x="105"/>
        <item x="112"/>
        <item x="109"/>
        <item x="106"/>
        <item x="104"/>
        <item x="115"/>
        <item x="108"/>
        <item x="111"/>
        <item x="96"/>
        <item x="119"/>
        <item x="102"/>
        <item x="114"/>
        <item x="118"/>
        <item x="95"/>
        <item x="91"/>
        <item x="117"/>
        <item x="99"/>
        <item x="116"/>
        <item x="103"/>
        <item x="98"/>
        <item x="120"/>
        <item x="101"/>
        <item x="122"/>
        <item x="133"/>
        <item x="130"/>
        <item x="94"/>
        <item x="135"/>
        <item x="132"/>
        <item x="136"/>
        <item x="137"/>
        <item x="134"/>
        <item x="131"/>
        <item x="128"/>
        <item x="138"/>
        <item x="129"/>
        <item x="140"/>
        <item x="142"/>
        <item x="123"/>
        <item x="141"/>
        <item x="97"/>
        <item x="121"/>
        <item x="100"/>
        <item x="144"/>
        <item x="139"/>
        <item x="143"/>
        <item x="158"/>
        <item x="125"/>
        <item x="127"/>
        <item x="156"/>
        <item x="161"/>
        <item x="153"/>
        <item x="146"/>
        <item x="155"/>
        <item x="157"/>
        <item x="164"/>
        <item x="154"/>
        <item x="147"/>
        <item x="145"/>
        <item x="126"/>
        <item x="150"/>
        <item x="124"/>
        <item x="152"/>
        <item x="151"/>
        <item x="162"/>
        <item x="149"/>
        <item x="167"/>
        <item x="159"/>
        <item x="148"/>
        <item x="170"/>
        <item x="165"/>
        <item x="160"/>
        <item x="173"/>
        <item x="168"/>
        <item x="163"/>
        <item x="171"/>
        <item x="166"/>
        <item x="169"/>
        <item x="172"/>
        <item x="175"/>
        <item x="184"/>
        <item x="176"/>
        <item x="186"/>
        <item x="174"/>
        <item x="178"/>
        <item x="189"/>
        <item x="181"/>
        <item x="185"/>
        <item x="187"/>
        <item x="190"/>
        <item x="188"/>
        <item x="183"/>
        <item x="179"/>
        <item x="192"/>
        <item x="182"/>
        <item x="193"/>
        <item x="177"/>
        <item x="191"/>
        <item x="180"/>
        <item x="195"/>
        <item x="196"/>
        <item x="194"/>
        <item x="201"/>
        <item x="202"/>
        <item x="197"/>
        <item x="199"/>
        <item x="200"/>
        <item x="198"/>
        <item x="210"/>
        <item x="224"/>
        <item x="213"/>
        <item x="226"/>
        <item x="212"/>
        <item x="207"/>
        <item x="221"/>
        <item x="219"/>
        <item x="216"/>
        <item x="215"/>
        <item x="227"/>
        <item x="223"/>
        <item x="204"/>
        <item x="209"/>
        <item x="218"/>
        <item x="225"/>
        <item x="229"/>
        <item x="206"/>
        <item x="211"/>
        <item x="214"/>
        <item x="222"/>
        <item x="217"/>
        <item x="220"/>
        <item x="252"/>
        <item x="205"/>
        <item x="228"/>
        <item x="208"/>
        <item x="231"/>
        <item x="254"/>
        <item x="232"/>
        <item x="253"/>
        <item x="251"/>
        <item x="247"/>
        <item x="235"/>
        <item x="234"/>
        <item x="256"/>
        <item x="249"/>
        <item x="237"/>
        <item x="244"/>
        <item x="250"/>
        <item x="241"/>
        <item x="230"/>
        <item x="243"/>
        <item x="271"/>
        <item x="233"/>
        <item x="238"/>
        <item x="246"/>
        <item x="248"/>
        <item x="255"/>
        <item x="236"/>
        <item x="272"/>
        <item x="273"/>
        <item x="240"/>
        <item x="281"/>
        <item x="278"/>
        <item x="242"/>
        <item x="287"/>
        <item x="257"/>
        <item x="284"/>
        <item x="245"/>
        <item x="276"/>
        <item x="283"/>
        <item x="275"/>
        <item x="288"/>
        <item x="280"/>
        <item x="260"/>
        <item x="259"/>
        <item x="268"/>
        <item x="239"/>
        <item x="289"/>
        <item x="261"/>
        <item x="286"/>
        <item x="282"/>
        <item x="270"/>
        <item x="279"/>
        <item x="274"/>
        <item x="290"/>
        <item x="262"/>
        <item x="277"/>
        <item x="285"/>
        <item x="258"/>
        <item x="264"/>
        <item x="269"/>
        <item x="265"/>
        <item x="267"/>
        <item x="263"/>
        <item x="266"/>
        <item x="203"/>
        <item t="default"/>
      </items>
    </pivotField>
    <pivotField showAll="0">
      <items count="284">
        <item x="13"/>
        <item x="14"/>
        <item x="12"/>
        <item x="10"/>
        <item x="11"/>
        <item x="9"/>
        <item x="0"/>
        <item x="16"/>
        <item x="6"/>
        <item x="2"/>
        <item x="3"/>
        <item x="17"/>
        <item x="20"/>
        <item x="8"/>
        <item x="69"/>
        <item x="22"/>
        <item x="19"/>
        <item x="23"/>
        <item x="15"/>
        <item x="24"/>
        <item x="21"/>
        <item x="5"/>
        <item x="1"/>
        <item x="7"/>
        <item x="26"/>
        <item x="65"/>
        <item x="18"/>
        <item x="43"/>
        <item x="68"/>
        <item x="25"/>
        <item x="70"/>
        <item x="46"/>
        <item x="76"/>
        <item x="47"/>
        <item x="44"/>
        <item x="45"/>
        <item x="27"/>
        <item x="53"/>
        <item x="51"/>
        <item x="66"/>
        <item x="4"/>
        <item x="67"/>
        <item x="52"/>
        <item x="48"/>
        <item x="50"/>
        <item x="49"/>
        <item x="42"/>
        <item x="54"/>
        <item x="29"/>
        <item x="64"/>
        <item x="62"/>
        <item x="55"/>
        <item x="75"/>
        <item x="30"/>
        <item x="33"/>
        <item x="39"/>
        <item x="77"/>
        <item x="71"/>
        <item x="41"/>
        <item x="63"/>
        <item x="36"/>
        <item x="74"/>
        <item x="40"/>
        <item x="72"/>
        <item x="78"/>
        <item x="57"/>
        <item x="73"/>
        <item x="59"/>
        <item x="38"/>
        <item x="28"/>
        <item x="56"/>
        <item x="79"/>
        <item x="91"/>
        <item x="32"/>
        <item x="89"/>
        <item x="61"/>
        <item x="35"/>
        <item x="92"/>
        <item x="37"/>
        <item x="90"/>
        <item x="81"/>
        <item x="88"/>
        <item x="94"/>
        <item x="117"/>
        <item x="115"/>
        <item x="58"/>
        <item x="82"/>
        <item x="60"/>
        <item x="116"/>
        <item x="93"/>
        <item x="80"/>
        <item x="85"/>
        <item x="118"/>
        <item x="119"/>
        <item x="96"/>
        <item x="114"/>
        <item x="31"/>
        <item x="84"/>
        <item x="87"/>
        <item x="113"/>
        <item x="112"/>
        <item x="121"/>
        <item x="97"/>
        <item x="123"/>
        <item x="120"/>
        <item x="34"/>
        <item x="122"/>
        <item x="104"/>
        <item x="105"/>
        <item x="86"/>
        <item x="102"/>
        <item x="103"/>
        <item x="143"/>
        <item x="95"/>
        <item x="124"/>
        <item x="126"/>
        <item x="125"/>
        <item x="101"/>
        <item x="109"/>
        <item x="83"/>
        <item x="111"/>
        <item x="99"/>
        <item x="110"/>
        <item x="152"/>
        <item x="108"/>
        <item x="155"/>
        <item x="145"/>
        <item x="100"/>
        <item x="144"/>
        <item x="106"/>
        <item x="168"/>
        <item x="154"/>
        <item x="107"/>
        <item x="153"/>
        <item x="140"/>
        <item x="147"/>
        <item x="142"/>
        <item x="169"/>
        <item x="170"/>
        <item x="98"/>
        <item x="146"/>
        <item x="158"/>
        <item x="156"/>
        <item x="159"/>
        <item x="157"/>
        <item x="151"/>
        <item x="162"/>
        <item x="141"/>
        <item x="172"/>
        <item x="175"/>
        <item x="167"/>
        <item x="161"/>
        <item x="149"/>
        <item x="150"/>
        <item x="148"/>
        <item x="177"/>
        <item x="137"/>
        <item x="139"/>
        <item x="164"/>
        <item x="138"/>
        <item x="171"/>
        <item x="127"/>
        <item x="136"/>
        <item x="174"/>
        <item x="160"/>
        <item x="178"/>
        <item x="166"/>
        <item x="176"/>
        <item x="173"/>
        <item x="180"/>
        <item x="129"/>
        <item x="163"/>
        <item x="134"/>
        <item x="135"/>
        <item x="133"/>
        <item x="179"/>
        <item x="130"/>
        <item x="132"/>
        <item x="165"/>
        <item x="182"/>
        <item x="131"/>
        <item x="128"/>
        <item x="195"/>
        <item x="192"/>
        <item x="194"/>
        <item x="181"/>
        <item x="197"/>
        <item x="193"/>
        <item x="199"/>
        <item x="183"/>
        <item x="203"/>
        <item x="189"/>
        <item x="185"/>
        <item x="201"/>
        <item x="191"/>
        <item x="196"/>
        <item x="205"/>
        <item x="190"/>
        <item x="186"/>
        <item x="184"/>
        <item x="202"/>
        <item x="200"/>
        <item x="188"/>
        <item x="187"/>
        <item x="204"/>
        <item x="206"/>
        <item x="208"/>
        <item x="255"/>
        <item x="219"/>
        <item x="222"/>
        <item x="221"/>
        <item x="254"/>
        <item x="253"/>
        <item x="224"/>
        <item x="220"/>
        <item x="207"/>
        <item x="223"/>
        <item x="251"/>
        <item x="252"/>
        <item x="250"/>
        <item x="216"/>
        <item x="261"/>
        <item x="225"/>
        <item x="218"/>
        <item x="264"/>
        <item x="263"/>
        <item x="256"/>
        <item x="266"/>
        <item x="217"/>
        <item x="238"/>
        <item x="227"/>
        <item x="262"/>
        <item x="257"/>
        <item x="265"/>
        <item x="280"/>
        <item x="239"/>
        <item x="240"/>
        <item x="209"/>
        <item x="267"/>
        <item x="237"/>
        <item x="279"/>
        <item x="236"/>
        <item x="226"/>
        <item x="282"/>
        <item x="212"/>
        <item x="211"/>
        <item x="277"/>
        <item x="235"/>
        <item x="258"/>
        <item x="260"/>
        <item x="214"/>
        <item x="241"/>
        <item x="247"/>
        <item x="249"/>
        <item x="248"/>
        <item x="234"/>
        <item x="259"/>
        <item x="281"/>
        <item x="210"/>
        <item x="278"/>
        <item x="243"/>
        <item x="244"/>
        <item x="213"/>
        <item x="215"/>
        <item x="246"/>
        <item x="228"/>
        <item x="242"/>
        <item x="245"/>
        <item x="268"/>
        <item x="231"/>
        <item x="230"/>
        <item x="270"/>
        <item x="233"/>
        <item x="229"/>
        <item x="269"/>
        <item x="232"/>
        <item x="271"/>
        <item x="273"/>
        <item x="272"/>
        <item x="274"/>
        <item x="276"/>
        <item x="275"/>
        <item x="198"/>
        <item t="default"/>
      </items>
    </pivotField>
    <pivotField showAll="0">
      <items count="270">
        <item x="1"/>
        <item x="4"/>
        <item x="6"/>
        <item x="2"/>
        <item x="9"/>
        <item x="0"/>
        <item x="7"/>
        <item x="3"/>
        <item x="12"/>
        <item x="5"/>
        <item x="10"/>
        <item x="8"/>
        <item x="13"/>
        <item x="15"/>
        <item x="11"/>
        <item x="16"/>
        <item x="14"/>
        <item x="18"/>
        <item x="17"/>
        <item x="20"/>
        <item x="19"/>
        <item x="24"/>
        <item x="22"/>
        <item x="21"/>
        <item x="25"/>
        <item x="23"/>
        <item x="27"/>
        <item x="28"/>
        <item x="26"/>
        <item x="30"/>
        <item x="32"/>
        <item x="29"/>
        <item x="33"/>
        <item x="31"/>
        <item x="34"/>
        <item x="36"/>
        <item x="35"/>
        <item x="37"/>
        <item x="38"/>
        <item x="39"/>
        <item x="40"/>
        <item x="42"/>
        <item x="41"/>
        <item x="43"/>
        <item x="45"/>
        <item x="44"/>
        <item x="46"/>
        <item x="48"/>
        <item x="47"/>
        <item x="49"/>
        <item x="51"/>
        <item x="50"/>
        <item x="52"/>
        <item x="54"/>
        <item x="53"/>
        <item x="55"/>
        <item x="57"/>
        <item x="59"/>
        <item x="56"/>
        <item x="58"/>
        <item x="61"/>
        <item x="60"/>
        <item x="63"/>
        <item x="64"/>
        <item x="62"/>
        <item x="66"/>
        <item x="65"/>
        <item x="68"/>
        <item x="69"/>
        <item x="67"/>
        <item x="71"/>
        <item x="70"/>
        <item x="76"/>
        <item x="73"/>
        <item x="74"/>
        <item x="77"/>
        <item x="83"/>
        <item x="72"/>
        <item x="75"/>
        <item x="79"/>
        <item x="81"/>
        <item x="78"/>
        <item x="80"/>
        <item x="82"/>
        <item x="88"/>
        <item x="90"/>
        <item x="84"/>
        <item x="86"/>
        <item x="91"/>
        <item x="85"/>
        <item x="95"/>
        <item x="89"/>
        <item x="87"/>
        <item x="93"/>
        <item x="98"/>
        <item x="92"/>
        <item x="96"/>
        <item x="101"/>
        <item x="104"/>
        <item x="94"/>
        <item x="99"/>
        <item x="109"/>
        <item x="112"/>
        <item x="115"/>
        <item x="102"/>
        <item x="97"/>
        <item x="105"/>
        <item x="107"/>
        <item x="100"/>
        <item x="110"/>
        <item x="121"/>
        <item x="113"/>
        <item x="116"/>
        <item x="103"/>
        <item x="118"/>
        <item x="106"/>
        <item x="120"/>
        <item x="108"/>
        <item x="111"/>
        <item x="114"/>
        <item x="117"/>
        <item x="124"/>
        <item x="119"/>
        <item x="126"/>
        <item x="122"/>
        <item x="127"/>
        <item x="123"/>
        <item x="131"/>
        <item x="129"/>
        <item x="125"/>
        <item x="133"/>
        <item x="128"/>
        <item x="136"/>
        <item x="130"/>
        <item x="138"/>
        <item x="134"/>
        <item x="144"/>
        <item x="132"/>
        <item x="148"/>
        <item x="137"/>
        <item x="151"/>
        <item x="139"/>
        <item x="145"/>
        <item x="141"/>
        <item x="143"/>
        <item x="146"/>
        <item x="135"/>
        <item x="149"/>
        <item x="161"/>
        <item x="160"/>
        <item x="140"/>
        <item x="142"/>
        <item x="152"/>
        <item x="162"/>
        <item x="154"/>
        <item x="147"/>
        <item x="156"/>
        <item x="158"/>
        <item x="150"/>
        <item x="153"/>
        <item x="163"/>
        <item x="155"/>
        <item x="157"/>
        <item x="159"/>
        <item x="164"/>
        <item x="166"/>
        <item x="165"/>
        <item x="167"/>
        <item x="169"/>
        <item x="168"/>
        <item x="171"/>
        <item x="173"/>
        <item x="170"/>
        <item x="176"/>
        <item x="174"/>
        <item x="172"/>
        <item x="177"/>
        <item x="175"/>
        <item x="179"/>
        <item x="180"/>
        <item x="178"/>
        <item x="182"/>
        <item x="183"/>
        <item x="181"/>
        <item x="185"/>
        <item x="186"/>
        <item x="184"/>
        <item x="188"/>
        <item x="189"/>
        <item x="187"/>
        <item x="193"/>
        <item x="194"/>
        <item x="196"/>
        <item x="197"/>
        <item x="198"/>
        <item x="195"/>
        <item x="199"/>
        <item x="201"/>
        <item x="200"/>
        <item x="202"/>
        <item x="205"/>
        <item x="204"/>
        <item x="206"/>
        <item x="207"/>
        <item x="203"/>
        <item x="209"/>
        <item x="191"/>
        <item x="190"/>
        <item x="210"/>
        <item x="208"/>
        <item x="212"/>
        <item x="213"/>
        <item x="211"/>
        <item x="214"/>
        <item x="216"/>
        <item x="219"/>
        <item x="215"/>
        <item x="218"/>
        <item x="221"/>
        <item x="220"/>
        <item x="217"/>
        <item x="223"/>
        <item x="222"/>
        <item x="224"/>
        <item x="226"/>
        <item x="225"/>
        <item x="228"/>
        <item x="227"/>
        <item x="230"/>
        <item x="229"/>
        <item x="231"/>
        <item x="233"/>
        <item x="232"/>
        <item x="234"/>
        <item x="236"/>
        <item x="235"/>
        <item x="237"/>
        <item x="239"/>
        <item x="238"/>
        <item x="241"/>
        <item x="242"/>
        <item x="240"/>
        <item x="244"/>
        <item x="243"/>
        <item x="245"/>
        <item x="247"/>
        <item x="246"/>
        <item x="248"/>
        <item x="250"/>
        <item x="249"/>
        <item x="251"/>
        <item x="252"/>
        <item x="253"/>
        <item x="254"/>
        <item x="256"/>
        <item x="255"/>
        <item x="257"/>
        <item x="259"/>
        <item x="258"/>
        <item x="260"/>
        <item x="262"/>
        <item x="261"/>
        <item x="263"/>
        <item x="265"/>
        <item x="264"/>
        <item x="267"/>
        <item x="268"/>
        <item x="266"/>
        <item x="192"/>
        <item t="default"/>
      </items>
    </pivotField>
    <pivotField showAll="0">
      <items count="258">
        <item x="18"/>
        <item x="16"/>
        <item x="13"/>
        <item x="23"/>
        <item x="10"/>
        <item x="25"/>
        <item x="33"/>
        <item x="7"/>
        <item x="36"/>
        <item x="32"/>
        <item x="50"/>
        <item x="39"/>
        <item x="27"/>
        <item x="1"/>
        <item x="4"/>
        <item x="46"/>
        <item x="14"/>
        <item x="17"/>
        <item x="19"/>
        <item x="11"/>
        <item x="21"/>
        <item x="57"/>
        <item x="8"/>
        <item x="2"/>
        <item x="61"/>
        <item x="12"/>
        <item x="5"/>
        <item x="9"/>
        <item x="15"/>
        <item x="64"/>
        <item x="0"/>
        <item x="6"/>
        <item x="67"/>
        <item x="20"/>
        <item x="34"/>
        <item x="3"/>
        <item x="28"/>
        <item x="37"/>
        <item x="72"/>
        <item x="30"/>
        <item x="22"/>
        <item x="51"/>
        <item x="24"/>
        <item x="42"/>
        <item x="44"/>
        <item x="47"/>
        <item x="83"/>
        <item x="53"/>
        <item x="26"/>
        <item x="31"/>
        <item x="55"/>
        <item x="58"/>
        <item x="35"/>
        <item x="29"/>
        <item x="87"/>
        <item x="38"/>
        <item x="62"/>
        <item x="76"/>
        <item x="40"/>
        <item x="49"/>
        <item x="41"/>
        <item x="43"/>
        <item x="48"/>
        <item x="45"/>
        <item x="68"/>
        <item x="52"/>
        <item x="65"/>
        <item x="70"/>
        <item x="54"/>
        <item x="56"/>
        <item x="59"/>
        <item x="60"/>
        <item x="98"/>
        <item x="74"/>
        <item x="109"/>
        <item x="66"/>
        <item x="69"/>
        <item x="63"/>
        <item x="104"/>
        <item x="85"/>
        <item x="71"/>
        <item x="84"/>
        <item x="77"/>
        <item x="88"/>
        <item x="116"/>
        <item x="79"/>
        <item x="81"/>
        <item x="73"/>
        <item x="118"/>
        <item x="121"/>
        <item x="91"/>
        <item x="123"/>
        <item x="125"/>
        <item x="130"/>
        <item x="93"/>
        <item x="95"/>
        <item x="132"/>
        <item x="75"/>
        <item x="99"/>
        <item x="110"/>
        <item x="86"/>
        <item x="78"/>
        <item x="108"/>
        <item x="82"/>
        <item x="89"/>
        <item x="106"/>
        <item x="80"/>
        <item x="115"/>
        <item x="102"/>
        <item x="105"/>
        <item x="141"/>
        <item x="90"/>
        <item x="92"/>
        <item x="94"/>
        <item x="122"/>
        <item x="112"/>
        <item x="113"/>
        <item x="96"/>
        <item x="111"/>
        <item x="126"/>
        <item x="97"/>
        <item x="107"/>
        <item x="114"/>
        <item x="147"/>
        <item x="100"/>
        <item x="138"/>
        <item x="101"/>
        <item x="103"/>
        <item x="133"/>
        <item x="142"/>
        <item x="149"/>
        <item x="135"/>
        <item x="120"/>
        <item x="117"/>
        <item x="119"/>
        <item x="124"/>
        <item x="127"/>
        <item x="137"/>
        <item x="128"/>
        <item x="129"/>
        <item x="136"/>
        <item x="139"/>
        <item x="140"/>
        <item x="134"/>
        <item x="143"/>
        <item x="131"/>
        <item x="144"/>
        <item x="145"/>
        <item x="150"/>
        <item x="146"/>
        <item x="152"/>
        <item x="155"/>
        <item x="148"/>
        <item x="153"/>
        <item x="158"/>
        <item x="156"/>
        <item x="160"/>
        <item x="151"/>
        <item x="164"/>
        <item x="157"/>
        <item x="167"/>
        <item x="154"/>
        <item x="170"/>
        <item x="161"/>
        <item x="172"/>
        <item x="165"/>
        <item x="159"/>
        <item x="168"/>
        <item x="175"/>
        <item x="163"/>
        <item x="166"/>
        <item x="173"/>
        <item x="169"/>
        <item x="178"/>
        <item x="171"/>
        <item x="176"/>
        <item x="181"/>
        <item x="174"/>
        <item x="179"/>
        <item x="177"/>
        <item x="182"/>
        <item x="184"/>
        <item x="180"/>
        <item x="187"/>
        <item x="185"/>
        <item x="190"/>
        <item x="183"/>
        <item x="188"/>
        <item x="255"/>
        <item x="186"/>
        <item x="252"/>
        <item x="193"/>
        <item x="256"/>
        <item x="191"/>
        <item x="199"/>
        <item x="215"/>
        <item x="217"/>
        <item x="196"/>
        <item x="254"/>
        <item x="212"/>
        <item x="253"/>
        <item x="202"/>
        <item x="189"/>
        <item x="209"/>
        <item x="206"/>
        <item x="239"/>
        <item x="246"/>
        <item x="251"/>
        <item x="194"/>
        <item x="244"/>
        <item x="250"/>
        <item x="237"/>
        <item x="220"/>
        <item x="200"/>
        <item x="234"/>
        <item x="249"/>
        <item x="248"/>
        <item x="197"/>
        <item x="192"/>
        <item x="216"/>
        <item x="232"/>
        <item x="218"/>
        <item x="223"/>
        <item x="240"/>
        <item x="247"/>
        <item x="213"/>
        <item x="203"/>
        <item x="245"/>
        <item x="229"/>
        <item x="198"/>
        <item x="242"/>
        <item x="226"/>
        <item x="210"/>
        <item x="195"/>
        <item x="207"/>
        <item x="201"/>
        <item x="238"/>
        <item x="235"/>
        <item x="214"/>
        <item x="243"/>
        <item x="241"/>
        <item x="236"/>
        <item x="221"/>
        <item x="204"/>
        <item x="211"/>
        <item x="233"/>
        <item x="208"/>
        <item x="205"/>
        <item x="224"/>
        <item x="230"/>
        <item x="231"/>
        <item x="227"/>
        <item x="219"/>
        <item x="222"/>
        <item x="228"/>
        <item x="225"/>
        <item x="162"/>
        <item t="default"/>
      </items>
    </pivotField>
    <pivotField showAll="0">
      <items count="282">
        <item x="1"/>
        <item x="4"/>
        <item x="2"/>
        <item x="5"/>
        <item x="0"/>
        <item x="3"/>
        <item x="7"/>
        <item x="8"/>
        <item x="6"/>
        <item x="26"/>
        <item x="25"/>
        <item x="12"/>
        <item x="9"/>
        <item x="22"/>
        <item x="11"/>
        <item x="15"/>
        <item x="14"/>
        <item x="10"/>
        <item x="23"/>
        <item x="27"/>
        <item x="29"/>
        <item x="18"/>
        <item x="13"/>
        <item x="17"/>
        <item x="21"/>
        <item x="24"/>
        <item x="20"/>
        <item x="33"/>
        <item x="16"/>
        <item x="19"/>
        <item x="32"/>
        <item x="30"/>
        <item x="34"/>
        <item x="35"/>
        <item x="36"/>
        <item x="31"/>
        <item x="28"/>
        <item x="38"/>
        <item x="96"/>
        <item x="39"/>
        <item x="95"/>
        <item x="37"/>
        <item x="99"/>
        <item x="93"/>
        <item x="66"/>
        <item x="69"/>
        <item x="61"/>
        <item x="64"/>
        <item x="58"/>
        <item x="90"/>
        <item x="71"/>
        <item x="85"/>
        <item x="87"/>
        <item x="55"/>
        <item x="97"/>
        <item x="40"/>
        <item x="62"/>
        <item x="46"/>
        <item x="42"/>
        <item x="67"/>
        <item x="43"/>
        <item x="59"/>
        <item x="94"/>
        <item x="41"/>
        <item x="56"/>
        <item x="72"/>
        <item x="45"/>
        <item x="91"/>
        <item x="48"/>
        <item x="86"/>
        <item x="63"/>
        <item x="60"/>
        <item x="57"/>
        <item x="88"/>
        <item x="49"/>
        <item x="44"/>
        <item x="118"/>
        <item x="68"/>
        <item x="119"/>
        <item x="51"/>
        <item x="54"/>
        <item x="84"/>
        <item x="65"/>
        <item x="74"/>
        <item x="77"/>
        <item x="70"/>
        <item x="53"/>
        <item x="47"/>
        <item x="122"/>
        <item x="92"/>
        <item x="98"/>
        <item x="89"/>
        <item x="80"/>
        <item x="75"/>
        <item x="78"/>
        <item x="52"/>
        <item x="81"/>
        <item x="120"/>
        <item x="83"/>
        <item x="79"/>
        <item x="82"/>
        <item x="102"/>
        <item x="50"/>
        <item x="150"/>
        <item x="76"/>
        <item x="73"/>
        <item x="115"/>
        <item x="101"/>
        <item x="148"/>
        <item x="130"/>
        <item x="123"/>
        <item x="177"/>
        <item x="105"/>
        <item x="117"/>
        <item x="111"/>
        <item x="103"/>
        <item x="113"/>
        <item x="145"/>
        <item x="106"/>
        <item x="125"/>
        <item x="116"/>
        <item x="108"/>
        <item x="133"/>
        <item x="104"/>
        <item x="140"/>
        <item x="178"/>
        <item x="128"/>
        <item x="109"/>
        <item x="131"/>
        <item x="100"/>
        <item x="126"/>
        <item x="114"/>
        <item x="107"/>
        <item x="121"/>
        <item x="112"/>
        <item x="135"/>
        <item x="174"/>
        <item x="124"/>
        <item x="129"/>
        <item x="171"/>
        <item x="110"/>
        <item x="197"/>
        <item x="132"/>
        <item x="151"/>
        <item x="143"/>
        <item x="127"/>
        <item x="146"/>
        <item x="175"/>
        <item x="137"/>
        <item x="176"/>
        <item x="153"/>
        <item x="141"/>
        <item x="198"/>
        <item x="196"/>
        <item x="181"/>
        <item x="179"/>
        <item x="188"/>
        <item x="134"/>
        <item x="194"/>
        <item x="195"/>
        <item x="173"/>
        <item x="172"/>
        <item x="138"/>
        <item x="191"/>
        <item x="211"/>
        <item x="155"/>
        <item x="169"/>
        <item x="184"/>
        <item x="180"/>
        <item x="190"/>
        <item x="142"/>
        <item x="183"/>
        <item x="202"/>
        <item x="205"/>
        <item x="147"/>
        <item x="144"/>
        <item x="193"/>
        <item x="212"/>
        <item x="139"/>
        <item x="149"/>
        <item x="136"/>
        <item x="210"/>
        <item x="192"/>
        <item x="152"/>
        <item x="214"/>
        <item x="166"/>
        <item x="189"/>
        <item x="199"/>
        <item x="157"/>
        <item x="186"/>
        <item x="204"/>
        <item x="209"/>
        <item x="170"/>
        <item x="216"/>
        <item x="182"/>
        <item x="208"/>
        <item x="160"/>
        <item x="242"/>
        <item x="167"/>
        <item x="201"/>
        <item x="239"/>
        <item x="163"/>
        <item x="213"/>
        <item x="233"/>
        <item x="154"/>
        <item x="164"/>
        <item x="165"/>
        <item x="158"/>
        <item x="218"/>
        <item x="187"/>
        <item x="215"/>
        <item x="162"/>
        <item x="168"/>
        <item x="203"/>
        <item x="161"/>
        <item x="185"/>
        <item x="241"/>
        <item x="206"/>
        <item x="207"/>
        <item x="243"/>
        <item x="270"/>
        <item x="156"/>
        <item x="238"/>
        <item x="235"/>
        <item x="232"/>
        <item x="217"/>
        <item x="159"/>
        <item x="245"/>
        <item x="228"/>
        <item x="269"/>
        <item x="240"/>
        <item x="225"/>
        <item x="265"/>
        <item x="236"/>
        <item x="268"/>
        <item x="244"/>
        <item x="237"/>
        <item x="271"/>
        <item x="219"/>
        <item x="267"/>
        <item x="234"/>
        <item x="231"/>
        <item x="263"/>
        <item x="222"/>
        <item x="266"/>
        <item x="264"/>
        <item x="230"/>
        <item x="260"/>
        <item x="221"/>
        <item x="227"/>
        <item x="262"/>
        <item x="252"/>
        <item x="224"/>
        <item x="272"/>
        <item x="261"/>
        <item x="249"/>
        <item x="220"/>
        <item x="278"/>
        <item x="257"/>
        <item x="274"/>
        <item x="254"/>
        <item x="246"/>
        <item x="229"/>
        <item x="251"/>
        <item x="226"/>
        <item x="273"/>
        <item x="280"/>
        <item x="223"/>
        <item x="248"/>
        <item x="259"/>
        <item x="275"/>
        <item x="253"/>
        <item x="256"/>
        <item x="250"/>
        <item x="279"/>
        <item x="247"/>
        <item x="277"/>
        <item x="258"/>
        <item x="276"/>
        <item x="255"/>
        <item x="200"/>
        <item t="default"/>
      </items>
    </pivotField>
    <pivotField showAll="0">
      <items count="313">
        <item x="6"/>
        <item x="0"/>
        <item x="2"/>
        <item x="3"/>
        <item x="1"/>
        <item x="5"/>
        <item x="8"/>
        <item x="7"/>
        <item x="4"/>
        <item x="10"/>
        <item x="11"/>
        <item x="9"/>
        <item x="38"/>
        <item x="13"/>
        <item x="41"/>
        <item x="39"/>
        <item x="37"/>
        <item x="42"/>
        <item x="40"/>
        <item x="14"/>
        <item x="134"/>
        <item x="35"/>
        <item x="136"/>
        <item x="135"/>
        <item x="138"/>
        <item x="139"/>
        <item x="133"/>
        <item x="137"/>
        <item x="43"/>
        <item x="45"/>
        <item x="131"/>
        <item x="44"/>
        <item x="140"/>
        <item x="36"/>
        <item x="142"/>
        <item x="12"/>
        <item x="143"/>
        <item x="34"/>
        <item x="47"/>
        <item x="132"/>
        <item x="144"/>
        <item x="16"/>
        <item x="46"/>
        <item x="141"/>
        <item x="77"/>
        <item x="173"/>
        <item x="75"/>
        <item x="107"/>
        <item x="72"/>
        <item x="80"/>
        <item x="79"/>
        <item x="196"/>
        <item x="145"/>
        <item x="17"/>
        <item x="48"/>
        <item x="74"/>
        <item x="198"/>
        <item x="108"/>
        <item x="105"/>
        <item x="194"/>
        <item x="106"/>
        <item x="78"/>
        <item x="82"/>
        <item x="195"/>
        <item x="76"/>
        <item x="197"/>
        <item x="193"/>
        <item x="73"/>
        <item x="50"/>
        <item x="69"/>
        <item x="192"/>
        <item x="174"/>
        <item x="71"/>
        <item x="147"/>
        <item x="200"/>
        <item x="109"/>
        <item x="70"/>
        <item x="171"/>
        <item x="111"/>
        <item x="172"/>
        <item x="83"/>
        <item x="81"/>
        <item x="191"/>
        <item x="110"/>
        <item x="169"/>
        <item x="49"/>
        <item x="175"/>
        <item x="170"/>
        <item x="254"/>
        <item x="20"/>
        <item x="85"/>
        <item x="19"/>
        <item x="102"/>
        <item x="66"/>
        <item x="68"/>
        <item x="203"/>
        <item x="86"/>
        <item x="304"/>
        <item x="67"/>
        <item x="199"/>
        <item x="104"/>
        <item x="112"/>
        <item x="130"/>
        <item x="129"/>
        <item x="146"/>
        <item x="168"/>
        <item x="308"/>
        <item x="302"/>
        <item x="202"/>
        <item x="176"/>
        <item x="15"/>
        <item x="178"/>
        <item x="177"/>
        <item x="103"/>
        <item x="257"/>
        <item x="32"/>
        <item x="88"/>
        <item x="190"/>
        <item x="33"/>
        <item x="100"/>
        <item x="31"/>
        <item x="84"/>
        <item x="189"/>
        <item x="187"/>
        <item x="256"/>
        <item x="310"/>
        <item x="232"/>
        <item x="101"/>
        <item x="126"/>
        <item x="184"/>
        <item x="123"/>
        <item x="250"/>
        <item x="186"/>
        <item x="51"/>
        <item x="299"/>
        <item x="166"/>
        <item x="125"/>
        <item x="128"/>
        <item x="185"/>
        <item x="113"/>
        <item x="148"/>
        <item x="167"/>
        <item x="22"/>
        <item x="63"/>
        <item x="165"/>
        <item x="227"/>
        <item x="65"/>
        <item x="114"/>
        <item x="306"/>
        <item x="260"/>
        <item x="124"/>
        <item x="188"/>
        <item x="64"/>
        <item x="87"/>
        <item x="89"/>
        <item x="263"/>
        <item x="23"/>
        <item x="179"/>
        <item x="153"/>
        <item x="127"/>
        <item x="97"/>
        <item x="60"/>
        <item x="259"/>
        <item x="278"/>
        <item x="181"/>
        <item x="207"/>
        <item x="182"/>
        <item x="233"/>
        <item x="155"/>
        <item x="62"/>
        <item x="120"/>
        <item x="156"/>
        <item x="183"/>
        <item x="91"/>
        <item x="53"/>
        <item x="117"/>
        <item x="99"/>
        <item x="57"/>
        <item x="92"/>
        <item x="122"/>
        <item x="180"/>
        <item x="150"/>
        <item x="61"/>
        <item x="116"/>
        <item x="301"/>
        <item x="252"/>
        <item x="206"/>
        <item x="96"/>
        <item x="154"/>
        <item x="18"/>
        <item x="162"/>
        <item x="54"/>
        <item x="201"/>
        <item x="164"/>
        <item x="59"/>
        <item x="94"/>
        <item x="265"/>
        <item x="158"/>
        <item x="229"/>
        <item x="151"/>
        <item x="163"/>
        <item x="210"/>
        <item x="121"/>
        <item x="262"/>
        <item x="98"/>
        <item x="25"/>
        <item x="224"/>
        <item x="119"/>
        <item x="90"/>
        <item x="95"/>
        <item x="253"/>
        <item x="281"/>
        <item x="255"/>
        <item x="279"/>
        <item x="228"/>
        <item x="284"/>
        <item x="209"/>
        <item x="159"/>
        <item x="56"/>
        <item x="93"/>
        <item x="58"/>
        <item x="277"/>
        <item x="204"/>
        <item x="266"/>
        <item x="226"/>
        <item x="234"/>
        <item x="27"/>
        <item x="297"/>
        <item x="272"/>
        <item x="52"/>
        <item x="289"/>
        <item x="157"/>
        <item x="115"/>
        <item x="161"/>
        <item x="24"/>
        <item x="283"/>
        <item x="149"/>
        <item x="303"/>
        <item x="305"/>
        <item x="307"/>
        <item x="258"/>
        <item x="291"/>
        <item x="21"/>
        <item x="28"/>
        <item x="300"/>
        <item x="212"/>
        <item x="118"/>
        <item x="152"/>
        <item x="309"/>
        <item x="230"/>
        <item x="205"/>
        <item x="251"/>
        <item x="225"/>
        <item x="55"/>
        <item x="288"/>
        <item x="286"/>
        <item x="30"/>
        <item x="264"/>
        <item x="26"/>
        <item x="269"/>
        <item x="294"/>
        <item x="311"/>
        <item x="160"/>
        <item x="268"/>
        <item x="261"/>
        <item x="237"/>
        <item x="247"/>
        <item x="274"/>
        <item x="214"/>
        <item x="208"/>
        <item x="280"/>
        <item x="215"/>
        <item x="221"/>
        <item x="293"/>
        <item x="235"/>
        <item x="211"/>
        <item x="29"/>
        <item x="249"/>
        <item x="223"/>
        <item x="276"/>
        <item x="271"/>
        <item x="217"/>
        <item x="296"/>
        <item x="238"/>
        <item x="236"/>
        <item x="282"/>
        <item x="275"/>
        <item x="298"/>
        <item x="248"/>
        <item x="213"/>
        <item x="222"/>
        <item x="287"/>
        <item x="240"/>
        <item x="218"/>
        <item x="285"/>
        <item x="290"/>
        <item x="267"/>
        <item x="216"/>
        <item x="220"/>
        <item x="273"/>
        <item x="292"/>
        <item x="241"/>
        <item x="244"/>
        <item x="239"/>
        <item x="295"/>
        <item x="270"/>
        <item x="243"/>
        <item x="246"/>
        <item x="219"/>
        <item x="245"/>
        <item x="242"/>
        <item x="231"/>
        <item t="default"/>
      </items>
    </pivotField>
    <pivotField showAll="0">
      <items count="266">
        <item x="7"/>
        <item x="4"/>
        <item x="9"/>
        <item x="18"/>
        <item x="8"/>
        <item x="15"/>
        <item x="10"/>
        <item x="5"/>
        <item x="12"/>
        <item x="6"/>
        <item x="1"/>
        <item x="3"/>
        <item x="2"/>
        <item x="0"/>
        <item x="13"/>
        <item x="16"/>
        <item x="19"/>
        <item x="11"/>
        <item x="14"/>
        <item x="22"/>
        <item x="17"/>
        <item x="28"/>
        <item x="20"/>
        <item x="24"/>
        <item x="21"/>
        <item x="26"/>
        <item x="29"/>
        <item x="23"/>
        <item x="31"/>
        <item x="25"/>
        <item x="27"/>
        <item x="30"/>
        <item x="32"/>
        <item x="33"/>
        <item x="34"/>
        <item x="36"/>
        <item x="37"/>
        <item x="169"/>
        <item x="39"/>
        <item x="35"/>
        <item x="38"/>
        <item x="41"/>
        <item x="40"/>
        <item x="176"/>
        <item x="174"/>
        <item x="166"/>
        <item x="42"/>
        <item x="44"/>
        <item x="45"/>
        <item x="43"/>
        <item x="178"/>
        <item x="48"/>
        <item x="47"/>
        <item x="50"/>
        <item x="51"/>
        <item x="54"/>
        <item x="46"/>
        <item x="161"/>
        <item x="53"/>
        <item x="49"/>
        <item x="179"/>
        <item x="56"/>
        <item x="181"/>
        <item x="158"/>
        <item x="59"/>
        <item x="58"/>
        <item x="52"/>
        <item x="155"/>
        <item x="62"/>
        <item x="55"/>
        <item x="182"/>
        <item x="183"/>
        <item x="61"/>
        <item x="177"/>
        <item x="180"/>
        <item x="170"/>
        <item x="65"/>
        <item x="172"/>
        <item x="184"/>
        <item x="153"/>
        <item x="167"/>
        <item x="64"/>
        <item x="57"/>
        <item x="145"/>
        <item x="151"/>
        <item x="68"/>
        <item x="185"/>
        <item x="148"/>
        <item x="164"/>
        <item x="143"/>
        <item x="67"/>
        <item x="186"/>
        <item x="60"/>
        <item x="175"/>
        <item x="162"/>
        <item x="168"/>
        <item x="171"/>
        <item x="173"/>
        <item x="63"/>
        <item x="159"/>
        <item x="188"/>
        <item x="140"/>
        <item x="189"/>
        <item x="165"/>
        <item x="187"/>
        <item x="191"/>
        <item x="156"/>
        <item x="163"/>
        <item x="193"/>
        <item x="192"/>
        <item x="160"/>
        <item x="196"/>
        <item x="70"/>
        <item x="190"/>
        <item x="194"/>
        <item x="154"/>
        <item x="66"/>
        <item x="137"/>
        <item x="197"/>
        <item x="157"/>
        <item x="71"/>
        <item x="195"/>
        <item x="152"/>
        <item x="199"/>
        <item x="146"/>
        <item x="149"/>
        <item x="198"/>
        <item x="144"/>
        <item x="74"/>
        <item x="200"/>
        <item x="201"/>
        <item x="132"/>
        <item x="141"/>
        <item x="150"/>
        <item x="147"/>
        <item x="203"/>
        <item x="73"/>
        <item x="77"/>
        <item x="142"/>
        <item x="138"/>
        <item x="202"/>
        <item x="76"/>
        <item x="206"/>
        <item x="207"/>
        <item x="139"/>
        <item x="205"/>
        <item x="135"/>
        <item x="204"/>
        <item x="136"/>
        <item x="80"/>
        <item x="69"/>
        <item x="129"/>
        <item x="133"/>
        <item x="79"/>
        <item x="134"/>
        <item x="131"/>
        <item x="72"/>
        <item x="217"/>
        <item x="75"/>
        <item x="218"/>
        <item x="215"/>
        <item x="82"/>
        <item x="208"/>
        <item x="212"/>
        <item x="210"/>
        <item x="209"/>
        <item x="214"/>
        <item x="216"/>
        <item x="213"/>
        <item x="130"/>
        <item x="83"/>
        <item x="126"/>
        <item x="219"/>
        <item x="78"/>
        <item x="221"/>
        <item x="128"/>
        <item x="225"/>
        <item x="220"/>
        <item x="227"/>
        <item x="228"/>
        <item x="127"/>
        <item x="226"/>
        <item x="223"/>
        <item x="224"/>
        <item x="86"/>
        <item x="229"/>
        <item x="98"/>
        <item x="222"/>
        <item x="125"/>
        <item x="89"/>
        <item x="101"/>
        <item x="95"/>
        <item x="243"/>
        <item x="245"/>
        <item x="234"/>
        <item x="244"/>
        <item x="92"/>
        <item x="239"/>
        <item x="236"/>
        <item x="238"/>
        <item x="241"/>
        <item x="100"/>
        <item x="242"/>
        <item x="237"/>
        <item x="247"/>
        <item x="235"/>
        <item x="246"/>
        <item x="230"/>
        <item x="240"/>
        <item x="85"/>
        <item x="81"/>
        <item x="232"/>
        <item x="231"/>
        <item x="104"/>
        <item x="233"/>
        <item x="248"/>
        <item x="250"/>
        <item x="249"/>
        <item x="97"/>
        <item x="103"/>
        <item x="123"/>
        <item x="124"/>
        <item x="251"/>
        <item x="252"/>
        <item x="107"/>
        <item x="253"/>
        <item x="255"/>
        <item x="254"/>
        <item x="121"/>
        <item x="118"/>
        <item x="99"/>
        <item x="116"/>
        <item x="257"/>
        <item x="94"/>
        <item x="259"/>
        <item x="260"/>
        <item x="256"/>
        <item x="261"/>
        <item x="88"/>
        <item x="258"/>
        <item x="91"/>
        <item x="106"/>
        <item x="110"/>
        <item x="120"/>
        <item x="113"/>
        <item x="262"/>
        <item x="264"/>
        <item x="117"/>
        <item x="109"/>
        <item x="263"/>
        <item x="122"/>
        <item x="115"/>
        <item x="119"/>
        <item x="96"/>
        <item x="102"/>
        <item x="112"/>
        <item x="114"/>
        <item x="105"/>
        <item x="93"/>
        <item x="108"/>
        <item x="84"/>
        <item x="111"/>
        <item x="90"/>
        <item x="87"/>
        <item x="211"/>
        <item t="default"/>
      </items>
    </pivotField>
    <pivotField showAll="0">
      <items count="206">
        <item x="66"/>
        <item x="63"/>
        <item x="69"/>
        <item x="72"/>
        <item x="61"/>
        <item x="70"/>
        <item x="67"/>
        <item x="59"/>
        <item x="64"/>
        <item x="56"/>
        <item x="73"/>
        <item x="68"/>
        <item x="76"/>
        <item x="65"/>
        <item x="54"/>
        <item x="75"/>
        <item x="71"/>
        <item x="62"/>
        <item x="74"/>
        <item x="51"/>
        <item x="60"/>
        <item x="33"/>
        <item x="57"/>
        <item x="48"/>
        <item x="36"/>
        <item x="78"/>
        <item x="31"/>
        <item x="55"/>
        <item x="79"/>
        <item x="58"/>
        <item x="77"/>
        <item x="45"/>
        <item x="52"/>
        <item x="28"/>
        <item x="80"/>
        <item x="82"/>
        <item x="53"/>
        <item x="49"/>
        <item x="81"/>
        <item x="34"/>
        <item x="25"/>
        <item x="37"/>
        <item x="43"/>
        <item x="50"/>
        <item x="22"/>
        <item x="38"/>
        <item x="83"/>
        <item x="47"/>
        <item x="46"/>
        <item x="20"/>
        <item x="84"/>
        <item x="19"/>
        <item x="32"/>
        <item x="35"/>
        <item x="17"/>
        <item x="14"/>
        <item x="29"/>
        <item x="30"/>
        <item x="11"/>
        <item x="8"/>
        <item x="44"/>
        <item x="26"/>
        <item x="6"/>
        <item x="23"/>
        <item x="39"/>
        <item x="27"/>
        <item x="12"/>
        <item x="15"/>
        <item x="18"/>
        <item x="9"/>
        <item x="24"/>
        <item x="10"/>
        <item x="4"/>
        <item x="21"/>
        <item x="42"/>
        <item x="13"/>
        <item x="7"/>
        <item x="16"/>
        <item x="41"/>
        <item x="40"/>
        <item x="5"/>
        <item x="1"/>
        <item x="147"/>
        <item x="3"/>
        <item x="2"/>
        <item x="86"/>
        <item x="0"/>
        <item x="87"/>
        <item x="161"/>
        <item x="150"/>
        <item x="89"/>
        <item x="90"/>
        <item x="162"/>
        <item x="85"/>
        <item x="163"/>
        <item x="148"/>
        <item x="92"/>
        <item x="93"/>
        <item x="160"/>
        <item x="144"/>
        <item x="165"/>
        <item x="159"/>
        <item x="88"/>
        <item x="164"/>
        <item x="95"/>
        <item x="157"/>
        <item x="166"/>
        <item x="146"/>
        <item x="156"/>
        <item x="91"/>
        <item x="96"/>
        <item x="183"/>
        <item x="154"/>
        <item x="149"/>
        <item x="158"/>
        <item x="172"/>
        <item x="167"/>
        <item x="155"/>
        <item x="98"/>
        <item x="99"/>
        <item x="169"/>
        <item x="94"/>
        <item x="102"/>
        <item x="152"/>
        <item x="170"/>
        <item x="145"/>
        <item x="101"/>
        <item x="185"/>
        <item x="168"/>
        <item x="104"/>
        <item x="141"/>
        <item x="151"/>
        <item x="107"/>
        <item x="186"/>
        <item x="97"/>
        <item x="153"/>
        <item x="108"/>
        <item x="180"/>
        <item x="171"/>
        <item x="100"/>
        <item x="143"/>
        <item x="178"/>
        <item x="103"/>
        <item x="106"/>
        <item x="105"/>
        <item x="182"/>
        <item x="184"/>
        <item x="142"/>
        <item x="110"/>
        <item x="175"/>
        <item x="177"/>
        <item x="176"/>
        <item x="112"/>
        <item x="140"/>
        <item x="181"/>
        <item x="109"/>
        <item x="115"/>
        <item x="139"/>
        <item x="114"/>
        <item x="179"/>
        <item x="194"/>
        <item x="117"/>
        <item x="118"/>
        <item x="138"/>
        <item x="121"/>
        <item x="195"/>
        <item x="196"/>
        <item x="198"/>
        <item x="189"/>
        <item x="120"/>
        <item x="111"/>
        <item x="123"/>
        <item x="188"/>
        <item x="173"/>
        <item x="197"/>
        <item x="124"/>
        <item x="199"/>
        <item x="113"/>
        <item x="187"/>
        <item x="126"/>
        <item x="192"/>
        <item x="137"/>
        <item x="116"/>
        <item x="122"/>
        <item x="119"/>
        <item x="201"/>
        <item x="128"/>
        <item x="193"/>
        <item x="130"/>
        <item x="125"/>
        <item x="190"/>
        <item x="132"/>
        <item x="136"/>
        <item x="127"/>
        <item x="200"/>
        <item x="129"/>
        <item x="133"/>
        <item x="131"/>
        <item x="203"/>
        <item x="135"/>
        <item x="191"/>
        <item x="202"/>
        <item x="134"/>
        <item x="204"/>
        <item x="174"/>
        <item t="default"/>
      </items>
    </pivotField>
    <pivotField showAll="0">
      <items count="283">
        <item x="1"/>
        <item x="3"/>
        <item x="6"/>
        <item x="2"/>
        <item x="4"/>
        <item x="7"/>
        <item x="0"/>
        <item x="8"/>
        <item x="5"/>
        <item x="9"/>
        <item x="10"/>
        <item x="12"/>
        <item x="11"/>
        <item x="13"/>
        <item x="15"/>
        <item x="14"/>
        <item x="17"/>
        <item x="18"/>
        <item x="20"/>
        <item x="16"/>
        <item x="21"/>
        <item x="24"/>
        <item x="23"/>
        <item x="19"/>
        <item x="26"/>
        <item x="27"/>
        <item x="22"/>
        <item x="29"/>
        <item x="25"/>
        <item x="30"/>
        <item x="33"/>
        <item x="28"/>
        <item x="36"/>
        <item x="32"/>
        <item x="39"/>
        <item x="35"/>
        <item x="42"/>
        <item x="38"/>
        <item x="45"/>
        <item x="41"/>
        <item x="31"/>
        <item x="48"/>
        <item x="44"/>
        <item x="34"/>
        <item x="51"/>
        <item x="47"/>
        <item x="37"/>
        <item x="40"/>
        <item x="50"/>
        <item x="54"/>
        <item x="57"/>
        <item x="43"/>
        <item x="53"/>
        <item x="62"/>
        <item x="65"/>
        <item x="46"/>
        <item x="56"/>
        <item x="68"/>
        <item x="59"/>
        <item x="61"/>
        <item x="49"/>
        <item x="71"/>
        <item x="64"/>
        <item x="67"/>
        <item x="74"/>
        <item x="76"/>
        <item x="52"/>
        <item x="70"/>
        <item x="78"/>
        <item x="73"/>
        <item x="55"/>
        <item x="77"/>
        <item x="58"/>
        <item x="81"/>
        <item x="80"/>
        <item x="60"/>
        <item x="86"/>
        <item x="63"/>
        <item x="66"/>
        <item x="83"/>
        <item x="85"/>
        <item x="69"/>
        <item x="88"/>
        <item x="75"/>
        <item x="72"/>
        <item x="93"/>
        <item x="90"/>
        <item x="79"/>
        <item x="96"/>
        <item x="99"/>
        <item x="92"/>
        <item x="82"/>
        <item x="102"/>
        <item x="105"/>
        <item x="95"/>
        <item x="108"/>
        <item x="84"/>
        <item x="98"/>
        <item x="110"/>
        <item x="87"/>
        <item x="101"/>
        <item x="113"/>
        <item x="144"/>
        <item x="104"/>
        <item x="107"/>
        <item x="142"/>
        <item x="139"/>
        <item x="116"/>
        <item x="89"/>
        <item x="147"/>
        <item x="119"/>
        <item x="146"/>
        <item x="112"/>
        <item x="136"/>
        <item x="91"/>
        <item x="133"/>
        <item x="115"/>
        <item x="141"/>
        <item x="126"/>
        <item x="130"/>
        <item x="94"/>
        <item x="152"/>
        <item x="148"/>
        <item x="154"/>
        <item x="118"/>
        <item x="155"/>
        <item x="145"/>
        <item x="138"/>
        <item x="121"/>
        <item x="153"/>
        <item x="149"/>
        <item x="157"/>
        <item x="97"/>
        <item x="135"/>
        <item x="123"/>
        <item x="159"/>
        <item x="167"/>
        <item x="125"/>
        <item x="161"/>
        <item x="100"/>
        <item x="132"/>
        <item x="103"/>
        <item x="143"/>
        <item x="156"/>
        <item x="106"/>
        <item x="129"/>
        <item x="158"/>
        <item x="109"/>
        <item x="150"/>
        <item x="164"/>
        <item x="151"/>
        <item x="168"/>
        <item x="166"/>
        <item x="163"/>
        <item x="160"/>
        <item x="162"/>
        <item x="140"/>
        <item x="165"/>
        <item x="111"/>
        <item x="170"/>
        <item x="169"/>
        <item x="172"/>
        <item x="137"/>
        <item x="171"/>
        <item x="114"/>
        <item x="174"/>
        <item x="117"/>
        <item x="134"/>
        <item x="175"/>
        <item x="173"/>
        <item x="120"/>
        <item x="122"/>
        <item x="131"/>
        <item x="176"/>
        <item x="124"/>
        <item x="127"/>
        <item x="128"/>
        <item x="178"/>
        <item x="179"/>
        <item x="177"/>
        <item x="181"/>
        <item x="182"/>
        <item x="180"/>
        <item x="184"/>
        <item x="187"/>
        <item x="185"/>
        <item x="190"/>
        <item x="183"/>
        <item x="188"/>
        <item x="186"/>
        <item x="191"/>
        <item x="189"/>
        <item x="193"/>
        <item x="192"/>
        <item x="196"/>
        <item x="197"/>
        <item x="195"/>
        <item x="198"/>
        <item x="200"/>
        <item x="199"/>
        <item x="202"/>
        <item x="201"/>
        <item x="204"/>
        <item x="205"/>
        <item x="207"/>
        <item x="203"/>
        <item x="212"/>
        <item x="214"/>
        <item x="216"/>
        <item x="208"/>
        <item x="206"/>
        <item x="217"/>
        <item x="210"/>
        <item x="213"/>
        <item x="215"/>
        <item x="209"/>
        <item x="211"/>
        <item x="219"/>
        <item x="222"/>
        <item x="226"/>
        <item x="230"/>
        <item x="233"/>
        <item x="220"/>
        <item x="224"/>
        <item x="223"/>
        <item x="227"/>
        <item x="231"/>
        <item x="234"/>
        <item x="218"/>
        <item x="225"/>
        <item x="221"/>
        <item x="228"/>
        <item x="236"/>
        <item x="229"/>
        <item x="232"/>
        <item x="235"/>
        <item x="238"/>
        <item x="240"/>
        <item x="237"/>
        <item x="241"/>
        <item x="243"/>
        <item x="239"/>
        <item x="244"/>
        <item x="246"/>
        <item x="242"/>
        <item x="247"/>
        <item x="249"/>
        <item x="245"/>
        <item x="252"/>
        <item x="250"/>
        <item x="255"/>
        <item x="248"/>
        <item x="253"/>
        <item x="251"/>
        <item x="258"/>
        <item x="256"/>
        <item x="254"/>
        <item x="259"/>
        <item x="257"/>
        <item x="263"/>
        <item x="261"/>
        <item x="266"/>
        <item x="260"/>
        <item x="264"/>
        <item x="269"/>
        <item x="262"/>
        <item x="267"/>
        <item x="272"/>
        <item x="265"/>
        <item x="270"/>
        <item x="268"/>
        <item x="277"/>
        <item x="273"/>
        <item x="275"/>
        <item x="271"/>
        <item x="280"/>
        <item x="274"/>
        <item x="278"/>
        <item x="276"/>
        <item x="281"/>
        <item x="279"/>
        <item x="194"/>
        <item t="default"/>
      </items>
    </pivotField>
    <pivotField showAll="0">
      <items count="269">
        <item x="0"/>
        <item x="2"/>
        <item x="1"/>
        <item x="4"/>
        <item x="5"/>
        <item x="3"/>
        <item x="7"/>
        <item x="8"/>
        <item x="6"/>
        <item x="10"/>
        <item x="11"/>
        <item x="13"/>
        <item x="9"/>
        <item x="15"/>
        <item x="12"/>
        <item x="17"/>
        <item x="18"/>
        <item x="14"/>
        <item x="20"/>
        <item x="16"/>
        <item x="22"/>
        <item x="19"/>
        <item x="21"/>
        <item x="24"/>
        <item x="23"/>
        <item x="25"/>
        <item x="26"/>
        <item x="32"/>
        <item x="28"/>
        <item x="27"/>
        <item x="30"/>
        <item x="33"/>
        <item x="29"/>
        <item x="31"/>
        <item x="35"/>
        <item x="34"/>
        <item x="37"/>
        <item x="40"/>
        <item x="36"/>
        <item x="43"/>
        <item x="41"/>
        <item x="38"/>
        <item x="44"/>
        <item x="39"/>
        <item x="42"/>
        <item x="47"/>
        <item x="48"/>
        <item x="45"/>
        <item x="46"/>
        <item x="54"/>
        <item x="57"/>
        <item x="49"/>
        <item x="60"/>
        <item x="50"/>
        <item x="52"/>
        <item x="55"/>
        <item x="65"/>
        <item x="58"/>
        <item x="51"/>
        <item x="53"/>
        <item x="70"/>
        <item x="61"/>
        <item x="56"/>
        <item x="63"/>
        <item x="66"/>
        <item x="59"/>
        <item x="68"/>
        <item x="78"/>
        <item x="81"/>
        <item x="71"/>
        <item x="64"/>
        <item x="62"/>
        <item x="67"/>
        <item x="89"/>
        <item x="74"/>
        <item x="69"/>
        <item x="76"/>
        <item x="96"/>
        <item x="72"/>
        <item x="99"/>
        <item x="79"/>
        <item x="82"/>
        <item x="73"/>
        <item x="104"/>
        <item x="75"/>
        <item x="106"/>
        <item x="85"/>
        <item x="111"/>
        <item x="87"/>
        <item x="77"/>
        <item x="90"/>
        <item x="120"/>
        <item x="80"/>
        <item x="83"/>
        <item x="92"/>
        <item x="123"/>
        <item x="84"/>
        <item x="94"/>
        <item x="127"/>
        <item x="129"/>
        <item x="97"/>
        <item x="86"/>
        <item x="100"/>
        <item x="88"/>
        <item x="132"/>
        <item x="102"/>
        <item x="137"/>
        <item x="138"/>
        <item x="107"/>
        <item x="109"/>
        <item x="91"/>
        <item x="112"/>
        <item x="114"/>
        <item x="141"/>
        <item x="116"/>
        <item x="146"/>
        <item x="93"/>
        <item x="152"/>
        <item x="118"/>
        <item x="131"/>
        <item x="98"/>
        <item x="95"/>
        <item x="155"/>
        <item x="103"/>
        <item x="101"/>
        <item x="125"/>
        <item x="105"/>
        <item x="160"/>
        <item x="133"/>
        <item x="108"/>
        <item x="135"/>
        <item x="110"/>
        <item x="165"/>
        <item x="113"/>
        <item x="115"/>
        <item x="130"/>
        <item x="142"/>
        <item x="126"/>
        <item x="128"/>
        <item x="122"/>
        <item x="117"/>
        <item x="174"/>
        <item x="119"/>
        <item x="121"/>
        <item x="124"/>
        <item x="134"/>
        <item x="136"/>
        <item x="140"/>
        <item x="150"/>
        <item x="147"/>
        <item x="144"/>
        <item x="153"/>
        <item x="139"/>
        <item x="156"/>
        <item x="158"/>
        <item x="143"/>
        <item x="161"/>
        <item x="162"/>
        <item x="163"/>
        <item x="166"/>
        <item x="168"/>
        <item x="181"/>
        <item x="170"/>
        <item x="172"/>
        <item x="175"/>
        <item x="176"/>
        <item x="178"/>
        <item x="149"/>
        <item x="151"/>
        <item x="145"/>
        <item x="154"/>
        <item x="148"/>
        <item x="157"/>
        <item x="159"/>
        <item x="164"/>
        <item x="167"/>
        <item x="177"/>
        <item x="169"/>
        <item x="182"/>
        <item x="171"/>
        <item x="173"/>
        <item x="184"/>
        <item x="190"/>
        <item x="180"/>
        <item x="186"/>
        <item x="193"/>
        <item x="183"/>
        <item x="188"/>
        <item x="185"/>
        <item x="196"/>
        <item x="191"/>
        <item x="187"/>
        <item x="194"/>
        <item x="189"/>
        <item x="201"/>
        <item x="204"/>
        <item x="197"/>
        <item x="207"/>
        <item x="210"/>
        <item x="192"/>
        <item x="214"/>
        <item x="218"/>
        <item x="199"/>
        <item x="195"/>
        <item x="202"/>
        <item x="225"/>
        <item x="228"/>
        <item x="231"/>
        <item x="234"/>
        <item x="205"/>
        <item x="236"/>
        <item x="239"/>
        <item x="208"/>
        <item x="242"/>
        <item x="198"/>
        <item x="245"/>
        <item x="200"/>
        <item x="212"/>
        <item x="247"/>
        <item x="250"/>
        <item x="203"/>
        <item x="253"/>
        <item x="215"/>
        <item x="256"/>
        <item x="219"/>
        <item x="221"/>
        <item x="223"/>
        <item x="226"/>
        <item x="206"/>
        <item x="229"/>
        <item x="261"/>
        <item x="232"/>
        <item x="209"/>
        <item x="266"/>
        <item x="211"/>
        <item x="237"/>
        <item x="213"/>
        <item x="240"/>
        <item x="216"/>
        <item x="243"/>
        <item x="217"/>
        <item x="220"/>
        <item x="248"/>
        <item x="222"/>
        <item x="224"/>
        <item x="251"/>
        <item x="254"/>
        <item x="227"/>
        <item x="257"/>
        <item x="230"/>
        <item x="259"/>
        <item x="262"/>
        <item x="233"/>
        <item x="264"/>
        <item x="235"/>
        <item x="267"/>
        <item x="238"/>
        <item x="241"/>
        <item x="244"/>
        <item x="246"/>
        <item x="249"/>
        <item x="252"/>
        <item x="255"/>
        <item x="258"/>
        <item x="260"/>
        <item x="263"/>
        <item x="265"/>
        <item x="179"/>
        <item t="default"/>
      </items>
    </pivotField>
    <pivotField showAll="0">
      <items count="308">
        <item x="0"/>
        <item x="2"/>
        <item x="3"/>
        <item x="1"/>
        <item x="6"/>
        <item x="5"/>
        <item x="9"/>
        <item x="8"/>
        <item x="4"/>
        <item x="11"/>
        <item x="7"/>
        <item x="12"/>
        <item x="14"/>
        <item x="10"/>
        <item x="15"/>
        <item x="13"/>
        <item x="17"/>
        <item x="18"/>
        <item x="16"/>
        <item x="20"/>
        <item x="19"/>
        <item x="22"/>
        <item x="23"/>
        <item x="21"/>
        <item x="25"/>
        <item x="26"/>
        <item x="24"/>
        <item x="27"/>
        <item x="29"/>
        <item x="30"/>
        <item x="28"/>
        <item x="33"/>
        <item x="32"/>
        <item x="35"/>
        <item x="31"/>
        <item x="38"/>
        <item x="41"/>
        <item x="37"/>
        <item x="34"/>
        <item x="44"/>
        <item x="40"/>
        <item x="43"/>
        <item x="36"/>
        <item x="47"/>
        <item x="46"/>
        <item x="39"/>
        <item x="50"/>
        <item x="42"/>
        <item x="49"/>
        <item x="45"/>
        <item x="52"/>
        <item x="48"/>
        <item x="55"/>
        <item x="54"/>
        <item x="58"/>
        <item x="51"/>
        <item x="57"/>
        <item x="60"/>
        <item x="53"/>
        <item x="63"/>
        <item x="56"/>
        <item x="62"/>
        <item x="59"/>
        <item x="65"/>
        <item x="67"/>
        <item x="68"/>
        <item x="61"/>
        <item x="64"/>
        <item x="70"/>
        <item x="66"/>
        <item x="72"/>
        <item x="69"/>
        <item x="73"/>
        <item x="75"/>
        <item x="71"/>
        <item x="74"/>
        <item x="76"/>
        <item x="77"/>
        <item x="79"/>
        <item x="80"/>
        <item x="82"/>
        <item x="78"/>
        <item x="83"/>
        <item x="81"/>
        <item x="85"/>
        <item x="87"/>
        <item x="84"/>
        <item x="86"/>
        <item x="89"/>
        <item x="90"/>
        <item x="88"/>
        <item x="92"/>
        <item x="93"/>
        <item x="91"/>
        <item x="95"/>
        <item x="94"/>
        <item x="99"/>
        <item x="97"/>
        <item x="102"/>
        <item x="100"/>
        <item x="96"/>
        <item x="103"/>
        <item x="98"/>
        <item x="105"/>
        <item x="108"/>
        <item x="101"/>
        <item x="104"/>
        <item x="111"/>
        <item x="109"/>
        <item x="106"/>
        <item x="112"/>
        <item x="107"/>
        <item x="114"/>
        <item x="118"/>
        <item x="110"/>
        <item x="116"/>
        <item x="121"/>
        <item x="113"/>
        <item x="124"/>
        <item x="119"/>
        <item x="115"/>
        <item x="127"/>
        <item x="122"/>
        <item x="130"/>
        <item x="125"/>
        <item x="117"/>
        <item x="135"/>
        <item x="128"/>
        <item x="138"/>
        <item x="120"/>
        <item x="131"/>
        <item x="123"/>
        <item x="143"/>
        <item x="126"/>
        <item x="133"/>
        <item x="136"/>
        <item x="129"/>
        <item x="139"/>
        <item x="141"/>
        <item x="147"/>
        <item x="132"/>
        <item x="134"/>
        <item x="137"/>
        <item x="152"/>
        <item x="154"/>
        <item x="140"/>
        <item x="145"/>
        <item x="159"/>
        <item x="148"/>
        <item x="162"/>
        <item x="142"/>
        <item x="150"/>
        <item x="165"/>
        <item x="144"/>
        <item x="153"/>
        <item x="155"/>
        <item x="146"/>
        <item x="169"/>
        <item x="157"/>
        <item x="160"/>
        <item x="149"/>
        <item x="163"/>
        <item x="166"/>
        <item x="174"/>
        <item x="151"/>
        <item x="158"/>
        <item x="156"/>
        <item x="175"/>
        <item x="170"/>
        <item x="178"/>
        <item x="161"/>
        <item x="180"/>
        <item x="172"/>
        <item x="183"/>
        <item x="185"/>
        <item x="164"/>
        <item x="188"/>
        <item x="167"/>
        <item x="176"/>
        <item x="181"/>
        <item x="168"/>
        <item x="186"/>
        <item x="191"/>
        <item x="171"/>
        <item x="189"/>
        <item x="193"/>
        <item x="182"/>
        <item x="173"/>
        <item x="179"/>
        <item x="177"/>
        <item x="184"/>
        <item x="187"/>
        <item x="190"/>
        <item x="192"/>
        <item x="196"/>
        <item x="194"/>
        <item x="198"/>
        <item x="195"/>
        <item x="197"/>
        <item x="200"/>
        <item x="199"/>
        <item x="202"/>
        <item x="201"/>
        <item x="204"/>
        <item x="205"/>
        <item x="203"/>
        <item x="207"/>
        <item x="208"/>
        <item x="206"/>
        <item x="210"/>
        <item x="209"/>
        <item x="214"/>
        <item x="217"/>
        <item x="213"/>
        <item x="212"/>
        <item x="220"/>
        <item x="216"/>
        <item x="223"/>
        <item x="219"/>
        <item x="222"/>
        <item x="215"/>
        <item x="226"/>
        <item x="225"/>
        <item x="228"/>
        <item x="218"/>
        <item x="221"/>
        <item x="224"/>
        <item x="230"/>
        <item x="231"/>
        <item x="227"/>
        <item x="234"/>
        <item x="237"/>
        <item x="229"/>
        <item x="233"/>
        <item x="236"/>
        <item x="239"/>
        <item x="232"/>
        <item x="240"/>
        <item x="235"/>
        <item x="242"/>
        <item x="246"/>
        <item x="241"/>
        <item x="238"/>
        <item x="243"/>
        <item x="249"/>
        <item x="248"/>
        <item x="245"/>
        <item x="252"/>
        <item x="244"/>
        <item x="247"/>
        <item x="253"/>
        <item x="251"/>
        <item x="256"/>
        <item x="255"/>
        <item x="250"/>
        <item x="258"/>
        <item x="261"/>
        <item x="254"/>
        <item x="264"/>
        <item x="260"/>
        <item x="257"/>
        <item x="263"/>
        <item x="267"/>
        <item x="266"/>
        <item x="259"/>
        <item x="270"/>
        <item x="262"/>
        <item x="269"/>
        <item x="265"/>
        <item x="273"/>
        <item x="272"/>
        <item x="268"/>
        <item x="276"/>
        <item x="275"/>
        <item x="279"/>
        <item x="271"/>
        <item x="278"/>
        <item x="282"/>
        <item x="284"/>
        <item x="274"/>
        <item x="281"/>
        <item x="287"/>
        <item x="277"/>
        <item x="290"/>
        <item x="286"/>
        <item x="280"/>
        <item x="289"/>
        <item x="295"/>
        <item x="283"/>
        <item x="292"/>
        <item x="298"/>
        <item x="294"/>
        <item x="285"/>
        <item x="301"/>
        <item x="304"/>
        <item x="297"/>
        <item x="288"/>
        <item x="291"/>
        <item x="300"/>
        <item x="293"/>
        <item x="303"/>
        <item x="306"/>
        <item x="296"/>
        <item x="299"/>
        <item x="302"/>
        <item x="305"/>
        <item x="211"/>
        <item t="default"/>
      </items>
    </pivotField>
    <pivotField showAll="0"/>
    <pivotField showAll="0">
      <items count="310">
        <item x="0"/>
        <item x="1"/>
        <item x="2"/>
        <item x="4"/>
        <item x="3"/>
        <item x="5"/>
        <item x="7"/>
        <item x="6"/>
        <item x="8"/>
        <item x="10"/>
        <item x="11"/>
        <item x="9"/>
        <item x="13"/>
        <item x="14"/>
        <item x="16"/>
        <item x="12"/>
        <item x="18"/>
        <item x="19"/>
        <item x="15"/>
        <item x="21"/>
        <item x="17"/>
        <item x="23"/>
        <item x="24"/>
        <item x="20"/>
        <item x="26"/>
        <item x="27"/>
        <item x="22"/>
        <item x="29"/>
        <item x="25"/>
        <item x="30"/>
        <item x="32"/>
        <item x="28"/>
        <item x="35"/>
        <item x="34"/>
        <item x="38"/>
        <item x="37"/>
        <item x="31"/>
        <item x="40"/>
        <item x="41"/>
        <item x="33"/>
        <item x="43"/>
        <item x="36"/>
        <item x="44"/>
        <item x="39"/>
        <item x="46"/>
        <item x="47"/>
        <item x="42"/>
        <item x="49"/>
        <item x="50"/>
        <item x="45"/>
        <item x="52"/>
        <item x="48"/>
        <item x="55"/>
        <item x="54"/>
        <item x="58"/>
        <item x="57"/>
        <item x="51"/>
        <item x="59"/>
        <item x="62"/>
        <item x="61"/>
        <item x="64"/>
        <item x="53"/>
        <item x="66"/>
        <item x="67"/>
        <item x="56"/>
        <item x="70"/>
        <item x="69"/>
        <item x="72"/>
        <item x="60"/>
        <item x="63"/>
        <item x="75"/>
        <item x="74"/>
        <item x="65"/>
        <item x="77"/>
        <item x="68"/>
        <item x="78"/>
        <item x="71"/>
        <item x="80"/>
        <item x="81"/>
        <item x="73"/>
        <item x="83"/>
        <item x="86"/>
        <item x="85"/>
        <item x="76"/>
        <item x="89"/>
        <item x="88"/>
        <item x="79"/>
        <item x="92"/>
        <item x="91"/>
        <item x="82"/>
        <item x="94"/>
        <item x="84"/>
        <item x="99"/>
        <item x="96"/>
        <item x="87"/>
        <item x="102"/>
        <item x="98"/>
        <item x="90"/>
        <item x="105"/>
        <item x="101"/>
        <item x="108"/>
        <item x="104"/>
        <item x="107"/>
        <item x="111"/>
        <item x="93"/>
        <item x="110"/>
        <item x="114"/>
        <item x="95"/>
        <item x="113"/>
        <item x="117"/>
        <item x="116"/>
        <item x="97"/>
        <item x="120"/>
        <item x="100"/>
        <item x="119"/>
        <item x="103"/>
        <item x="123"/>
        <item x="122"/>
        <item x="126"/>
        <item x="106"/>
        <item x="125"/>
        <item x="127"/>
        <item x="109"/>
        <item x="128"/>
        <item x="112"/>
        <item x="115"/>
        <item x="130"/>
        <item x="118"/>
        <item x="133"/>
        <item x="132"/>
        <item x="121"/>
        <item x="136"/>
        <item x="124"/>
        <item x="135"/>
        <item x="129"/>
        <item x="138"/>
        <item x="140"/>
        <item x="141"/>
        <item x="131"/>
        <item x="144"/>
        <item x="143"/>
        <item x="134"/>
        <item x="146"/>
        <item x="147"/>
        <item x="137"/>
        <item x="139"/>
        <item x="149"/>
        <item x="142"/>
        <item x="145"/>
        <item x="150"/>
        <item x="152"/>
        <item x="148"/>
        <item x="154"/>
        <item x="156"/>
        <item x="151"/>
        <item x="158"/>
        <item x="163"/>
        <item x="153"/>
        <item x="160"/>
        <item x="155"/>
        <item x="162"/>
        <item x="165"/>
        <item x="166"/>
        <item x="169"/>
        <item x="157"/>
        <item x="168"/>
        <item x="179"/>
        <item x="171"/>
        <item x="159"/>
        <item x="174"/>
        <item x="178"/>
        <item x="161"/>
        <item x="173"/>
        <item x="176"/>
        <item x="170"/>
        <item x="164"/>
        <item x="182"/>
        <item x="167"/>
        <item x="172"/>
        <item x="175"/>
        <item x="177"/>
        <item x="185"/>
        <item x="180"/>
        <item x="187"/>
        <item x="184"/>
        <item x="190"/>
        <item x="193"/>
        <item x="196"/>
        <item x="189"/>
        <item x="192"/>
        <item x="181"/>
        <item x="195"/>
        <item x="198"/>
        <item x="183"/>
        <item x="200"/>
        <item x="201"/>
        <item x="186"/>
        <item x="203"/>
        <item x="188"/>
        <item x="191"/>
        <item x="194"/>
        <item x="206"/>
        <item x="205"/>
        <item x="197"/>
        <item x="209"/>
        <item x="208"/>
        <item x="199"/>
        <item x="212"/>
        <item x="211"/>
        <item x="202"/>
        <item x="214"/>
        <item x="204"/>
        <item x="216"/>
        <item x="207"/>
        <item x="218"/>
        <item x="210"/>
        <item x="220"/>
        <item x="213"/>
        <item x="221"/>
        <item x="215"/>
        <item x="223"/>
        <item x="217"/>
        <item x="224"/>
        <item x="219"/>
        <item x="226"/>
        <item x="222"/>
        <item x="225"/>
        <item x="231"/>
        <item x="228"/>
        <item x="233"/>
        <item x="237"/>
        <item x="234"/>
        <item x="239"/>
        <item x="230"/>
        <item x="242"/>
        <item x="238"/>
        <item x="236"/>
        <item x="245"/>
        <item x="241"/>
        <item x="244"/>
        <item x="250"/>
        <item x="247"/>
        <item x="229"/>
        <item x="253"/>
        <item x="232"/>
        <item x="252"/>
        <item x="249"/>
        <item x="235"/>
        <item x="240"/>
        <item x="258"/>
        <item x="255"/>
        <item x="261"/>
        <item x="243"/>
        <item x="266"/>
        <item x="273"/>
        <item x="260"/>
        <item x="263"/>
        <item x="269"/>
        <item x="276"/>
        <item x="246"/>
        <item x="257"/>
        <item x="265"/>
        <item x="275"/>
        <item x="278"/>
        <item x="272"/>
        <item x="268"/>
        <item x="277"/>
        <item x="270"/>
        <item x="286"/>
        <item x="248"/>
        <item x="251"/>
        <item x="280"/>
        <item x="282"/>
        <item x="283"/>
        <item x="285"/>
        <item x="254"/>
        <item x="291"/>
        <item x="288"/>
        <item x="294"/>
        <item x="290"/>
        <item x="262"/>
        <item x="259"/>
        <item x="293"/>
        <item x="296"/>
        <item x="274"/>
        <item x="264"/>
        <item x="271"/>
        <item x="298"/>
        <item x="267"/>
        <item x="281"/>
        <item x="300"/>
        <item x="279"/>
        <item x="256"/>
        <item x="284"/>
        <item x="304"/>
        <item x="287"/>
        <item x="289"/>
        <item x="303"/>
        <item x="292"/>
        <item x="306"/>
        <item x="295"/>
        <item x="297"/>
        <item x="308"/>
        <item x="299"/>
        <item x="301"/>
        <item x="302"/>
        <item x="305"/>
        <item x="307"/>
        <item x="227"/>
        <item t="default"/>
      </items>
    </pivotField>
    <pivotField showAll="0"/>
    <pivotField showAll="0"/>
    <pivotField axis="axisPage" dataField="1" showAll="0">
      <items count="304">
        <item x="1"/>
        <item x="2"/>
        <item x="0"/>
        <item x="4"/>
        <item x="3"/>
        <item x="6"/>
        <item x="5"/>
        <item x="8"/>
        <item x="9"/>
        <item x="7"/>
        <item x="11"/>
        <item x="12"/>
        <item x="10"/>
        <item x="14"/>
        <item x="15"/>
        <item x="13"/>
        <item x="17"/>
        <item x="19"/>
        <item x="16"/>
        <item x="20"/>
        <item x="18"/>
        <item x="22"/>
        <item x="24"/>
        <item x="21"/>
        <item x="25"/>
        <item x="27"/>
        <item x="23"/>
        <item x="30"/>
        <item x="28"/>
        <item x="33"/>
        <item x="26"/>
        <item x="36"/>
        <item x="31"/>
        <item x="39"/>
        <item x="34"/>
        <item x="29"/>
        <item x="42"/>
        <item x="37"/>
        <item x="32"/>
        <item x="40"/>
        <item x="35"/>
        <item x="43"/>
        <item x="38"/>
        <item x="49"/>
        <item x="45"/>
        <item x="41"/>
        <item x="52"/>
        <item x="47"/>
        <item x="55"/>
        <item x="44"/>
        <item x="58"/>
        <item x="50"/>
        <item x="46"/>
        <item x="61"/>
        <item x="53"/>
        <item x="64"/>
        <item x="56"/>
        <item x="67"/>
        <item x="48"/>
        <item x="70"/>
        <item x="51"/>
        <item x="72"/>
        <item x="59"/>
        <item x="54"/>
        <item x="62"/>
        <item x="65"/>
        <item x="57"/>
        <item x="68"/>
        <item x="81"/>
        <item x="60"/>
        <item x="86"/>
        <item x="63"/>
        <item x="89"/>
        <item x="73"/>
        <item x="66"/>
        <item x="75"/>
        <item x="92"/>
        <item x="95"/>
        <item x="77"/>
        <item x="97"/>
        <item x="69"/>
        <item x="100"/>
        <item x="71"/>
        <item x="79"/>
        <item x="105"/>
        <item x="74"/>
        <item x="82"/>
        <item x="108"/>
        <item x="84"/>
        <item x="76"/>
        <item x="113"/>
        <item x="87"/>
        <item x="116"/>
        <item x="119"/>
        <item x="90"/>
        <item x="78"/>
        <item x="80"/>
        <item x="123"/>
        <item x="93"/>
        <item x="126"/>
        <item x="83"/>
        <item x="130"/>
        <item x="98"/>
        <item x="133"/>
        <item x="85"/>
        <item x="136"/>
        <item x="101"/>
        <item x="143"/>
        <item x="103"/>
        <item x="88"/>
        <item x="106"/>
        <item x="109"/>
        <item x="91"/>
        <item x="94"/>
        <item x="111"/>
        <item x="96"/>
        <item x="114"/>
        <item x="117"/>
        <item x="99"/>
        <item x="150"/>
        <item x="102"/>
        <item x="152"/>
        <item x="104"/>
        <item x="121"/>
        <item x="156"/>
        <item x="107"/>
        <item x="124"/>
        <item x="159"/>
        <item x="127"/>
        <item x="110"/>
        <item x="131"/>
        <item x="162"/>
        <item x="134"/>
        <item x="112"/>
        <item x="137"/>
        <item x="115"/>
        <item x="139"/>
        <item x="167"/>
        <item x="141"/>
        <item x="118"/>
        <item x="169"/>
        <item x="144"/>
        <item x="120"/>
        <item x="173"/>
        <item x="122"/>
        <item x="146"/>
        <item x="125"/>
        <item x="128"/>
        <item x="129"/>
        <item x="177"/>
        <item x="132"/>
        <item x="180"/>
        <item x="182"/>
        <item x="135"/>
        <item x="138"/>
        <item x="153"/>
        <item x="185"/>
        <item x="140"/>
        <item x="186"/>
        <item x="157"/>
        <item x="189"/>
        <item x="192"/>
        <item x="160"/>
        <item x="195"/>
        <item x="142"/>
        <item x="196"/>
        <item x="163"/>
        <item x="199"/>
        <item x="145"/>
        <item x="202"/>
        <item x="165"/>
        <item x="205"/>
        <item x="147"/>
        <item x="170"/>
        <item x="172"/>
        <item x="148"/>
        <item x="181"/>
        <item x="174"/>
        <item x="178"/>
        <item x="175"/>
        <item x="151"/>
        <item x="149"/>
        <item x="187"/>
        <item x="154"/>
        <item x="190"/>
        <item x="155"/>
        <item x="193"/>
        <item x="216"/>
        <item x="197"/>
        <item x="158"/>
        <item x="200"/>
        <item x="220"/>
        <item x="203"/>
        <item x="161"/>
        <item x="206"/>
        <item x="208"/>
        <item x="223"/>
        <item x="164"/>
        <item x="179"/>
        <item x="183"/>
        <item x="226"/>
        <item x="166"/>
        <item x="168"/>
        <item x="184"/>
        <item x="176"/>
        <item x="188"/>
        <item x="194"/>
        <item x="191"/>
        <item x="171"/>
        <item x="212"/>
        <item x="198"/>
        <item x="214"/>
        <item x="229"/>
        <item x="201"/>
        <item x="217"/>
        <item x="204"/>
        <item x="207"/>
        <item x="209"/>
        <item x="232"/>
        <item x="221"/>
        <item x="235"/>
        <item x="224"/>
        <item x="211"/>
        <item x="227"/>
        <item x="213"/>
        <item x="215"/>
        <item x="240"/>
        <item x="218"/>
        <item x="219"/>
        <item x="230"/>
        <item x="222"/>
        <item x="233"/>
        <item x="225"/>
        <item x="236"/>
        <item x="247"/>
        <item x="250"/>
        <item x="228"/>
        <item x="231"/>
        <item x="253"/>
        <item x="234"/>
        <item x="238"/>
        <item x="241"/>
        <item x="243"/>
        <item x="258"/>
        <item x="245"/>
        <item x="248"/>
        <item x="261"/>
        <item x="251"/>
        <item x="237"/>
        <item x="239"/>
        <item x="264"/>
        <item x="242"/>
        <item x="254"/>
        <item x="244"/>
        <item x="256"/>
        <item x="246"/>
        <item x="269"/>
        <item x="249"/>
        <item x="259"/>
        <item x="272"/>
        <item x="262"/>
        <item x="252"/>
        <item x="275"/>
        <item x="265"/>
        <item x="255"/>
        <item x="278"/>
        <item x="257"/>
        <item x="267"/>
        <item x="281"/>
        <item x="284"/>
        <item x="260"/>
        <item x="270"/>
        <item x="287"/>
        <item x="263"/>
        <item x="290"/>
        <item x="273"/>
        <item x="292"/>
        <item x="266"/>
        <item x="276"/>
        <item x="295"/>
        <item x="279"/>
        <item x="298"/>
        <item x="268"/>
        <item x="301"/>
        <item x="282"/>
        <item x="271"/>
        <item x="285"/>
        <item x="274"/>
        <item x="288"/>
        <item x="277"/>
        <item x="293"/>
        <item x="280"/>
        <item x="296"/>
        <item x="299"/>
        <item x="283"/>
        <item x="302"/>
        <item x="286"/>
        <item x="289"/>
        <item x="291"/>
        <item x="294"/>
        <item x="297"/>
        <item x="300"/>
        <item x="210"/>
        <item t="default"/>
      </items>
    </pivotField>
    <pivotField showAll="0"/>
    <pivotField showAll="0"/>
    <pivotField showAll="0"/>
    <pivotField showAll="0"/>
    <pivotField showAll="0"/>
    <pivotField showAll="0"/>
    <pivotField showAll="0"/>
    <pivotField showAll="0"/>
    <pivotField showAll="0"/>
    <pivotField showAll="0"/>
  </pivotFields>
  <rowFields count="1">
    <field x="1"/>
  </rowFields>
  <rowItems count="8">
    <i>
      <x v="4"/>
    </i>
    <i>
      <x v="5"/>
    </i>
    <i>
      <x v="6"/>
    </i>
    <i>
      <x v="7"/>
    </i>
    <i>
      <x v="8"/>
    </i>
    <i>
      <x v="9"/>
    </i>
    <i>
      <x v="10"/>
    </i>
    <i t="grand">
      <x/>
    </i>
  </rowItems>
  <colItems count="1">
    <i/>
  </colItems>
  <pageFields count="2">
    <pageField fld="0" item="1" hier="-1"/>
    <pageField fld="19" hier="-1"/>
  </pageFields>
  <dataFields count="1">
    <dataField name="Sum of Clothing and footwear" fld="1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T5:U13" firstHeaderRow="1" firstDataRow="1" firstDataCol="1" rowPageCount="2" colPageCount="1"/>
  <pivotFields count="30">
    <pivotField axis="axisPage" showAll="0">
      <items count="4">
        <item x="0"/>
        <item x="2"/>
        <item x="1"/>
        <item t="default"/>
      </items>
    </pivotField>
    <pivotField axis="axisRow" multipleItemSelectionAllowed="1" showAll="0">
      <items count="12">
        <item h="1" x="0"/>
        <item h="1" x="1"/>
        <item h="1" x="2"/>
        <item h="1" x="3"/>
        <item x="4"/>
        <item x="5"/>
        <item x="6"/>
        <item x="7"/>
        <item x="8"/>
        <item x="9"/>
        <item x="10"/>
        <item t="default"/>
      </items>
    </pivotField>
    <pivotField showAll="0"/>
    <pivotField showAll="0">
      <items count="254">
        <item x="0"/>
        <item x="2"/>
        <item x="3"/>
        <item x="6"/>
        <item x="5"/>
        <item x="1"/>
        <item x="11"/>
        <item x="8"/>
        <item x="10"/>
        <item x="13"/>
        <item x="4"/>
        <item x="16"/>
        <item x="15"/>
        <item x="7"/>
        <item x="19"/>
        <item x="9"/>
        <item x="18"/>
        <item x="12"/>
        <item x="21"/>
        <item x="24"/>
        <item x="23"/>
        <item x="14"/>
        <item x="26"/>
        <item x="27"/>
        <item x="17"/>
        <item x="29"/>
        <item x="20"/>
        <item x="30"/>
        <item x="22"/>
        <item x="25"/>
        <item x="32"/>
        <item x="35"/>
        <item x="34"/>
        <item x="28"/>
        <item x="38"/>
        <item x="37"/>
        <item x="43"/>
        <item x="31"/>
        <item x="40"/>
        <item x="42"/>
        <item x="45"/>
        <item x="33"/>
        <item x="47"/>
        <item x="48"/>
        <item x="51"/>
        <item x="36"/>
        <item x="39"/>
        <item x="53"/>
        <item x="50"/>
        <item x="41"/>
        <item x="56"/>
        <item x="44"/>
        <item x="55"/>
        <item x="46"/>
        <item x="58"/>
        <item x="60"/>
        <item x="62"/>
        <item x="65"/>
        <item x="66"/>
        <item x="64"/>
        <item x="49"/>
        <item x="68"/>
        <item x="61"/>
        <item x="67"/>
        <item x="54"/>
        <item x="63"/>
        <item x="59"/>
        <item x="57"/>
        <item x="69"/>
        <item x="52"/>
        <item x="83"/>
        <item x="72"/>
        <item x="70"/>
        <item x="74"/>
        <item x="71"/>
        <item x="76"/>
        <item x="87"/>
        <item x="73"/>
        <item x="75"/>
        <item x="79"/>
        <item x="81"/>
        <item x="84"/>
        <item x="77"/>
        <item x="78"/>
        <item x="80"/>
        <item x="82"/>
        <item x="85"/>
        <item x="88"/>
        <item x="93"/>
        <item x="90"/>
        <item x="86"/>
        <item x="96"/>
        <item x="89"/>
        <item x="94"/>
        <item x="91"/>
        <item x="99"/>
        <item x="97"/>
        <item x="92"/>
        <item x="95"/>
        <item x="100"/>
        <item x="102"/>
        <item x="98"/>
        <item x="105"/>
        <item x="103"/>
        <item x="101"/>
        <item x="109"/>
        <item x="106"/>
        <item x="112"/>
        <item x="111"/>
        <item x="104"/>
        <item x="110"/>
        <item x="107"/>
        <item x="113"/>
        <item x="108"/>
        <item x="120"/>
        <item x="114"/>
        <item x="116"/>
        <item x="125"/>
        <item x="128"/>
        <item x="118"/>
        <item x="115"/>
        <item x="131"/>
        <item x="117"/>
        <item x="121"/>
        <item x="138"/>
        <item x="123"/>
        <item x="126"/>
        <item x="119"/>
        <item x="129"/>
        <item x="132"/>
        <item x="122"/>
        <item x="124"/>
        <item x="141"/>
        <item x="127"/>
        <item x="130"/>
        <item x="136"/>
        <item x="144"/>
        <item x="133"/>
        <item x="134"/>
        <item x="139"/>
        <item x="135"/>
        <item x="150"/>
        <item x="147"/>
        <item x="142"/>
        <item x="137"/>
        <item x="148"/>
        <item x="145"/>
        <item x="153"/>
        <item x="140"/>
        <item x="146"/>
        <item x="143"/>
        <item x="149"/>
        <item x="156"/>
        <item x="151"/>
        <item x="152"/>
        <item x="158"/>
        <item x="159"/>
        <item x="154"/>
        <item x="161"/>
        <item x="155"/>
        <item x="163"/>
        <item x="157"/>
        <item x="164"/>
        <item x="196"/>
        <item x="160"/>
        <item x="166"/>
        <item x="162"/>
        <item x="169"/>
        <item x="168"/>
        <item x="172"/>
        <item x="194"/>
        <item x="171"/>
        <item x="165"/>
        <item x="174"/>
        <item x="191"/>
        <item x="167"/>
        <item x="188"/>
        <item x="206"/>
        <item x="170"/>
        <item x="199"/>
        <item x="203"/>
        <item x="173"/>
        <item x="205"/>
        <item x="201"/>
        <item x="193"/>
        <item x="185"/>
        <item x="175"/>
        <item x="208"/>
        <item x="190"/>
        <item x="182"/>
        <item x="197"/>
        <item x="179"/>
        <item x="210"/>
        <item x="187"/>
        <item x="177"/>
        <item x="198"/>
        <item x="184"/>
        <item x="195"/>
        <item x="202"/>
        <item x="200"/>
        <item x="204"/>
        <item x="212"/>
        <item x="181"/>
        <item x="192"/>
        <item x="214"/>
        <item x="207"/>
        <item x="215"/>
        <item x="189"/>
        <item x="209"/>
        <item x="217"/>
        <item x="186"/>
        <item x="183"/>
        <item x="176"/>
        <item x="211"/>
        <item x="213"/>
        <item x="180"/>
        <item x="219"/>
        <item x="216"/>
        <item x="222"/>
        <item x="221"/>
        <item x="224"/>
        <item x="225"/>
        <item x="218"/>
        <item x="227"/>
        <item x="220"/>
        <item x="223"/>
        <item x="226"/>
        <item x="228"/>
        <item x="230"/>
        <item x="229"/>
        <item x="231"/>
        <item x="233"/>
        <item x="234"/>
        <item x="232"/>
        <item x="236"/>
        <item x="235"/>
        <item x="237"/>
        <item x="239"/>
        <item x="238"/>
        <item x="240"/>
        <item x="242"/>
        <item x="241"/>
        <item x="251"/>
        <item x="244"/>
        <item x="252"/>
        <item x="245"/>
        <item x="243"/>
        <item x="246"/>
        <item x="249"/>
        <item x="248"/>
        <item x="247"/>
        <item x="250"/>
        <item x="178"/>
        <item t="default"/>
      </items>
    </pivotField>
    <pivotField showAll="0">
      <items count="292">
        <item x="0"/>
        <item x="2"/>
        <item x="3"/>
        <item x="6"/>
        <item x="1"/>
        <item x="9"/>
        <item x="8"/>
        <item x="12"/>
        <item x="5"/>
        <item x="11"/>
        <item x="14"/>
        <item x="7"/>
        <item x="15"/>
        <item x="4"/>
        <item x="10"/>
        <item x="13"/>
        <item x="17"/>
        <item x="20"/>
        <item x="23"/>
        <item x="28"/>
        <item x="27"/>
        <item x="19"/>
        <item x="29"/>
        <item x="25"/>
        <item x="30"/>
        <item x="22"/>
        <item x="33"/>
        <item x="26"/>
        <item x="32"/>
        <item x="36"/>
        <item x="24"/>
        <item x="18"/>
        <item x="35"/>
        <item x="38"/>
        <item x="16"/>
        <item x="39"/>
        <item x="21"/>
        <item x="34"/>
        <item x="41"/>
        <item x="37"/>
        <item x="31"/>
        <item x="50"/>
        <item x="44"/>
        <item x="55"/>
        <item x="47"/>
        <item x="43"/>
        <item x="59"/>
        <item x="52"/>
        <item x="57"/>
        <item x="54"/>
        <item x="46"/>
        <item x="40"/>
        <item x="49"/>
        <item x="58"/>
        <item x="62"/>
        <item x="51"/>
        <item x="60"/>
        <item x="56"/>
        <item x="42"/>
        <item x="53"/>
        <item x="45"/>
        <item x="61"/>
        <item x="63"/>
        <item x="65"/>
        <item x="48"/>
        <item x="67"/>
        <item x="64"/>
        <item x="79"/>
        <item x="78"/>
        <item x="66"/>
        <item x="80"/>
        <item x="82"/>
        <item x="68"/>
        <item x="81"/>
        <item x="77"/>
        <item x="74"/>
        <item x="76"/>
        <item x="71"/>
        <item x="75"/>
        <item x="70"/>
        <item x="73"/>
        <item x="83"/>
        <item x="86"/>
        <item x="85"/>
        <item x="88"/>
        <item x="72"/>
        <item x="69"/>
        <item x="87"/>
        <item x="90"/>
        <item x="84"/>
        <item x="89"/>
        <item x="92"/>
        <item x="113"/>
        <item x="110"/>
        <item x="93"/>
        <item x="107"/>
        <item x="105"/>
        <item x="112"/>
        <item x="109"/>
        <item x="106"/>
        <item x="104"/>
        <item x="115"/>
        <item x="108"/>
        <item x="111"/>
        <item x="96"/>
        <item x="119"/>
        <item x="102"/>
        <item x="114"/>
        <item x="118"/>
        <item x="95"/>
        <item x="91"/>
        <item x="117"/>
        <item x="99"/>
        <item x="116"/>
        <item x="103"/>
        <item x="98"/>
        <item x="120"/>
        <item x="101"/>
        <item x="122"/>
        <item x="133"/>
        <item x="130"/>
        <item x="94"/>
        <item x="135"/>
        <item x="132"/>
        <item x="136"/>
        <item x="137"/>
        <item x="134"/>
        <item x="131"/>
        <item x="128"/>
        <item x="138"/>
        <item x="129"/>
        <item x="140"/>
        <item x="142"/>
        <item x="123"/>
        <item x="141"/>
        <item x="97"/>
        <item x="121"/>
        <item x="100"/>
        <item x="144"/>
        <item x="139"/>
        <item x="143"/>
        <item x="158"/>
        <item x="125"/>
        <item x="127"/>
        <item x="156"/>
        <item x="161"/>
        <item x="153"/>
        <item x="146"/>
        <item x="155"/>
        <item x="157"/>
        <item x="164"/>
        <item x="154"/>
        <item x="147"/>
        <item x="145"/>
        <item x="126"/>
        <item x="150"/>
        <item x="124"/>
        <item x="152"/>
        <item x="151"/>
        <item x="162"/>
        <item x="149"/>
        <item x="167"/>
        <item x="159"/>
        <item x="148"/>
        <item x="170"/>
        <item x="165"/>
        <item x="160"/>
        <item x="173"/>
        <item x="168"/>
        <item x="163"/>
        <item x="171"/>
        <item x="166"/>
        <item x="169"/>
        <item x="172"/>
        <item x="175"/>
        <item x="184"/>
        <item x="176"/>
        <item x="186"/>
        <item x="174"/>
        <item x="178"/>
        <item x="189"/>
        <item x="181"/>
        <item x="185"/>
        <item x="187"/>
        <item x="190"/>
        <item x="188"/>
        <item x="183"/>
        <item x="179"/>
        <item x="192"/>
        <item x="182"/>
        <item x="193"/>
        <item x="177"/>
        <item x="191"/>
        <item x="180"/>
        <item x="195"/>
        <item x="196"/>
        <item x="194"/>
        <item x="201"/>
        <item x="202"/>
        <item x="197"/>
        <item x="199"/>
        <item x="200"/>
        <item x="198"/>
        <item x="210"/>
        <item x="224"/>
        <item x="213"/>
        <item x="226"/>
        <item x="212"/>
        <item x="207"/>
        <item x="221"/>
        <item x="219"/>
        <item x="216"/>
        <item x="215"/>
        <item x="227"/>
        <item x="223"/>
        <item x="204"/>
        <item x="209"/>
        <item x="218"/>
        <item x="225"/>
        <item x="229"/>
        <item x="206"/>
        <item x="211"/>
        <item x="214"/>
        <item x="222"/>
        <item x="217"/>
        <item x="220"/>
        <item x="252"/>
        <item x="205"/>
        <item x="228"/>
        <item x="208"/>
        <item x="231"/>
        <item x="254"/>
        <item x="232"/>
        <item x="253"/>
        <item x="251"/>
        <item x="247"/>
        <item x="235"/>
        <item x="234"/>
        <item x="256"/>
        <item x="249"/>
        <item x="237"/>
        <item x="244"/>
        <item x="250"/>
        <item x="241"/>
        <item x="230"/>
        <item x="243"/>
        <item x="271"/>
        <item x="233"/>
        <item x="238"/>
        <item x="246"/>
        <item x="248"/>
        <item x="255"/>
        <item x="236"/>
        <item x="272"/>
        <item x="273"/>
        <item x="240"/>
        <item x="281"/>
        <item x="278"/>
        <item x="242"/>
        <item x="287"/>
        <item x="257"/>
        <item x="284"/>
        <item x="245"/>
        <item x="276"/>
        <item x="283"/>
        <item x="275"/>
        <item x="288"/>
        <item x="280"/>
        <item x="260"/>
        <item x="259"/>
        <item x="268"/>
        <item x="239"/>
        <item x="289"/>
        <item x="261"/>
        <item x="286"/>
        <item x="282"/>
        <item x="270"/>
        <item x="279"/>
        <item x="274"/>
        <item x="290"/>
        <item x="262"/>
        <item x="277"/>
        <item x="285"/>
        <item x="258"/>
        <item x="264"/>
        <item x="269"/>
        <item x="265"/>
        <item x="267"/>
        <item x="263"/>
        <item x="266"/>
        <item x="203"/>
        <item t="default"/>
      </items>
    </pivotField>
    <pivotField showAll="0">
      <items count="284">
        <item x="13"/>
        <item x="14"/>
        <item x="12"/>
        <item x="10"/>
        <item x="11"/>
        <item x="9"/>
        <item x="0"/>
        <item x="16"/>
        <item x="6"/>
        <item x="2"/>
        <item x="3"/>
        <item x="17"/>
        <item x="20"/>
        <item x="8"/>
        <item x="69"/>
        <item x="22"/>
        <item x="19"/>
        <item x="23"/>
        <item x="15"/>
        <item x="24"/>
        <item x="21"/>
        <item x="5"/>
        <item x="1"/>
        <item x="7"/>
        <item x="26"/>
        <item x="65"/>
        <item x="18"/>
        <item x="43"/>
        <item x="68"/>
        <item x="25"/>
        <item x="70"/>
        <item x="46"/>
        <item x="76"/>
        <item x="47"/>
        <item x="44"/>
        <item x="45"/>
        <item x="27"/>
        <item x="53"/>
        <item x="51"/>
        <item x="66"/>
        <item x="4"/>
        <item x="67"/>
        <item x="52"/>
        <item x="48"/>
        <item x="50"/>
        <item x="49"/>
        <item x="42"/>
        <item x="54"/>
        <item x="29"/>
        <item x="64"/>
        <item x="62"/>
        <item x="55"/>
        <item x="75"/>
        <item x="30"/>
        <item x="33"/>
        <item x="39"/>
        <item x="77"/>
        <item x="71"/>
        <item x="41"/>
        <item x="63"/>
        <item x="36"/>
        <item x="74"/>
        <item x="40"/>
        <item x="72"/>
        <item x="78"/>
        <item x="57"/>
        <item x="73"/>
        <item x="59"/>
        <item x="38"/>
        <item x="28"/>
        <item x="56"/>
        <item x="79"/>
        <item x="91"/>
        <item x="32"/>
        <item x="89"/>
        <item x="61"/>
        <item x="35"/>
        <item x="92"/>
        <item x="37"/>
        <item x="90"/>
        <item x="81"/>
        <item x="88"/>
        <item x="94"/>
        <item x="117"/>
        <item x="115"/>
        <item x="58"/>
        <item x="82"/>
        <item x="60"/>
        <item x="116"/>
        <item x="93"/>
        <item x="80"/>
        <item x="85"/>
        <item x="118"/>
        <item x="119"/>
        <item x="96"/>
        <item x="114"/>
        <item x="31"/>
        <item x="84"/>
        <item x="87"/>
        <item x="113"/>
        <item x="112"/>
        <item x="121"/>
        <item x="97"/>
        <item x="123"/>
        <item x="120"/>
        <item x="34"/>
        <item x="122"/>
        <item x="104"/>
        <item x="105"/>
        <item x="86"/>
        <item x="102"/>
        <item x="103"/>
        <item x="143"/>
        <item x="95"/>
        <item x="124"/>
        <item x="126"/>
        <item x="125"/>
        <item x="101"/>
        <item x="109"/>
        <item x="83"/>
        <item x="111"/>
        <item x="99"/>
        <item x="110"/>
        <item x="152"/>
        <item x="108"/>
        <item x="155"/>
        <item x="145"/>
        <item x="100"/>
        <item x="144"/>
        <item x="106"/>
        <item x="168"/>
        <item x="154"/>
        <item x="107"/>
        <item x="153"/>
        <item x="140"/>
        <item x="147"/>
        <item x="142"/>
        <item x="169"/>
        <item x="170"/>
        <item x="98"/>
        <item x="146"/>
        <item x="158"/>
        <item x="156"/>
        <item x="159"/>
        <item x="157"/>
        <item x="151"/>
        <item x="162"/>
        <item x="141"/>
        <item x="172"/>
        <item x="175"/>
        <item x="167"/>
        <item x="161"/>
        <item x="149"/>
        <item x="150"/>
        <item x="148"/>
        <item x="177"/>
        <item x="137"/>
        <item x="139"/>
        <item x="164"/>
        <item x="138"/>
        <item x="171"/>
        <item x="127"/>
        <item x="136"/>
        <item x="174"/>
        <item x="160"/>
        <item x="178"/>
        <item x="166"/>
        <item x="176"/>
        <item x="173"/>
        <item x="180"/>
        <item x="129"/>
        <item x="163"/>
        <item x="134"/>
        <item x="135"/>
        <item x="133"/>
        <item x="179"/>
        <item x="130"/>
        <item x="132"/>
        <item x="165"/>
        <item x="182"/>
        <item x="131"/>
        <item x="128"/>
        <item x="195"/>
        <item x="192"/>
        <item x="194"/>
        <item x="181"/>
        <item x="197"/>
        <item x="193"/>
        <item x="199"/>
        <item x="183"/>
        <item x="203"/>
        <item x="189"/>
        <item x="185"/>
        <item x="201"/>
        <item x="191"/>
        <item x="196"/>
        <item x="205"/>
        <item x="190"/>
        <item x="186"/>
        <item x="184"/>
        <item x="202"/>
        <item x="200"/>
        <item x="188"/>
        <item x="187"/>
        <item x="204"/>
        <item x="206"/>
        <item x="208"/>
        <item x="255"/>
        <item x="219"/>
        <item x="222"/>
        <item x="221"/>
        <item x="254"/>
        <item x="253"/>
        <item x="224"/>
        <item x="220"/>
        <item x="207"/>
        <item x="223"/>
        <item x="251"/>
        <item x="252"/>
        <item x="250"/>
        <item x="216"/>
        <item x="261"/>
        <item x="225"/>
        <item x="218"/>
        <item x="264"/>
        <item x="263"/>
        <item x="256"/>
        <item x="266"/>
        <item x="217"/>
        <item x="238"/>
        <item x="227"/>
        <item x="262"/>
        <item x="257"/>
        <item x="265"/>
        <item x="280"/>
        <item x="239"/>
        <item x="240"/>
        <item x="209"/>
        <item x="267"/>
        <item x="237"/>
        <item x="279"/>
        <item x="236"/>
        <item x="226"/>
        <item x="282"/>
        <item x="212"/>
        <item x="211"/>
        <item x="277"/>
        <item x="235"/>
        <item x="258"/>
        <item x="260"/>
        <item x="214"/>
        <item x="241"/>
        <item x="247"/>
        <item x="249"/>
        <item x="248"/>
        <item x="234"/>
        <item x="259"/>
        <item x="281"/>
        <item x="210"/>
        <item x="278"/>
        <item x="243"/>
        <item x="244"/>
        <item x="213"/>
        <item x="215"/>
        <item x="246"/>
        <item x="228"/>
        <item x="242"/>
        <item x="245"/>
        <item x="268"/>
        <item x="231"/>
        <item x="230"/>
        <item x="270"/>
        <item x="233"/>
        <item x="229"/>
        <item x="269"/>
        <item x="232"/>
        <item x="271"/>
        <item x="273"/>
        <item x="272"/>
        <item x="274"/>
        <item x="276"/>
        <item x="275"/>
        <item x="198"/>
        <item t="default"/>
      </items>
    </pivotField>
    <pivotField showAll="0">
      <items count="270">
        <item x="1"/>
        <item x="4"/>
        <item x="6"/>
        <item x="2"/>
        <item x="9"/>
        <item x="0"/>
        <item x="7"/>
        <item x="3"/>
        <item x="12"/>
        <item x="5"/>
        <item x="10"/>
        <item x="8"/>
        <item x="13"/>
        <item x="15"/>
        <item x="11"/>
        <item x="16"/>
        <item x="14"/>
        <item x="18"/>
        <item x="17"/>
        <item x="20"/>
        <item x="19"/>
        <item x="24"/>
        <item x="22"/>
        <item x="21"/>
        <item x="25"/>
        <item x="23"/>
        <item x="27"/>
        <item x="28"/>
        <item x="26"/>
        <item x="30"/>
        <item x="32"/>
        <item x="29"/>
        <item x="33"/>
        <item x="31"/>
        <item x="34"/>
        <item x="36"/>
        <item x="35"/>
        <item x="37"/>
        <item x="38"/>
        <item x="39"/>
        <item x="40"/>
        <item x="42"/>
        <item x="41"/>
        <item x="43"/>
        <item x="45"/>
        <item x="44"/>
        <item x="46"/>
        <item x="48"/>
        <item x="47"/>
        <item x="49"/>
        <item x="51"/>
        <item x="50"/>
        <item x="52"/>
        <item x="54"/>
        <item x="53"/>
        <item x="55"/>
        <item x="57"/>
        <item x="59"/>
        <item x="56"/>
        <item x="58"/>
        <item x="61"/>
        <item x="60"/>
        <item x="63"/>
        <item x="64"/>
        <item x="62"/>
        <item x="66"/>
        <item x="65"/>
        <item x="68"/>
        <item x="69"/>
        <item x="67"/>
        <item x="71"/>
        <item x="70"/>
        <item x="76"/>
        <item x="73"/>
        <item x="74"/>
        <item x="77"/>
        <item x="83"/>
        <item x="72"/>
        <item x="75"/>
        <item x="79"/>
        <item x="81"/>
        <item x="78"/>
        <item x="80"/>
        <item x="82"/>
        <item x="88"/>
        <item x="90"/>
        <item x="84"/>
        <item x="86"/>
        <item x="91"/>
        <item x="85"/>
        <item x="95"/>
        <item x="89"/>
        <item x="87"/>
        <item x="93"/>
        <item x="98"/>
        <item x="92"/>
        <item x="96"/>
        <item x="101"/>
        <item x="104"/>
        <item x="94"/>
        <item x="99"/>
        <item x="109"/>
        <item x="112"/>
        <item x="115"/>
        <item x="102"/>
        <item x="97"/>
        <item x="105"/>
        <item x="107"/>
        <item x="100"/>
        <item x="110"/>
        <item x="121"/>
        <item x="113"/>
        <item x="116"/>
        <item x="103"/>
        <item x="118"/>
        <item x="106"/>
        <item x="120"/>
        <item x="108"/>
        <item x="111"/>
        <item x="114"/>
        <item x="117"/>
        <item x="124"/>
        <item x="119"/>
        <item x="126"/>
        <item x="122"/>
        <item x="127"/>
        <item x="123"/>
        <item x="131"/>
        <item x="129"/>
        <item x="125"/>
        <item x="133"/>
        <item x="128"/>
        <item x="136"/>
        <item x="130"/>
        <item x="138"/>
        <item x="134"/>
        <item x="144"/>
        <item x="132"/>
        <item x="148"/>
        <item x="137"/>
        <item x="151"/>
        <item x="139"/>
        <item x="145"/>
        <item x="141"/>
        <item x="143"/>
        <item x="146"/>
        <item x="135"/>
        <item x="149"/>
        <item x="161"/>
        <item x="160"/>
        <item x="140"/>
        <item x="142"/>
        <item x="152"/>
        <item x="162"/>
        <item x="154"/>
        <item x="147"/>
        <item x="156"/>
        <item x="158"/>
        <item x="150"/>
        <item x="153"/>
        <item x="163"/>
        <item x="155"/>
        <item x="157"/>
        <item x="159"/>
        <item x="164"/>
        <item x="166"/>
        <item x="165"/>
        <item x="167"/>
        <item x="169"/>
        <item x="168"/>
        <item x="171"/>
        <item x="173"/>
        <item x="170"/>
        <item x="176"/>
        <item x="174"/>
        <item x="172"/>
        <item x="177"/>
        <item x="175"/>
        <item x="179"/>
        <item x="180"/>
        <item x="178"/>
        <item x="182"/>
        <item x="183"/>
        <item x="181"/>
        <item x="185"/>
        <item x="186"/>
        <item x="184"/>
        <item x="188"/>
        <item x="189"/>
        <item x="187"/>
        <item x="193"/>
        <item x="194"/>
        <item x="196"/>
        <item x="197"/>
        <item x="198"/>
        <item x="195"/>
        <item x="199"/>
        <item x="201"/>
        <item x="200"/>
        <item x="202"/>
        <item x="205"/>
        <item x="204"/>
        <item x="206"/>
        <item x="207"/>
        <item x="203"/>
        <item x="209"/>
        <item x="191"/>
        <item x="190"/>
        <item x="210"/>
        <item x="208"/>
        <item x="212"/>
        <item x="213"/>
        <item x="211"/>
        <item x="214"/>
        <item x="216"/>
        <item x="219"/>
        <item x="215"/>
        <item x="218"/>
        <item x="221"/>
        <item x="220"/>
        <item x="217"/>
        <item x="223"/>
        <item x="222"/>
        <item x="224"/>
        <item x="226"/>
        <item x="225"/>
        <item x="228"/>
        <item x="227"/>
        <item x="230"/>
        <item x="229"/>
        <item x="231"/>
        <item x="233"/>
        <item x="232"/>
        <item x="234"/>
        <item x="236"/>
        <item x="235"/>
        <item x="237"/>
        <item x="239"/>
        <item x="238"/>
        <item x="241"/>
        <item x="242"/>
        <item x="240"/>
        <item x="244"/>
        <item x="243"/>
        <item x="245"/>
        <item x="247"/>
        <item x="246"/>
        <item x="248"/>
        <item x="250"/>
        <item x="249"/>
        <item x="251"/>
        <item x="252"/>
        <item x="253"/>
        <item x="254"/>
        <item x="256"/>
        <item x="255"/>
        <item x="257"/>
        <item x="259"/>
        <item x="258"/>
        <item x="260"/>
        <item x="262"/>
        <item x="261"/>
        <item x="263"/>
        <item x="265"/>
        <item x="264"/>
        <item x="267"/>
        <item x="268"/>
        <item x="266"/>
        <item x="192"/>
        <item t="default"/>
      </items>
    </pivotField>
    <pivotField showAll="0">
      <items count="258">
        <item x="18"/>
        <item x="16"/>
        <item x="13"/>
        <item x="23"/>
        <item x="10"/>
        <item x="25"/>
        <item x="33"/>
        <item x="7"/>
        <item x="36"/>
        <item x="32"/>
        <item x="50"/>
        <item x="39"/>
        <item x="27"/>
        <item x="1"/>
        <item x="4"/>
        <item x="46"/>
        <item x="14"/>
        <item x="17"/>
        <item x="19"/>
        <item x="11"/>
        <item x="21"/>
        <item x="57"/>
        <item x="8"/>
        <item x="2"/>
        <item x="61"/>
        <item x="12"/>
        <item x="5"/>
        <item x="9"/>
        <item x="15"/>
        <item x="64"/>
        <item x="0"/>
        <item x="6"/>
        <item x="67"/>
        <item x="20"/>
        <item x="34"/>
        <item x="3"/>
        <item x="28"/>
        <item x="37"/>
        <item x="72"/>
        <item x="30"/>
        <item x="22"/>
        <item x="51"/>
        <item x="24"/>
        <item x="42"/>
        <item x="44"/>
        <item x="47"/>
        <item x="83"/>
        <item x="53"/>
        <item x="26"/>
        <item x="31"/>
        <item x="55"/>
        <item x="58"/>
        <item x="35"/>
        <item x="29"/>
        <item x="87"/>
        <item x="38"/>
        <item x="62"/>
        <item x="76"/>
        <item x="40"/>
        <item x="49"/>
        <item x="41"/>
        <item x="43"/>
        <item x="48"/>
        <item x="45"/>
        <item x="68"/>
        <item x="52"/>
        <item x="65"/>
        <item x="70"/>
        <item x="54"/>
        <item x="56"/>
        <item x="59"/>
        <item x="60"/>
        <item x="98"/>
        <item x="74"/>
        <item x="109"/>
        <item x="66"/>
        <item x="69"/>
        <item x="63"/>
        <item x="104"/>
        <item x="85"/>
        <item x="71"/>
        <item x="84"/>
        <item x="77"/>
        <item x="88"/>
        <item x="116"/>
        <item x="79"/>
        <item x="81"/>
        <item x="73"/>
        <item x="118"/>
        <item x="121"/>
        <item x="91"/>
        <item x="123"/>
        <item x="125"/>
        <item x="130"/>
        <item x="93"/>
        <item x="95"/>
        <item x="132"/>
        <item x="75"/>
        <item x="99"/>
        <item x="110"/>
        <item x="86"/>
        <item x="78"/>
        <item x="108"/>
        <item x="82"/>
        <item x="89"/>
        <item x="106"/>
        <item x="80"/>
        <item x="115"/>
        <item x="102"/>
        <item x="105"/>
        <item x="141"/>
        <item x="90"/>
        <item x="92"/>
        <item x="94"/>
        <item x="122"/>
        <item x="112"/>
        <item x="113"/>
        <item x="96"/>
        <item x="111"/>
        <item x="126"/>
        <item x="97"/>
        <item x="107"/>
        <item x="114"/>
        <item x="147"/>
        <item x="100"/>
        <item x="138"/>
        <item x="101"/>
        <item x="103"/>
        <item x="133"/>
        <item x="142"/>
        <item x="149"/>
        <item x="135"/>
        <item x="120"/>
        <item x="117"/>
        <item x="119"/>
        <item x="124"/>
        <item x="127"/>
        <item x="137"/>
        <item x="128"/>
        <item x="129"/>
        <item x="136"/>
        <item x="139"/>
        <item x="140"/>
        <item x="134"/>
        <item x="143"/>
        <item x="131"/>
        <item x="144"/>
        <item x="145"/>
        <item x="150"/>
        <item x="146"/>
        <item x="152"/>
        <item x="155"/>
        <item x="148"/>
        <item x="153"/>
        <item x="158"/>
        <item x="156"/>
        <item x="160"/>
        <item x="151"/>
        <item x="164"/>
        <item x="157"/>
        <item x="167"/>
        <item x="154"/>
        <item x="170"/>
        <item x="161"/>
        <item x="172"/>
        <item x="165"/>
        <item x="159"/>
        <item x="168"/>
        <item x="175"/>
        <item x="163"/>
        <item x="166"/>
        <item x="173"/>
        <item x="169"/>
        <item x="178"/>
        <item x="171"/>
        <item x="176"/>
        <item x="181"/>
        <item x="174"/>
        <item x="179"/>
        <item x="177"/>
        <item x="182"/>
        <item x="184"/>
        <item x="180"/>
        <item x="187"/>
        <item x="185"/>
        <item x="190"/>
        <item x="183"/>
        <item x="188"/>
        <item x="255"/>
        <item x="186"/>
        <item x="252"/>
        <item x="193"/>
        <item x="256"/>
        <item x="191"/>
        <item x="199"/>
        <item x="215"/>
        <item x="217"/>
        <item x="196"/>
        <item x="254"/>
        <item x="212"/>
        <item x="253"/>
        <item x="202"/>
        <item x="189"/>
        <item x="209"/>
        <item x="206"/>
        <item x="239"/>
        <item x="246"/>
        <item x="251"/>
        <item x="194"/>
        <item x="244"/>
        <item x="250"/>
        <item x="237"/>
        <item x="220"/>
        <item x="200"/>
        <item x="234"/>
        <item x="249"/>
        <item x="248"/>
        <item x="197"/>
        <item x="192"/>
        <item x="216"/>
        <item x="232"/>
        <item x="218"/>
        <item x="223"/>
        <item x="240"/>
        <item x="247"/>
        <item x="213"/>
        <item x="203"/>
        <item x="245"/>
        <item x="229"/>
        <item x="198"/>
        <item x="242"/>
        <item x="226"/>
        <item x="210"/>
        <item x="195"/>
        <item x="207"/>
        <item x="201"/>
        <item x="238"/>
        <item x="235"/>
        <item x="214"/>
        <item x="243"/>
        <item x="241"/>
        <item x="236"/>
        <item x="221"/>
        <item x="204"/>
        <item x="211"/>
        <item x="233"/>
        <item x="208"/>
        <item x="205"/>
        <item x="224"/>
        <item x="230"/>
        <item x="231"/>
        <item x="227"/>
        <item x="219"/>
        <item x="222"/>
        <item x="228"/>
        <item x="225"/>
        <item x="162"/>
        <item t="default"/>
      </items>
    </pivotField>
    <pivotField showAll="0">
      <items count="282">
        <item x="1"/>
        <item x="4"/>
        <item x="2"/>
        <item x="5"/>
        <item x="0"/>
        <item x="3"/>
        <item x="7"/>
        <item x="8"/>
        <item x="6"/>
        <item x="26"/>
        <item x="25"/>
        <item x="12"/>
        <item x="9"/>
        <item x="22"/>
        <item x="11"/>
        <item x="15"/>
        <item x="14"/>
        <item x="10"/>
        <item x="23"/>
        <item x="27"/>
        <item x="29"/>
        <item x="18"/>
        <item x="13"/>
        <item x="17"/>
        <item x="21"/>
        <item x="24"/>
        <item x="20"/>
        <item x="33"/>
        <item x="16"/>
        <item x="19"/>
        <item x="32"/>
        <item x="30"/>
        <item x="34"/>
        <item x="35"/>
        <item x="36"/>
        <item x="31"/>
        <item x="28"/>
        <item x="38"/>
        <item x="96"/>
        <item x="39"/>
        <item x="95"/>
        <item x="37"/>
        <item x="99"/>
        <item x="93"/>
        <item x="66"/>
        <item x="69"/>
        <item x="61"/>
        <item x="64"/>
        <item x="58"/>
        <item x="90"/>
        <item x="71"/>
        <item x="85"/>
        <item x="87"/>
        <item x="55"/>
        <item x="97"/>
        <item x="40"/>
        <item x="62"/>
        <item x="46"/>
        <item x="42"/>
        <item x="67"/>
        <item x="43"/>
        <item x="59"/>
        <item x="94"/>
        <item x="41"/>
        <item x="56"/>
        <item x="72"/>
        <item x="45"/>
        <item x="91"/>
        <item x="48"/>
        <item x="86"/>
        <item x="63"/>
        <item x="60"/>
        <item x="57"/>
        <item x="88"/>
        <item x="49"/>
        <item x="44"/>
        <item x="118"/>
        <item x="68"/>
        <item x="119"/>
        <item x="51"/>
        <item x="54"/>
        <item x="84"/>
        <item x="65"/>
        <item x="74"/>
        <item x="77"/>
        <item x="70"/>
        <item x="53"/>
        <item x="47"/>
        <item x="122"/>
        <item x="92"/>
        <item x="98"/>
        <item x="89"/>
        <item x="80"/>
        <item x="75"/>
        <item x="78"/>
        <item x="52"/>
        <item x="81"/>
        <item x="120"/>
        <item x="83"/>
        <item x="79"/>
        <item x="82"/>
        <item x="102"/>
        <item x="50"/>
        <item x="150"/>
        <item x="76"/>
        <item x="73"/>
        <item x="115"/>
        <item x="101"/>
        <item x="148"/>
        <item x="130"/>
        <item x="123"/>
        <item x="177"/>
        <item x="105"/>
        <item x="117"/>
        <item x="111"/>
        <item x="103"/>
        <item x="113"/>
        <item x="145"/>
        <item x="106"/>
        <item x="125"/>
        <item x="116"/>
        <item x="108"/>
        <item x="133"/>
        <item x="104"/>
        <item x="140"/>
        <item x="178"/>
        <item x="128"/>
        <item x="109"/>
        <item x="131"/>
        <item x="100"/>
        <item x="126"/>
        <item x="114"/>
        <item x="107"/>
        <item x="121"/>
        <item x="112"/>
        <item x="135"/>
        <item x="174"/>
        <item x="124"/>
        <item x="129"/>
        <item x="171"/>
        <item x="110"/>
        <item x="197"/>
        <item x="132"/>
        <item x="151"/>
        <item x="143"/>
        <item x="127"/>
        <item x="146"/>
        <item x="175"/>
        <item x="137"/>
        <item x="176"/>
        <item x="153"/>
        <item x="141"/>
        <item x="198"/>
        <item x="196"/>
        <item x="181"/>
        <item x="179"/>
        <item x="188"/>
        <item x="134"/>
        <item x="194"/>
        <item x="195"/>
        <item x="173"/>
        <item x="172"/>
        <item x="138"/>
        <item x="191"/>
        <item x="211"/>
        <item x="155"/>
        <item x="169"/>
        <item x="184"/>
        <item x="180"/>
        <item x="190"/>
        <item x="142"/>
        <item x="183"/>
        <item x="202"/>
        <item x="205"/>
        <item x="147"/>
        <item x="144"/>
        <item x="193"/>
        <item x="212"/>
        <item x="139"/>
        <item x="149"/>
        <item x="136"/>
        <item x="210"/>
        <item x="192"/>
        <item x="152"/>
        <item x="214"/>
        <item x="166"/>
        <item x="189"/>
        <item x="199"/>
        <item x="157"/>
        <item x="186"/>
        <item x="204"/>
        <item x="209"/>
        <item x="170"/>
        <item x="216"/>
        <item x="182"/>
        <item x="208"/>
        <item x="160"/>
        <item x="242"/>
        <item x="167"/>
        <item x="201"/>
        <item x="239"/>
        <item x="163"/>
        <item x="213"/>
        <item x="233"/>
        <item x="154"/>
        <item x="164"/>
        <item x="165"/>
        <item x="158"/>
        <item x="218"/>
        <item x="187"/>
        <item x="215"/>
        <item x="162"/>
        <item x="168"/>
        <item x="203"/>
        <item x="161"/>
        <item x="185"/>
        <item x="241"/>
        <item x="206"/>
        <item x="207"/>
        <item x="243"/>
        <item x="270"/>
        <item x="156"/>
        <item x="238"/>
        <item x="235"/>
        <item x="232"/>
        <item x="217"/>
        <item x="159"/>
        <item x="245"/>
        <item x="228"/>
        <item x="269"/>
        <item x="240"/>
        <item x="225"/>
        <item x="265"/>
        <item x="236"/>
        <item x="268"/>
        <item x="244"/>
        <item x="237"/>
        <item x="271"/>
        <item x="219"/>
        <item x="267"/>
        <item x="234"/>
        <item x="231"/>
        <item x="263"/>
        <item x="222"/>
        <item x="266"/>
        <item x="264"/>
        <item x="230"/>
        <item x="260"/>
        <item x="221"/>
        <item x="227"/>
        <item x="262"/>
        <item x="252"/>
        <item x="224"/>
        <item x="272"/>
        <item x="261"/>
        <item x="249"/>
        <item x="220"/>
        <item x="278"/>
        <item x="257"/>
        <item x="274"/>
        <item x="254"/>
        <item x="246"/>
        <item x="229"/>
        <item x="251"/>
        <item x="226"/>
        <item x="273"/>
        <item x="280"/>
        <item x="223"/>
        <item x="248"/>
        <item x="259"/>
        <item x="275"/>
        <item x="253"/>
        <item x="256"/>
        <item x="250"/>
        <item x="279"/>
        <item x="247"/>
        <item x="277"/>
        <item x="258"/>
        <item x="276"/>
        <item x="255"/>
        <item x="200"/>
        <item t="default"/>
      </items>
    </pivotField>
    <pivotField showAll="0">
      <items count="313">
        <item x="6"/>
        <item x="0"/>
        <item x="2"/>
        <item x="3"/>
        <item x="1"/>
        <item x="5"/>
        <item x="8"/>
        <item x="7"/>
        <item x="4"/>
        <item x="10"/>
        <item x="11"/>
        <item x="9"/>
        <item x="38"/>
        <item x="13"/>
        <item x="41"/>
        <item x="39"/>
        <item x="37"/>
        <item x="42"/>
        <item x="40"/>
        <item x="14"/>
        <item x="134"/>
        <item x="35"/>
        <item x="136"/>
        <item x="135"/>
        <item x="138"/>
        <item x="139"/>
        <item x="133"/>
        <item x="137"/>
        <item x="43"/>
        <item x="45"/>
        <item x="131"/>
        <item x="44"/>
        <item x="140"/>
        <item x="36"/>
        <item x="142"/>
        <item x="12"/>
        <item x="143"/>
        <item x="34"/>
        <item x="47"/>
        <item x="132"/>
        <item x="144"/>
        <item x="16"/>
        <item x="46"/>
        <item x="141"/>
        <item x="77"/>
        <item x="173"/>
        <item x="75"/>
        <item x="107"/>
        <item x="72"/>
        <item x="80"/>
        <item x="79"/>
        <item x="196"/>
        <item x="145"/>
        <item x="17"/>
        <item x="48"/>
        <item x="74"/>
        <item x="198"/>
        <item x="108"/>
        <item x="105"/>
        <item x="194"/>
        <item x="106"/>
        <item x="78"/>
        <item x="82"/>
        <item x="195"/>
        <item x="76"/>
        <item x="197"/>
        <item x="193"/>
        <item x="73"/>
        <item x="50"/>
        <item x="69"/>
        <item x="192"/>
        <item x="174"/>
        <item x="71"/>
        <item x="147"/>
        <item x="200"/>
        <item x="109"/>
        <item x="70"/>
        <item x="171"/>
        <item x="111"/>
        <item x="172"/>
        <item x="83"/>
        <item x="81"/>
        <item x="191"/>
        <item x="110"/>
        <item x="169"/>
        <item x="49"/>
        <item x="175"/>
        <item x="170"/>
        <item x="254"/>
        <item x="20"/>
        <item x="85"/>
        <item x="19"/>
        <item x="102"/>
        <item x="66"/>
        <item x="68"/>
        <item x="203"/>
        <item x="86"/>
        <item x="304"/>
        <item x="67"/>
        <item x="199"/>
        <item x="104"/>
        <item x="112"/>
        <item x="130"/>
        <item x="129"/>
        <item x="146"/>
        <item x="168"/>
        <item x="308"/>
        <item x="302"/>
        <item x="202"/>
        <item x="176"/>
        <item x="15"/>
        <item x="178"/>
        <item x="177"/>
        <item x="103"/>
        <item x="257"/>
        <item x="32"/>
        <item x="88"/>
        <item x="190"/>
        <item x="33"/>
        <item x="100"/>
        <item x="31"/>
        <item x="84"/>
        <item x="189"/>
        <item x="187"/>
        <item x="256"/>
        <item x="310"/>
        <item x="232"/>
        <item x="101"/>
        <item x="126"/>
        <item x="184"/>
        <item x="123"/>
        <item x="250"/>
        <item x="186"/>
        <item x="51"/>
        <item x="299"/>
        <item x="166"/>
        <item x="125"/>
        <item x="128"/>
        <item x="185"/>
        <item x="113"/>
        <item x="148"/>
        <item x="167"/>
        <item x="22"/>
        <item x="63"/>
        <item x="165"/>
        <item x="227"/>
        <item x="65"/>
        <item x="114"/>
        <item x="306"/>
        <item x="260"/>
        <item x="124"/>
        <item x="188"/>
        <item x="64"/>
        <item x="87"/>
        <item x="89"/>
        <item x="263"/>
        <item x="23"/>
        <item x="179"/>
        <item x="153"/>
        <item x="127"/>
        <item x="97"/>
        <item x="60"/>
        <item x="259"/>
        <item x="278"/>
        <item x="181"/>
        <item x="207"/>
        <item x="182"/>
        <item x="233"/>
        <item x="155"/>
        <item x="62"/>
        <item x="120"/>
        <item x="156"/>
        <item x="183"/>
        <item x="91"/>
        <item x="53"/>
        <item x="117"/>
        <item x="99"/>
        <item x="57"/>
        <item x="92"/>
        <item x="122"/>
        <item x="180"/>
        <item x="150"/>
        <item x="61"/>
        <item x="116"/>
        <item x="301"/>
        <item x="252"/>
        <item x="206"/>
        <item x="96"/>
        <item x="154"/>
        <item x="18"/>
        <item x="162"/>
        <item x="54"/>
        <item x="201"/>
        <item x="164"/>
        <item x="59"/>
        <item x="94"/>
        <item x="265"/>
        <item x="158"/>
        <item x="229"/>
        <item x="151"/>
        <item x="163"/>
        <item x="210"/>
        <item x="121"/>
        <item x="262"/>
        <item x="98"/>
        <item x="25"/>
        <item x="224"/>
        <item x="119"/>
        <item x="90"/>
        <item x="95"/>
        <item x="253"/>
        <item x="281"/>
        <item x="255"/>
        <item x="279"/>
        <item x="228"/>
        <item x="284"/>
        <item x="209"/>
        <item x="159"/>
        <item x="56"/>
        <item x="93"/>
        <item x="58"/>
        <item x="277"/>
        <item x="204"/>
        <item x="266"/>
        <item x="226"/>
        <item x="234"/>
        <item x="27"/>
        <item x="297"/>
        <item x="272"/>
        <item x="52"/>
        <item x="289"/>
        <item x="157"/>
        <item x="115"/>
        <item x="161"/>
        <item x="24"/>
        <item x="283"/>
        <item x="149"/>
        <item x="303"/>
        <item x="305"/>
        <item x="307"/>
        <item x="258"/>
        <item x="291"/>
        <item x="21"/>
        <item x="28"/>
        <item x="300"/>
        <item x="212"/>
        <item x="118"/>
        <item x="152"/>
        <item x="309"/>
        <item x="230"/>
        <item x="205"/>
        <item x="251"/>
        <item x="225"/>
        <item x="55"/>
        <item x="288"/>
        <item x="286"/>
        <item x="30"/>
        <item x="264"/>
        <item x="26"/>
        <item x="269"/>
        <item x="294"/>
        <item x="311"/>
        <item x="160"/>
        <item x="268"/>
        <item x="261"/>
        <item x="237"/>
        <item x="247"/>
        <item x="274"/>
        <item x="214"/>
        <item x="208"/>
        <item x="280"/>
        <item x="215"/>
        <item x="221"/>
        <item x="293"/>
        <item x="235"/>
        <item x="211"/>
        <item x="29"/>
        <item x="249"/>
        <item x="223"/>
        <item x="276"/>
        <item x="271"/>
        <item x="217"/>
        <item x="296"/>
        <item x="238"/>
        <item x="236"/>
        <item x="282"/>
        <item x="275"/>
        <item x="298"/>
        <item x="248"/>
        <item x="213"/>
        <item x="222"/>
        <item x="287"/>
        <item x="240"/>
        <item x="218"/>
        <item x="285"/>
        <item x="290"/>
        <item x="267"/>
        <item x="216"/>
        <item x="220"/>
        <item x="273"/>
        <item x="292"/>
        <item x="241"/>
        <item x="244"/>
        <item x="239"/>
        <item x="295"/>
        <item x="270"/>
        <item x="243"/>
        <item x="246"/>
        <item x="219"/>
        <item x="245"/>
        <item x="242"/>
        <item x="231"/>
        <item t="default"/>
      </items>
    </pivotField>
    <pivotField showAll="0">
      <items count="266">
        <item x="7"/>
        <item x="4"/>
        <item x="9"/>
        <item x="18"/>
        <item x="8"/>
        <item x="15"/>
        <item x="10"/>
        <item x="5"/>
        <item x="12"/>
        <item x="6"/>
        <item x="1"/>
        <item x="3"/>
        <item x="2"/>
        <item x="0"/>
        <item x="13"/>
        <item x="16"/>
        <item x="19"/>
        <item x="11"/>
        <item x="14"/>
        <item x="22"/>
        <item x="17"/>
        <item x="28"/>
        <item x="20"/>
        <item x="24"/>
        <item x="21"/>
        <item x="26"/>
        <item x="29"/>
        <item x="23"/>
        <item x="31"/>
        <item x="25"/>
        <item x="27"/>
        <item x="30"/>
        <item x="32"/>
        <item x="33"/>
        <item x="34"/>
        <item x="36"/>
        <item x="37"/>
        <item x="169"/>
        <item x="39"/>
        <item x="35"/>
        <item x="38"/>
        <item x="41"/>
        <item x="40"/>
        <item x="176"/>
        <item x="174"/>
        <item x="166"/>
        <item x="42"/>
        <item x="44"/>
        <item x="45"/>
        <item x="43"/>
        <item x="178"/>
        <item x="48"/>
        <item x="47"/>
        <item x="50"/>
        <item x="51"/>
        <item x="54"/>
        <item x="46"/>
        <item x="161"/>
        <item x="53"/>
        <item x="49"/>
        <item x="179"/>
        <item x="56"/>
        <item x="181"/>
        <item x="158"/>
        <item x="59"/>
        <item x="58"/>
        <item x="52"/>
        <item x="155"/>
        <item x="62"/>
        <item x="55"/>
        <item x="182"/>
        <item x="183"/>
        <item x="61"/>
        <item x="177"/>
        <item x="180"/>
        <item x="170"/>
        <item x="65"/>
        <item x="172"/>
        <item x="184"/>
        <item x="153"/>
        <item x="167"/>
        <item x="64"/>
        <item x="57"/>
        <item x="145"/>
        <item x="151"/>
        <item x="68"/>
        <item x="185"/>
        <item x="148"/>
        <item x="164"/>
        <item x="143"/>
        <item x="67"/>
        <item x="186"/>
        <item x="60"/>
        <item x="175"/>
        <item x="162"/>
        <item x="168"/>
        <item x="171"/>
        <item x="173"/>
        <item x="63"/>
        <item x="159"/>
        <item x="188"/>
        <item x="140"/>
        <item x="189"/>
        <item x="165"/>
        <item x="187"/>
        <item x="191"/>
        <item x="156"/>
        <item x="163"/>
        <item x="193"/>
        <item x="192"/>
        <item x="160"/>
        <item x="196"/>
        <item x="70"/>
        <item x="190"/>
        <item x="194"/>
        <item x="154"/>
        <item x="66"/>
        <item x="137"/>
        <item x="197"/>
        <item x="157"/>
        <item x="71"/>
        <item x="195"/>
        <item x="152"/>
        <item x="199"/>
        <item x="146"/>
        <item x="149"/>
        <item x="198"/>
        <item x="144"/>
        <item x="74"/>
        <item x="200"/>
        <item x="201"/>
        <item x="132"/>
        <item x="141"/>
        <item x="150"/>
        <item x="147"/>
        <item x="203"/>
        <item x="73"/>
        <item x="77"/>
        <item x="142"/>
        <item x="138"/>
        <item x="202"/>
        <item x="76"/>
        <item x="206"/>
        <item x="207"/>
        <item x="139"/>
        <item x="205"/>
        <item x="135"/>
        <item x="204"/>
        <item x="136"/>
        <item x="80"/>
        <item x="69"/>
        <item x="129"/>
        <item x="133"/>
        <item x="79"/>
        <item x="134"/>
        <item x="131"/>
        <item x="72"/>
        <item x="217"/>
        <item x="75"/>
        <item x="218"/>
        <item x="215"/>
        <item x="82"/>
        <item x="208"/>
        <item x="212"/>
        <item x="210"/>
        <item x="209"/>
        <item x="214"/>
        <item x="216"/>
        <item x="213"/>
        <item x="130"/>
        <item x="83"/>
        <item x="126"/>
        <item x="219"/>
        <item x="78"/>
        <item x="221"/>
        <item x="128"/>
        <item x="225"/>
        <item x="220"/>
        <item x="227"/>
        <item x="228"/>
        <item x="127"/>
        <item x="226"/>
        <item x="223"/>
        <item x="224"/>
        <item x="86"/>
        <item x="229"/>
        <item x="98"/>
        <item x="222"/>
        <item x="125"/>
        <item x="89"/>
        <item x="101"/>
        <item x="95"/>
        <item x="243"/>
        <item x="245"/>
        <item x="234"/>
        <item x="244"/>
        <item x="92"/>
        <item x="239"/>
        <item x="236"/>
        <item x="238"/>
        <item x="241"/>
        <item x="100"/>
        <item x="242"/>
        <item x="237"/>
        <item x="247"/>
        <item x="235"/>
        <item x="246"/>
        <item x="230"/>
        <item x="240"/>
        <item x="85"/>
        <item x="81"/>
        <item x="232"/>
        <item x="231"/>
        <item x="104"/>
        <item x="233"/>
        <item x="248"/>
        <item x="250"/>
        <item x="249"/>
        <item x="97"/>
        <item x="103"/>
        <item x="123"/>
        <item x="124"/>
        <item x="251"/>
        <item x="252"/>
        <item x="107"/>
        <item x="253"/>
        <item x="255"/>
        <item x="254"/>
        <item x="121"/>
        <item x="118"/>
        <item x="99"/>
        <item x="116"/>
        <item x="257"/>
        <item x="94"/>
        <item x="259"/>
        <item x="260"/>
        <item x="256"/>
        <item x="261"/>
        <item x="88"/>
        <item x="258"/>
        <item x="91"/>
        <item x="106"/>
        <item x="110"/>
        <item x="120"/>
        <item x="113"/>
        <item x="262"/>
        <item x="264"/>
        <item x="117"/>
        <item x="109"/>
        <item x="263"/>
        <item x="122"/>
        <item x="115"/>
        <item x="119"/>
        <item x="96"/>
        <item x="102"/>
        <item x="112"/>
        <item x="114"/>
        <item x="105"/>
        <item x="93"/>
        <item x="108"/>
        <item x="84"/>
        <item x="111"/>
        <item x="90"/>
        <item x="87"/>
        <item x="211"/>
        <item t="default"/>
      </items>
    </pivotField>
    <pivotField showAll="0">
      <items count="206">
        <item x="66"/>
        <item x="63"/>
        <item x="69"/>
        <item x="72"/>
        <item x="61"/>
        <item x="70"/>
        <item x="67"/>
        <item x="59"/>
        <item x="64"/>
        <item x="56"/>
        <item x="73"/>
        <item x="68"/>
        <item x="76"/>
        <item x="65"/>
        <item x="54"/>
        <item x="75"/>
        <item x="71"/>
        <item x="62"/>
        <item x="74"/>
        <item x="51"/>
        <item x="60"/>
        <item x="33"/>
        <item x="57"/>
        <item x="48"/>
        <item x="36"/>
        <item x="78"/>
        <item x="31"/>
        <item x="55"/>
        <item x="79"/>
        <item x="58"/>
        <item x="77"/>
        <item x="45"/>
        <item x="52"/>
        <item x="28"/>
        <item x="80"/>
        <item x="82"/>
        <item x="53"/>
        <item x="49"/>
        <item x="81"/>
        <item x="34"/>
        <item x="25"/>
        <item x="37"/>
        <item x="43"/>
        <item x="50"/>
        <item x="22"/>
        <item x="38"/>
        <item x="83"/>
        <item x="47"/>
        <item x="46"/>
        <item x="20"/>
        <item x="84"/>
        <item x="19"/>
        <item x="32"/>
        <item x="35"/>
        <item x="17"/>
        <item x="14"/>
        <item x="29"/>
        <item x="30"/>
        <item x="11"/>
        <item x="8"/>
        <item x="44"/>
        <item x="26"/>
        <item x="6"/>
        <item x="23"/>
        <item x="39"/>
        <item x="27"/>
        <item x="12"/>
        <item x="15"/>
        <item x="18"/>
        <item x="9"/>
        <item x="24"/>
        <item x="10"/>
        <item x="4"/>
        <item x="21"/>
        <item x="42"/>
        <item x="13"/>
        <item x="7"/>
        <item x="16"/>
        <item x="41"/>
        <item x="40"/>
        <item x="5"/>
        <item x="1"/>
        <item x="147"/>
        <item x="3"/>
        <item x="2"/>
        <item x="86"/>
        <item x="0"/>
        <item x="87"/>
        <item x="161"/>
        <item x="150"/>
        <item x="89"/>
        <item x="90"/>
        <item x="162"/>
        <item x="85"/>
        <item x="163"/>
        <item x="148"/>
        <item x="92"/>
        <item x="93"/>
        <item x="160"/>
        <item x="144"/>
        <item x="165"/>
        <item x="159"/>
        <item x="88"/>
        <item x="164"/>
        <item x="95"/>
        <item x="157"/>
        <item x="166"/>
        <item x="146"/>
        <item x="156"/>
        <item x="91"/>
        <item x="96"/>
        <item x="183"/>
        <item x="154"/>
        <item x="149"/>
        <item x="158"/>
        <item x="172"/>
        <item x="167"/>
        <item x="155"/>
        <item x="98"/>
        <item x="99"/>
        <item x="169"/>
        <item x="94"/>
        <item x="102"/>
        <item x="152"/>
        <item x="170"/>
        <item x="145"/>
        <item x="101"/>
        <item x="185"/>
        <item x="168"/>
        <item x="104"/>
        <item x="141"/>
        <item x="151"/>
        <item x="107"/>
        <item x="186"/>
        <item x="97"/>
        <item x="153"/>
        <item x="108"/>
        <item x="180"/>
        <item x="171"/>
        <item x="100"/>
        <item x="143"/>
        <item x="178"/>
        <item x="103"/>
        <item x="106"/>
        <item x="105"/>
        <item x="182"/>
        <item x="184"/>
        <item x="142"/>
        <item x="110"/>
        <item x="175"/>
        <item x="177"/>
        <item x="176"/>
        <item x="112"/>
        <item x="140"/>
        <item x="181"/>
        <item x="109"/>
        <item x="115"/>
        <item x="139"/>
        <item x="114"/>
        <item x="179"/>
        <item x="194"/>
        <item x="117"/>
        <item x="118"/>
        <item x="138"/>
        <item x="121"/>
        <item x="195"/>
        <item x="196"/>
        <item x="198"/>
        <item x="189"/>
        <item x="120"/>
        <item x="111"/>
        <item x="123"/>
        <item x="188"/>
        <item x="173"/>
        <item x="197"/>
        <item x="124"/>
        <item x="199"/>
        <item x="113"/>
        <item x="187"/>
        <item x="126"/>
        <item x="192"/>
        <item x="137"/>
        <item x="116"/>
        <item x="122"/>
        <item x="119"/>
        <item x="201"/>
        <item x="128"/>
        <item x="193"/>
        <item x="130"/>
        <item x="125"/>
        <item x="190"/>
        <item x="132"/>
        <item x="136"/>
        <item x="127"/>
        <item x="200"/>
        <item x="129"/>
        <item x="133"/>
        <item x="131"/>
        <item x="203"/>
        <item x="135"/>
        <item x="191"/>
        <item x="202"/>
        <item x="134"/>
        <item x="204"/>
        <item x="174"/>
        <item t="default"/>
      </items>
    </pivotField>
    <pivotField showAll="0">
      <items count="283">
        <item x="1"/>
        <item x="3"/>
        <item x="6"/>
        <item x="2"/>
        <item x="4"/>
        <item x="7"/>
        <item x="0"/>
        <item x="8"/>
        <item x="5"/>
        <item x="9"/>
        <item x="10"/>
        <item x="12"/>
        <item x="11"/>
        <item x="13"/>
        <item x="15"/>
        <item x="14"/>
        <item x="17"/>
        <item x="18"/>
        <item x="20"/>
        <item x="16"/>
        <item x="21"/>
        <item x="24"/>
        <item x="23"/>
        <item x="19"/>
        <item x="26"/>
        <item x="27"/>
        <item x="22"/>
        <item x="29"/>
        <item x="25"/>
        <item x="30"/>
        <item x="33"/>
        <item x="28"/>
        <item x="36"/>
        <item x="32"/>
        <item x="39"/>
        <item x="35"/>
        <item x="42"/>
        <item x="38"/>
        <item x="45"/>
        <item x="41"/>
        <item x="31"/>
        <item x="48"/>
        <item x="44"/>
        <item x="34"/>
        <item x="51"/>
        <item x="47"/>
        <item x="37"/>
        <item x="40"/>
        <item x="50"/>
        <item x="54"/>
        <item x="57"/>
        <item x="43"/>
        <item x="53"/>
        <item x="62"/>
        <item x="65"/>
        <item x="46"/>
        <item x="56"/>
        <item x="68"/>
        <item x="59"/>
        <item x="61"/>
        <item x="49"/>
        <item x="71"/>
        <item x="64"/>
        <item x="67"/>
        <item x="74"/>
        <item x="76"/>
        <item x="52"/>
        <item x="70"/>
        <item x="78"/>
        <item x="73"/>
        <item x="55"/>
        <item x="77"/>
        <item x="58"/>
        <item x="81"/>
        <item x="80"/>
        <item x="60"/>
        <item x="86"/>
        <item x="63"/>
        <item x="66"/>
        <item x="83"/>
        <item x="85"/>
        <item x="69"/>
        <item x="88"/>
        <item x="75"/>
        <item x="72"/>
        <item x="93"/>
        <item x="90"/>
        <item x="79"/>
        <item x="96"/>
        <item x="99"/>
        <item x="92"/>
        <item x="82"/>
        <item x="102"/>
        <item x="105"/>
        <item x="95"/>
        <item x="108"/>
        <item x="84"/>
        <item x="98"/>
        <item x="110"/>
        <item x="87"/>
        <item x="101"/>
        <item x="113"/>
        <item x="144"/>
        <item x="104"/>
        <item x="107"/>
        <item x="142"/>
        <item x="139"/>
        <item x="116"/>
        <item x="89"/>
        <item x="147"/>
        <item x="119"/>
        <item x="146"/>
        <item x="112"/>
        <item x="136"/>
        <item x="91"/>
        <item x="133"/>
        <item x="115"/>
        <item x="141"/>
        <item x="126"/>
        <item x="130"/>
        <item x="94"/>
        <item x="152"/>
        <item x="148"/>
        <item x="154"/>
        <item x="118"/>
        <item x="155"/>
        <item x="145"/>
        <item x="138"/>
        <item x="121"/>
        <item x="153"/>
        <item x="149"/>
        <item x="157"/>
        <item x="97"/>
        <item x="135"/>
        <item x="123"/>
        <item x="159"/>
        <item x="167"/>
        <item x="125"/>
        <item x="161"/>
        <item x="100"/>
        <item x="132"/>
        <item x="103"/>
        <item x="143"/>
        <item x="156"/>
        <item x="106"/>
        <item x="129"/>
        <item x="158"/>
        <item x="109"/>
        <item x="150"/>
        <item x="164"/>
        <item x="151"/>
        <item x="168"/>
        <item x="166"/>
        <item x="163"/>
        <item x="160"/>
        <item x="162"/>
        <item x="140"/>
        <item x="165"/>
        <item x="111"/>
        <item x="170"/>
        <item x="169"/>
        <item x="172"/>
        <item x="137"/>
        <item x="171"/>
        <item x="114"/>
        <item x="174"/>
        <item x="117"/>
        <item x="134"/>
        <item x="175"/>
        <item x="173"/>
        <item x="120"/>
        <item x="122"/>
        <item x="131"/>
        <item x="176"/>
        <item x="124"/>
        <item x="127"/>
        <item x="128"/>
        <item x="178"/>
        <item x="179"/>
        <item x="177"/>
        <item x="181"/>
        <item x="182"/>
        <item x="180"/>
        <item x="184"/>
        <item x="187"/>
        <item x="185"/>
        <item x="190"/>
        <item x="183"/>
        <item x="188"/>
        <item x="186"/>
        <item x="191"/>
        <item x="189"/>
        <item x="193"/>
        <item x="192"/>
        <item x="196"/>
        <item x="197"/>
        <item x="195"/>
        <item x="198"/>
        <item x="200"/>
        <item x="199"/>
        <item x="202"/>
        <item x="201"/>
        <item x="204"/>
        <item x="205"/>
        <item x="207"/>
        <item x="203"/>
        <item x="212"/>
        <item x="214"/>
        <item x="216"/>
        <item x="208"/>
        <item x="206"/>
        <item x="217"/>
        <item x="210"/>
        <item x="213"/>
        <item x="215"/>
        <item x="209"/>
        <item x="211"/>
        <item x="219"/>
        <item x="222"/>
        <item x="226"/>
        <item x="230"/>
        <item x="233"/>
        <item x="220"/>
        <item x="224"/>
        <item x="223"/>
        <item x="227"/>
        <item x="231"/>
        <item x="234"/>
        <item x="218"/>
        <item x="225"/>
        <item x="221"/>
        <item x="228"/>
        <item x="236"/>
        <item x="229"/>
        <item x="232"/>
        <item x="235"/>
        <item x="238"/>
        <item x="240"/>
        <item x="237"/>
        <item x="241"/>
        <item x="243"/>
        <item x="239"/>
        <item x="244"/>
        <item x="246"/>
        <item x="242"/>
        <item x="247"/>
        <item x="249"/>
        <item x="245"/>
        <item x="252"/>
        <item x="250"/>
        <item x="255"/>
        <item x="248"/>
        <item x="253"/>
        <item x="251"/>
        <item x="258"/>
        <item x="256"/>
        <item x="254"/>
        <item x="259"/>
        <item x="257"/>
        <item x="263"/>
        <item x="261"/>
        <item x="266"/>
        <item x="260"/>
        <item x="264"/>
        <item x="269"/>
        <item x="262"/>
        <item x="267"/>
        <item x="272"/>
        <item x="265"/>
        <item x="270"/>
        <item x="268"/>
        <item x="277"/>
        <item x="273"/>
        <item x="275"/>
        <item x="271"/>
        <item x="280"/>
        <item x="274"/>
        <item x="278"/>
        <item x="276"/>
        <item x="281"/>
        <item x="279"/>
        <item x="194"/>
        <item t="default"/>
      </items>
    </pivotField>
    <pivotField showAll="0">
      <items count="269">
        <item x="0"/>
        <item x="2"/>
        <item x="1"/>
        <item x="4"/>
        <item x="5"/>
        <item x="3"/>
        <item x="7"/>
        <item x="8"/>
        <item x="6"/>
        <item x="10"/>
        <item x="11"/>
        <item x="13"/>
        <item x="9"/>
        <item x="15"/>
        <item x="12"/>
        <item x="17"/>
        <item x="18"/>
        <item x="14"/>
        <item x="20"/>
        <item x="16"/>
        <item x="22"/>
        <item x="19"/>
        <item x="21"/>
        <item x="24"/>
        <item x="23"/>
        <item x="25"/>
        <item x="26"/>
        <item x="32"/>
        <item x="28"/>
        <item x="27"/>
        <item x="30"/>
        <item x="33"/>
        <item x="29"/>
        <item x="31"/>
        <item x="35"/>
        <item x="34"/>
        <item x="37"/>
        <item x="40"/>
        <item x="36"/>
        <item x="43"/>
        <item x="41"/>
        <item x="38"/>
        <item x="44"/>
        <item x="39"/>
        <item x="42"/>
        <item x="47"/>
        <item x="48"/>
        <item x="45"/>
        <item x="46"/>
        <item x="54"/>
        <item x="57"/>
        <item x="49"/>
        <item x="60"/>
        <item x="50"/>
        <item x="52"/>
        <item x="55"/>
        <item x="65"/>
        <item x="58"/>
        <item x="51"/>
        <item x="53"/>
        <item x="70"/>
        <item x="61"/>
        <item x="56"/>
        <item x="63"/>
        <item x="66"/>
        <item x="59"/>
        <item x="68"/>
        <item x="78"/>
        <item x="81"/>
        <item x="71"/>
        <item x="64"/>
        <item x="62"/>
        <item x="67"/>
        <item x="89"/>
        <item x="74"/>
        <item x="69"/>
        <item x="76"/>
        <item x="96"/>
        <item x="72"/>
        <item x="99"/>
        <item x="79"/>
        <item x="82"/>
        <item x="73"/>
        <item x="104"/>
        <item x="75"/>
        <item x="106"/>
        <item x="85"/>
        <item x="111"/>
        <item x="87"/>
        <item x="77"/>
        <item x="90"/>
        <item x="120"/>
        <item x="80"/>
        <item x="83"/>
        <item x="92"/>
        <item x="123"/>
        <item x="84"/>
        <item x="94"/>
        <item x="127"/>
        <item x="129"/>
        <item x="97"/>
        <item x="86"/>
        <item x="100"/>
        <item x="88"/>
        <item x="132"/>
        <item x="102"/>
        <item x="137"/>
        <item x="138"/>
        <item x="107"/>
        <item x="109"/>
        <item x="91"/>
        <item x="112"/>
        <item x="114"/>
        <item x="141"/>
        <item x="116"/>
        <item x="146"/>
        <item x="93"/>
        <item x="152"/>
        <item x="118"/>
        <item x="131"/>
        <item x="98"/>
        <item x="95"/>
        <item x="155"/>
        <item x="103"/>
        <item x="101"/>
        <item x="125"/>
        <item x="105"/>
        <item x="160"/>
        <item x="133"/>
        <item x="108"/>
        <item x="135"/>
        <item x="110"/>
        <item x="165"/>
        <item x="113"/>
        <item x="115"/>
        <item x="130"/>
        <item x="142"/>
        <item x="126"/>
        <item x="128"/>
        <item x="122"/>
        <item x="117"/>
        <item x="174"/>
        <item x="119"/>
        <item x="121"/>
        <item x="124"/>
        <item x="134"/>
        <item x="136"/>
        <item x="140"/>
        <item x="150"/>
        <item x="147"/>
        <item x="144"/>
        <item x="153"/>
        <item x="139"/>
        <item x="156"/>
        <item x="158"/>
        <item x="143"/>
        <item x="161"/>
        <item x="162"/>
        <item x="163"/>
        <item x="166"/>
        <item x="168"/>
        <item x="181"/>
        <item x="170"/>
        <item x="172"/>
        <item x="175"/>
        <item x="176"/>
        <item x="178"/>
        <item x="149"/>
        <item x="151"/>
        <item x="145"/>
        <item x="154"/>
        <item x="148"/>
        <item x="157"/>
        <item x="159"/>
        <item x="164"/>
        <item x="167"/>
        <item x="177"/>
        <item x="169"/>
        <item x="182"/>
        <item x="171"/>
        <item x="173"/>
        <item x="184"/>
        <item x="190"/>
        <item x="180"/>
        <item x="186"/>
        <item x="193"/>
        <item x="183"/>
        <item x="188"/>
        <item x="185"/>
        <item x="196"/>
        <item x="191"/>
        <item x="187"/>
        <item x="194"/>
        <item x="189"/>
        <item x="201"/>
        <item x="204"/>
        <item x="197"/>
        <item x="207"/>
        <item x="210"/>
        <item x="192"/>
        <item x="214"/>
        <item x="218"/>
        <item x="199"/>
        <item x="195"/>
        <item x="202"/>
        <item x="225"/>
        <item x="228"/>
        <item x="231"/>
        <item x="234"/>
        <item x="205"/>
        <item x="236"/>
        <item x="239"/>
        <item x="208"/>
        <item x="242"/>
        <item x="198"/>
        <item x="245"/>
        <item x="200"/>
        <item x="212"/>
        <item x="247"/>
        <item x="250"/>
        <item x="203"/>
        <item x="253"/>
        <item x="215"/>
        <item x="256"/>
        <item x="219"/>
        <item x="221"/>
        <item x="223"/>
        <item x="226"/>
        <item x="206"/>
        <item x="229"/>
        <item x="261"/>
        <item x="232"/>
        <item x="209"/>
        <item x="266"/>
        <item x="211"/>
        <item x="237"/>
        <item x="213"/>
        <item x="240"/>
        <item x="216"/>
        <item x="243"/>
        <item x="217"/>
        <item x="220"/>
        <item x="248"/>
        <item x="222"/>
        <item x="224"/>
        <item x="251"/>
        <item x="254"/>
        <item x="227"/>
        <item x="257"/>
        <item x="230"/>
        <item x="259"/>
        <item x="262"/>
        <item x="233"/>
        <item x="264"/>
        <item x="235"/>
        <item x="267"/>
        <item x="238"/>
        <item x="241"/>
        <item x="244"/>
        <item x="246"/>
        <item x="249"/>
        <item x="252"/>
        <item x="255"/>
        <item x="258"/>
        <item x="260"/>
        <item x="263"/>
        <item x="265"/>
        <item x="179"/>
        <item t="default"/>
      </items>
    </pivotField>
    <pivotField showAll="0">
      <items count="308">
        <item x="0"/>
        <item x="2"/>
        <item x="3"/>
        <item x="1"/>
        <item x="6"/>
        <item x="5"/>
        <item x="9"/>
        <item x="8"/>
        <item x="4"/>
        <item x="11"/>
        <item x="7"/>
        <item x="12"/>
        <item x="14"/>
        <item x="10"/>
        <item x="15"/>
        <item x="13"/>
        <item x="17"/>
        <item x="18"/>
        <item x="16"/>
        <item x="20"/>
        <item x="19"/>
        <item x="22"/>
        <item x="23"/>
        <item x="21"/>
        <item x="25"/>
        <item x="26"/>
        <item x="24"/>
        <item x="27"/>
        <item x="29"/>
        <item x="30"/>
        <item x="28"/>
        <item x="33"/>
        <item x="32"/>
        <item x="35"/>
        <item x="31"/>
        <item x="38"/>
        <item x="41"/>
        <item x="37"/>
        <item x="34"/>
        <item x="44"/>
        <item x="40"/>
        <item x="43"/>
        <item x="36"/>
        <item x="47"/>
        <item x="46"/>
        <item x="39"/>
        <item x="50"/>
        <item x="42"/>
        <item x="49"/>
        <item x="45"/>
        <item x="52"/>
        <item x="48"/>
        <item x="55"/>
        <item x="54"/>
        <item x="58"/>
        <item x="51"/>
        <item x="57"/>
        <item x="60"/>
        <item x="53"/>
        <item x="63"/>
        <item x="56"/>
        <item x="62"/>
        <item x="59"/>
        <item x="65"/>
        <item x="67"/>
        <item x="68"/>
        <item x="61"/>
        <item x="64"/>
        <item x="70"/>
        <item x="66"/>
        <item x="72"/>
        <item x="69"/>
        <item x="73"/>
        <item x="75"/>
        <item x="71"/>
        <item x="74"/>
        <item x="76"/>
        <item x="77"/>
        <item x="79"/>
        <item x="80"/>
        <item x="82"/>
        <item x="78"/>
        <item x="83"/>
        <item x="81"/>
        <item x="85"/>
        <item x="87"/>
        <item x="84"/>
        <item x="86"/>
        <item x="89"/>
        <item x="90"/>
        <item x="88"/>
        <item x="92"/>
        <item x="93"/>
        <item x="91"/>
        <item x="95"/>
        <item x="94"/>
        <item x="99"/>
        <item x="97"/>
        <item x="102"/>
        <item x="100"/>
        <item x="96"/>
        <item x="103"/>
        <item x="98"/>
        <item x="105"/>
        <item x="108"/>
        <item x="101"/>
        <item x="104"/>
        <item x="111"/>
        <item x="109"/>
        <item x="106"/>
        <item x="112"/>
        <item x="107"/>
        <item x="114"/>
        <item x="118"/>
        <item x="110"/>
        <item x="116"/>
        <item x="121"/>
        <item x="113"/>
        <item x="124"/>
        <item x="119"/>
        <item x="115"/>
        <item x="127"/>
        <item x="122"/>
        <item x="130"/>
        <item x="125"/>
        <item x="117"/>
        <item x="135"/>
        <item x="128"/>
        <item x="138"/>
        <item x="120"/>
        <item x="131"/>
        <item x="123"/>
        <item x="143"/>
        <item x="126"/>
        <item x="133"/>
        <item x="136"/>
        <item x="129"/>
        <item x="139"/>
        <item x="141"/>
        <item x="147"/>
        <item x="132"/>
        <item x="134"/>
        <item x="137"/>
        <item x="152"/>
        <item x="154"/>
        <item x="140"/>
        <item x="145"/>
        <item x="159"/>
        <item x="148"/>
        <item x="162"/>
        <item x="142"/>
        <item x="150"/>
        <item x="165"/>
        <item x="144"/>
        <item x="153"/>
        <item x="155"/>
        <item x="146"/>
        <item x="169"/>
        <item x="157"/>
        <item x="160"/>
        <item x="149"/>
        <item x="163"/>
        <item x="166"/>
        <item x="174"/>
        <item x="151"/>
        <item x="158"/>
        <item x="156"/>
        <item x="175"/>
        <item x="170"/>
        <item x="178"/>
        <item x="161"/>
        <item x="180"/>
        <item x="172"/>
        <item x="183"/>
        <item x="185"/>
        <item x="164"/>
        <item x="188"/>
        <item x="167"/>
        <item x="176"/>
        <item x="181"/>
        <item x="168"/>
        <item x="186"/>
        <item x="191"/>
        <item x="171"/>
        <item x="189"/>
        <item x="193"/>
        <item x="182"/>
        <item x="173"/>
        <item x="179"/>
        <item x="177"/>
        <item x="184"/>
        <item x="187"/>
        <item x="190"/>
        <item x="192"/>
        <item x="196"/>
        <item x="194"/>
        <item x="198"/>
        <item x="195"/>
        <item x="197"/>
        <item x="200"/>
        <item x="199"/>
        <item x="202"/>
        <item x="201"/>
        <item x="204"/>
        <item x="205"/>
        <item x="203"/>
        <item x="207"/>
        <item x="208"/>
        <item x="206"/>
        <item x="210"/>
        <item x="209"/>
        <item x="214"/>
        <item x="217"/>
        <item x="213"/>
        <item x="212"/>
        <item x="220"/>
        <item x="216"/>
        <item x="223"/>
        <item x="219"/>
        <item x="222"/>
        <item x="215"/>
        <item x="226"/>
        <item x="225"/>
        <item x="228"/>
        <item x="218"/>
        <item x="221"/>
        <item x="224"/>
        <item x="230"/>
        <item x="231"/>
        <item x="227"/>
        <item x="234"/>
        <item x="237"/>
        <item x="229"/>
        <item x="233"/>
        <item x="236"/>
        <item x="239"/>
        <item x="232"/>
        <item x="240"/>
        <item x="235"/>
        <item x="242"/>
        <item x="246"/>
        <item x="241"/>
        <item x="238"/>
        <item x="243"/>
        <item x="249"/>
        <item x="248"/>
        <item x="245"/>
        <item x="252"/>
        <item x="244"/>
        <item x="247"/>
        <item x="253"/>
        <item x="251"/>
        <item x="256"/>
        <item x="255"/>
        <item x="250"/>
        <item x="258"/>
        <item x="261"/>
        <item x="254"/>
        <item x="264"/>
        <item x="260"/>
        <item x="257"/>
        <item x="263"/>
        <item x="267"/>
        <item x="266"/>
        <item x="259"/>
        <item x="270"/>
        <item x="262"/>
        <item x="269"/>
        <item x="265"/>
        <item x="273"/>
        <item x="272"/>
        <item x="268"/>
        <item x="276"/>
        <item x="275"/>
        <item x="279"/>
        <item x="271"/>
        <item x="278"/>
        <item x="282"/>
        <item x="284"/>
        <item x="274"/>
        <item x="281"/>
        <item x="287"/>
        <item x="277"/>
        <item x="290"/>
        <item x="286"/>
        <item x="280"/>
        <item x="289"/>
        <item x="295"/>
        <item x="283"/>
        <item x="292"/>
        <item x="298"/>
        <item x="294"/>
        <item x="285"/>
        <item x="301"/>
        <item x="304"/>
        <item x="297"/>
        <item x="288"/>
        <item x="291"/>
        <item x="300"/>
        <item x="293"/>
        <item x="303"/>
        <item x="306"/>
        <item x="296"/>
        <item x="299"/>
        <item x="302"/>
        <item x="305"/>
        <item x="211"/>
        <item t="default"/>
      </items>
    </pivotField>
    <pivotField showAll="0"/>
    <pivotField showAll="0">
      <items count="310">
        <item x="0"/>
        <item x="1"/>
        <item x="2"/>
        <item x="4"/>
        <item x="3"/>
        <item x="5"/>
        <item x="7"/>
        <item x="6"/>
        <item x="8"/>
        <item x="10"/>
        <item x="11"/>
        <item x="9"/>
        <item x="13"/>
        <item x="14"/>
        <item x="16"/>
        <item x="12"/>
        <item x="18"/>
        <item x="19"/>
        <item x="15"/>
        <item x="21"/>
        <item x="17"/>
        <item x="23"/>
        <item x="24"/>
        <item x="20"/>
        <item x="26"/>
        <item x="27"/>
        <item x="22"/>
        <item x="29"/>
        <item x="25"/>
        <item x="30"/>
        <item x="32"/>
        <item x="28"/>
        <item x="35"/>
        <item x="34"/>
        <item x="38"/>
        <item x="37"/>
        <item x="31"/>
        <item x="40"/>
        <item x="41"/>
        <item x="33"/>
        <item x="43"/>
        <item x="36"/>
        <item x="44"/>
        <item x="39"/>
        <item x="46"/>
        <item x="47"/>
        <item x="42"/>
        <item x="49"/>
        <item x="50"/>
        <item x="45"/>
        <item x="52"/>
        <item x="48"/>
        <item x="55"/>
        <item x="54"/>
        <item x="58"/>
        <item x="57"/>
        <item x="51"/>
        <item x="59"/>
        <item x="62"/>
        <item x="61"/>
        <item x="64"/>
        <item x="53"/>
        <item x="66"/>
        <item x="67"/>
        <item x="56"/>
        <item x="70"/>
        <item x="69"/>
        <item x="72"/>
        <item x="60"/>
        <item x="63"/>
        <item x="75"/>
        <item x="74"/>
        <item x="65"/>
        <item x="77"/>
        <item x="68"/>
        <item x="78"/>
        <item x="71"/>
        <item x="80"/>
        <item x="81"/>
        <item x="73"/>
        <item x="83"/>
        <item x="86"/>
        <item x="85"/>
        <item x="76"/>
        <item x="89"/>
        <item x="88"/>
        <item x="79"/>
        <item x="92"/>
        <item x="91"/>
        <item x="82"/>
        <item x="94"/>
        <item x="84"/>
        <item x="99"/>
        <item x="96"/>
        <item x="87"/>
        <item x="102"/>
        <item x="98"/>
        <item x="90"/>
        <item x="105"/>
        <item x="101"/>
        <item x="108"/>
        <item x="104"/>
        <item x="107"/>
        <item x="111"/>
        <item x="93"/>
        <item x="110"/>
        <item x="114"/>
        <item x="95"/>
        <item x="113"/>
        <item x="117"/>
        <item x="116"/>
        <item x="97"/>
        <item x="120"/>
        <item x="100"/>
        <item x="119"/>
        <item x="103"/>
        <item x="123"/>
        <item x="122"/>
        <item x="126"/>
        <item x="106"/>
        <item x="125"/>
        <item x="127"/>
        <item x="109"/>
        <item x="128"/>
        <item x="112"/>
        <item x="115"/>
        <item x="130"/>
        <item x="118"/>
        <item x="133"/>
        <item x="132"/>
        <item x="121"/>
        <item x="136"/>
        <item x="124"/>
        <item x="135"/>
        <item x="129"/>
        <item x="138"/>
        <item x="140"/>
        <item x="141"/>
        <item x="131"/>
        <item x="144"/>
        <item x="143"/>
        <item x="134"/>
        <item x="146"/>
        <item x="147"/>
        <item x="137"/>
        <item x="139"/>
        <item x="149"/>
        <item x="142"/>
        <item x="145"/>
        <item x="150"/>
        <item x="152"/>
        <item x="148"/>
        <item x="154"/>
        <item x="156"/>
        <item x="151"/>
        <item x="158"/>
        <item x="163"/>
        <item x="153"/>
        <item x="160"/>
        <item x="155"/>
        <item x="162"/>
        <item x="165"/>
        <item x="166"/>
        <item x="169"/>
        <item x="157"/>
        <item x="168"/>
        <item x="179"/>
        <item x="171"/>
        <item x="159"/>
        <item x="174"/>
        <item x="178"/>
        <item x="161"/>
        <item x="173"/>
        <item x="176"/>
        <item x="170"/>
        <item x="164"/>
        <item x="182"/>
        <item x="167"/>
        <item x="172"/>
        <item x="175"/>
        <item x="177"/>
        <item x="185"/>
        <item x="180"/>
        <item x="187"/>
        <item x="184"/>
        <item x="190"/>
        <item x="193"/>
        <item x="196"/>
        <item x="189"/>
        <item x="192"/>
        <item x="181"/>
        <item x="195"/>
        <item x="198"/>
        <item x="183"/>
        <item x="200"/>
        <item x="201"/>
        <item x="186"/>
        <item x="203"/>
        <item x="188"/>
        <item x="191"/>
        <item x="194"/>
        <item x="206"/>
        <item x="205"/>
        <item x="197"/>
        <item x="209"/>
        <item x="208"/>
        <item x="199"/>
        <item x="212"/>
        <item x="211"/>
        <item x="202"/>
        <item x="214"/>
        <item x="204"/>
        <item x="216"/>
        <item x="207"/>
        <item x="218"/>
        <item x="210"/>
        <item x="220"/>
        <item x="213"/>
        <item x="221"/>
        <item x="215"/>
        <item x="223"/>
        <item x="217"/>
        <item x="224"/>
        <item x="219"/>
        <item x="226"/>
        <item x="222"/>
        <item x="225"/>
        <item x="231"/>
        <item x="228"/>
        <item x="233"/>
        <item x="237"/>
        <item x="234"/>
        <item x="239"/>
        <item x="230"/>
        <item x="242"/>
        <item x="238"/>
        <item x="236"/>
        <item x="245"/>
        <item x="241"/>
        <item x="244"/>
        <item x="250"/>
        <item x="247"/>
        <item x="229"/>
        <item x="253"/>
        <item x="232"/>
        <item x="252"/>
        <item x="249"/>
        <item x="235"/>
        <item x="240"/>
        <item x="258"/>
        <item x="255"/>
        <item x="261"/>
        <item x="243"/>
        <item x="266"/>
        <item x="273"/>
        <item x="260"/>
        <item x="263"/>
        <item x="269"/>
        <item x="276"/>
        <item x="246"/>
        <item x="257"/>
        <item x="265"/>
        <item x="275"/>
        <item x="278"/>
        <item x="272"/>
        <item x="268"/>
        <item x="277"/>
        <item x="270"/>
        <item x="286"/>
        <item x="248"/>
        <item x="251"/>
        <item x="280"/>
        <item x="282"/>
        <item x="283"/>
        <item x="285"/>
        <item x="254"/>
        <item x="291"/>
        <item x="288"/>
        <item x="294"/>
        <item x="290"/>
        <item x="262"/>
        <item x="259"/>
        <item x="293"/>
        <item x="296"/>
        <item x="274"/>
        <item x="264"/>
        <item x="271"/>
        <item x="298"/>
        <item x="267"/>
        <item x="281"/>
        <item x="300"/>
        <item x="279"/>
        <item x="256"/>
        <item x="284"/>
        <item x="304"/>
        <item x="287"/>
        <item x="289"/>
        <item x="303"/>
        <item x="292"/>
        <item x="306"/>
        <item x="295"/>
        <item x="297"/>
        <item x="308"/>
        <item x="299"/>
        <item x="301"/>
        <item x="302"/>
        <item x="305"/>
        <item x="307"/>
        <item x="227"/>
        <item t="default"/>
      </items>
    </pivotField>
    <pivotField showAll="0"/>
    <pivotField showAll="0"/>
    <pivotField showAll="0">
      <items count="304">
        <item x="1"/>
        <item x="2"/>
        <item x="0"/>
        <item x="4"/>
        <item x="3"/>
        <item x="6"/>
        <item x="5"/>
        <item x="8"/>
        <item x="9"/>
        <item x="7"/>
        <item x="11"/>
        <item x="12"/>
        <item x="10"/>
        <item x="14"/>
        <item x="15"/>
        <item x="13"/>
        <item x="17"/>
        <item x="19"/>
        <item x="16"/>
        <item x="20"/>
        <item x="18"/>
        <item x="22"/>
        <item x="24"/>
        <item x="21"/>
        <item x="25"/>
        <item x="27"/>
        <item x="23"/>
        <item x="30"/>
        <item x="28"/>
        <item x="33"/>
        <item x="26"/>
        <item x="36"/>
        <item x="31"/>
        <item x="39"/>
        <item x="34"/>
        <item x="29"/>
        <item x="42"/>
        <item x="37"/>
        <item x="32"/>
        <item x="40"/>
        <item x="35"/>
        <item x="43"/>
        <item x="38"/>
        <item x="49"/>
        <item x="45"/>
        <item x="41"/>
        <item x="52"/>
        <item x="47"/>
        <item x="55"/>
        <item x="44"/>
        <item x="58"/>
        <item x="50"/>
        <item x="46"/>
        <item x="61"/>
        <item x="53"/>
        <item x="64"/>
        <item x="56"/>
        <item x="67"/>
        <item x="48"/>
        <item x="70"/>
        <item x="51"/>
        <item x="72"/>
        <item x="59"/>
        <item x="54"/>
        <item x="62"/>
        <item x="65"/>
        <item x="57"/>
        <item x="68"/>
        <item x="81"/>
        <item x="60"/>
        <item x="86"/>
        <item x="63"/>
        <item x="89"/>
        <item x="73"/>
        <item x="66"/>
        <item x="75"/>
        <item x="92"/>
        <item x="95"/>
        <item x="77"/>
        <item x="97"/>
        <item x="69"/>
        <item x="100"/>
        <item x="71"/>
        <item x="79"/>
        <item x="105"/>
        <item x="74"/>
        <item x="82"/>
        <item x="108"/>
        <item x="84"/>
        <item x="76"/>
        <item x="113"/>
        <item x="87"/>
        <item x="116"/>
        <item x="119"/>
        <item x="90"/>
        <item x="78"/>
        <item x="80"/>
        <item x="123"/>
        <item x="93"/>
        <item x="126"/>
        <item x="83"/>
        <item x="130"/>
        <item x="98"/>
        <item x="133"/>
        <item x="85"/>
        <item x="136"/>
        <item x="101"/>
        <item x="143"/>
        <item x="103"/>
        <item x="88"/>
        <item x="106"/>
        <item x="109"/>
        <item x="91"/>
        <item x="94"/>
        <item x="111"/>
        <item x="96"/>
        <item x="114"/>
        <item x="117"/>
        <item x="99"/>
        <item x="150"/>
        <item x="102"/>
        <item x="152"/>
        <item x="104"/>
        <item x="121"/>
        <item x="156"/>
        <item x="107"/>
        <item x="124"/>
        <item x="159"/>
        <item x="127"/>
        <item x="110"/>
        <item x="131"/>
        <item x="162"/>
        <item x="134"/>
        <item x="112"/>
        <item x="137"/>
        <item x="115"/>
        <item x="139"/>
        <item x="167"/>
        <item x="141"/>
        <item x="118"/>
        <item x="169"/>
        <item x="144"/>
        <item x="120"/>
        <item x="173"/>
        <item x="122"/>
        <item x="146"/>
        <item x="125"/>
        <item x="128"/>
        <item x="129"/>
        <item x="177"/>
        <item x="132"/>
        <item x="180"/>
        <item x="182"/>
        <item x="135"/>
        <item x="138"/>
        <item x="153"/>
        <item x="185"/>
        <item x="140"/>
        <item x="186"/>
        <item x="157"/>
        <item x="189"/>
        <item x="192"/>
        <item x="160"/>
        <item x="195"/>
        <item x="142"/>
        <item x="196"/>
        <item x="163"/>
        <item x="199"/>
        <item x="145"/>
        <item x="202"/>
        <item x="165"/>
        <item x="205"/>
        <item x="147"/>
        <item x="170"/>
        <item x="172"/>
        <item x="148"/>
        <item x="181"/>
        <item x="174"/>
        <item x="178"/>
        <item x="175"/>
        <item x="151"/>
        <item x="149"/>
        <item x="187"/>
        <item x="154"/>
        <item x="190"/>
        <item x="155"/>
        <item x="193"/>
        <item x="216"/>
        <item x="197"/>
        <item x="158"/>
        <item x="200"/>
        <item x="220"/>
        <item x="203"/>
        <item x="161"/>
        <item x="206"/>
        <item x="208"/>
        <item x="223"/>
        <item x="164"/>
        <item x="179"/>
        <item x="183"/>
        <item x="226"/>
        <item x="166"/>
        <item x="168"/>
        <item x="184"/>
        <item x="176"/>
        <item x="188"/>
        <item x="194"/>
        <item x="191"/>
        <item x="171"/>
        <item x="212"/>
        <item x="198"/>
        <item x="214"/>
        <item x="229"/>
        <item x="201"/>
        <item x="217"/>
        <item x="204"/>
        <item x="207"/>
        <item x="209"/>
        <item x="232"/>
        <item x="221"/>
        <item x="235"/>
        <item x="224"/>
        <item x="211"/>
        <item x="227"/>
        <item x="213"/>
        <item x="215"/>
        <item x="240"/>
        <item x="218"/>
        <item x="219"/>
        <item x="230"/>
        <item x="222"/>
        <item x="233"/>
        <item x="225"/>
        <item x="236"/>
        <item x="247"/>
        <item x="250"/>
        <item x="228"/>
        <item x="231"/>
        <item x="253"/>
        <item x="234"/>
        <item x="238"/>
        <item x="241"/>
        <item x="243"/>
        <item x="258"/>
        <item x="245"/>
        <item x="248"/>
        <item x="261"/>
        <item x="251"/>
        <item x="237"/>
        <item x="239"/>
        <item x="264"/>
        <item x="242"/>
        <item x="254"/>
        <item x="244"/>
        <item x="256"/>
        <item x="246"/>
        <item x="269"/>
        <item x="249"/>
        <item x="259"/>
        <item x="272"/>
        <item x="262"/>
        <item x="252"/>
        <item x="275"/>
        <item x="265"/>
        <item x="255"/>
        <item x="278"/>
        <item x="257"/>
        <item x="267"/>
        <item x="281"/>
        <item x="284"/>
        <item x="260"/>
        <item x="270"/>
        <item x="287"/>
        <item x="263"/>
        <item x="290"/>
        <item x="273"/>
        <item x="292"/>
        <item x="266"/>
        <item x="276"/>
        <item x="295"/>
        <item x="279"/>
        <item x="298"/>
        <item x="268"/>
        <item x="301"/>
        <item x="282"/>
        <item x="271"/>
        <item x="285"/>
        <item x="274"/>
        <item x="288"/>
        <item x="277"/>
        <item x="293"/>
        <item x="280"/>
        <item x="296"/>
        <item x="299"/>
        <item x="283"/>
        <item x="302"/>
        <item x="286"/>
        <item x="289"/>
        <item x="291"/>
        <item x="294"/>
        <item x="297"/>
        <item x="300"/>
        <item x="210"/>
        <item t="default"/>
      </items>
    </pivotField>
    <pivotField axis="axisPage" dataField="1" showAll="0">
      <items count="119">
        <item x="1"/>
        <item x="2"/>
        <item x="3"/>
        <item x="4"/>
        <item x="5"/>
        <item x="6"/>
        <item x="7"/>
        <item x="8"/>
        <item x="10"/>
        <item x="9"/>
        <item x="11"/>
        <item x="12"/>
        <item x="13"/>
        <item x="14"/>
        <item x="15"/>
        <item x="16"/>
        <item x="17"/>
        <item x="18"/>
        <item x="21"/>
        <item x="19"/>
        <item x="20"/>
        <item x="22"/>
        <item x="23"/>
        <item x="24"/>
        <item x="27"/>
        <item x="25"/>
        <item x="26"/>
        <item x="28"/>
        <item x="29"/>
        <item x="30"/>
        <item x="31"/>
        <item x="32"/>
        <item x="33"/>
        <item x="34"/>
        <item x="35"/>
        <item x="38"/>
        <item x="36"/>
        <item x="37"/>
        <item x="39"/>
        <item x="40"/>
        <item x="41"/>
        <item x="44"/>
        <item x="42"/>
        <item x="43"/>
        <item x="45"/>
        <item x="46"/>
        <item x="47"/>
        <item x="50"/>
        <item x="48"/>
        <item x="49"/>
        <item x="51"/>
        <item x="52"/>
        <item x="53"/>
        <item x="54"/>
        <item x="55"/>
        <item x="56"/>
        <item x="57"/>
        <item x="58"/>
        <item x="59"/>
        <item x="62"/>
        <item x="60"/>
        <item x="61"/>
        <item x="63"/>
        <item x="64"/>
        <item x="65"/>
        <item x="66"/>
        <item x="68"/>
        <item x="67"/>
        <item x="69"/>
        <item x="70"/>
        <item x="71"/>
        <item x="73"/>
        <item x="72"/>
        <item x="74"/>
        <item x="75"/>
        <item x="76"/>
        <item x="79"/>
        <item x="77"/>
        <item x="78"/>
        <item x="80"/>
        <item x="82"/>
        <item x="84"/>
        <item x="81"/>
        <item x="85"/>
        <item x="83"/>
        <item x="86"/>
        <item x="87"/>
        <item x="90"/>
        <item x="88"/>
        <item x="89"/>
        <item x="91"/>
        <item x="93"/>
        <item x="96"/>
        <item x="94"/>
        <item x="97"/>
        <item x="95"/>
        <item x="98"/>
        <item x="101"/>
        <item x="99"/>
        <item x="100"/>
        <item x="102"/>
        <item x="104"/>
        <item x="103"/>
        <item x="107"/>
        <item x="105"/>
        <item x="106"/>
        <item x="108"/>
        <item x="109"/>
        <item x="110"/>
        <item x="113"/>
        <item x="111"/>
        <item x="112"/>
        <item x="114"/>
        <item x="115"/>
        <item x="116"/>
        <item x="117"/>
        <item x="92"/>
        <item x="0"/>
        <item t="default"/>
      </items>
    </pivotField>
    <pivotField showAll="0"/>
    <pivotField showAll="0"/>
    <pivotField showAll="0"/>
    <pivotField showAll="0"/>
    <pivotField showAll="0"/>
    <pivotField showAll="0"/>
    <pivotField showAll="0"/>
    <pivotField showAll="0"/>
    <pivotField showAll="0"/>
  </pivotFields>
  <rowFields count="1">
    <field x="1"/>
  </rowFields>
  <rowItems count="8">
    <i>
      <x v="4"/>
    </i>
    <i>
      <x v="5"/>
    </i>
    <i>
      <x v="6"/>
    </i>
    <i>
      <x v="7"/>
    </i>
    <i>
      <x v="8"/>
    </i>
    <i>
      <x v="9"/>
    </i>
    <i>
      <x v="10"/>
    </i>
    <i t="grand">
      <x/>
    </i>
  </rowItems>
  <colItems count="1">
    <i/>
  </colItems>
  <pageFields count="2">
    <pageField fld="0" item="1" hier="-1"/>
    <pageField fld="20" hier="-1"/>
  </pageFields>
  <dataFields count="1">
    <dataField name="Sum of Housing" fld="2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W5:X13" firstHeaderRow="1" firstDataRow="1" firstDataCol="1" rowPageCount="2" colPageCount="1"/>
  <pivotFields count="30">
    <pivotField axis="axisPage" showAll="0">
      <items count="4">
        <item x="0"/>
        <item x="2"/>
        <item x="1"/>
        <item t="default"/>
      </items>
    </pivotField>
    <pivotField axis="axisRow" multipleItemSelectionAllowed="1" showAll="0">
      <items count="12">
        <item h="1" x="0"/>
        <item h="1" x="1"/>
        <item h="1" x="2"/>
        <item h="1" x="3"/>
        <item x="4"/>
        <item x="5"/>
        <item x="6"/>
        <item x="7"/>
        <item x="8"/>
        <item x="9"/>
        <item x="10"/>
        <item t="default"/>
      </items>
    </pivotField>
    <pivotField showAll="0"/>
    <pivotField showAll="0">
      <items count="254">
        <item x="0"/>
        <item x="2"/>
        <item x="3"/>
        <item x="6"/>
        <item x="5"/>
        <item x="1"/>
        <item x="11"/>
        <item x="8"/>
        <item x="10"/>
        <item x="13"/>
        <item x="4"/>
        <item x="16"/>
        <item x="15"/>
        <item x="7"/>
        <item x="19"/>
        <item x="9"/>
        <item x="18"/>
        <item x="12"/>
        <item x="21"/>
        <item x="24"/>
        <item x="23"/>
        <item x="14"/>
        <item x="26"/>
        <item x="27"/>
        <item x="17"/>
        <item x="29"/>
        <item x="20"/>
        <item x="30"/>
        <item x="22"/>
        <item x="25"/>
        <item x="32"/>
        <item x="35"/>
        <item x="34"/>
        <item x="28"/>
        <item x="38"/>
        <item x="37"/>
        <item x="43"/>
        <item x="31"/>
        <item x="40"/>
        <item x="42"/>
        <item x="45"/>
        <item x="33"/>
        <item x="47"/>
        <item x="48"/>
        <item x="51"/>
        <item x="36"/>
        <item x="39"/>
        <item x="53"/>
        <item x="50"/>
        <item x="41"/>
        <item x="56"/>
        <item x="44"/>
        <item x="55"/>
        <item x="46"/>
        <item x="58"/>
        <item x="60"/>
        <item x="62"/>
        <item x="65"/>
        <item x="66"/>
        <item x="64"/>
        <item x="49"/>
        <item x="68"/>
        <item x="61"/>
        <item x="67"/>
        <item x="54"/>
        <item x="63"/>
        <item x="59"/>
        <item x="57"/>
        <item x="69"/>
        <item x="52"/>
        <item x="83"/>
        <item x="72"/>
        <item x="70"/>
        <item x="74"/>
        <item x="71"/>
        <item x="76"/>
        <item x="87"/>
        <item x="73"/>
        <item x="75"/>
        <item x="79"/>
        <item x="81"/>
        <item x="84"/>
        <item x="77"/>
        <item x="78"/>
        <item x="80"/>
        <item x="82"/>
        <item x="85"/>
        <item x="88"/>
        <item x="93"/>
        <item x="90"/>
        <item x="86"/>
        <item x="96"/>
        <item x="89"/>
        <item x="94"/>
        <item x="91"/>
        <item x="99"/>
        <item x="97"/>
        <item x="92"/>
        <item x="95"/>
        <item x="100"/>
        <item x="102"/>
        <item x="98"/>
        <item x="105"/>
        <item x="103"/>
        <item x="101"/>
        <item x="109"/>
        <item x="106"/>
        <item x="112"/>
        <item x="111"/>
        <item x="104"/>
        <item x="110"/>
        <item x="107"/>
        <item x="113"/>
        <item x="108"/>
        <item x="120"/>
        <item x="114"/>
        <item x="116"/>
        <item x="125"/>
        <item x="128"/>
        <item x="118"/>
        <item x="115"/>
        <item x="131"/>
        <item x="117"/>
        <item x="121"/>
        <item x="138"/>
        <item x="123"/>
        <item x="126"/>
        <item x="119"/>
        <item x="129"/>
        <item x="132"/>
        <item x="122"/>
        <item x="124"/>
        <item x="141"/>
        <item x="127"/>
        <item x="130"/>
        <item x="136"/>
        <item x="144"/>
        <item x="133"/>
        <item x="134"/>
        <item x="139"/>
        <item x="135"/>
        <item x="150"/>
        <item x="147"/>
        <item x="142"/>
        <item x="137"/>
        <item x="148"/>
        <item x="145"/>
        <item x="153"/>
        <item x="140"/>
        <item x="146"/>
        <item x="143"/>
        <item x="149"/>
        <item x="156"/>
        <item x="151"/>
        <item x="152"/>
        <item x="158"/>
        <item x="159"/>
        <item x="154"/>
        <item x="161"/>
        <item x="155"/>
        <item x="163"/>
        <item x="157"/>
        <item x="164"/>
        <item x="196"/>
        <item x="160"/>
        <item x="166"/>
        <item x="162"/>
        <item x="169"/>
        <item x="168"/>
        <item x="172"/>
        <item x="194"/>
        <item x="171"/>
        <item x="165"/>
        <item x="174"/>
        <item x="191"/>
        <item x="167"/>
        <item x="188"/>
        <item x="206"/>
        <item x="170"/>
        <item x="199"/>
        <item x="203"/>
        <item x="173"/>
        <item x="205"/>
        <item x="201"/>
        <item x="193"/>
        <item x="185"/>
        <item x="175"/>
        <item x="208"/>
        <item x="190"/>
        <item x="182"/>
        <item x="197"/>
        <item x="179"/>
        <item x="210"/>
        <item x="187"/>
        <item x="177"/>
        <item x="198"/>
        <item x="184"/>
        <item x="195"/>
        <item x="202"/>
        <item x="200"/>
        <item x="204"/>
        <item x="212"/>
        <item x="181"/>
        <item x="192"/>
        <item x="214"/>
        <item x="207"/>
        <item x="215"/>
        <item x="189"/>
        <item x="209"/>
        <item x="217"/>
        <item x="186"/>
        <item x="183"/>
        <item x="176"/>
        <item x="211"/>
        <item x="213"/>
        <item x="180"/>
        <item x="219"/>
        <item x="216"/>
        <item x="222"/>
        <item x="221"/>
        <item x="224"/>
        <item x="225"/>
        <item x="218"/>
        <item x="227"/>
        <item x="220"/>
        <item x="223"/>
        <item x="226"/>
        <item x="228"/>
        <item x="230"/>
        <item x="229"/>
        <item x="231"/>
        <item x="233"/>
        <item x="234"/>
        <item x="232"/>
        <item x="236"/>
        <item x="235"/>
        <item x="237"/>
        <item x="239"/>
        <item x="238"/>
        <item x="240"/>
        <item x="242"/>
        <item x="241"/>
        <item x="251"/>
        <item x="244"/>
        <item x="252"/>
        <item x="245"/>
        <item x="243"/>
        <item x="246"/>
        <item x="249"/>
        <item x="248"/>
        <item x="247"/>
        <item x="250"/>
        <item x="178"/>
        <item t="default"/>
      </items>
    </pivotField>
    <pivotField showAll="0">
      <items count="292">
        <item x="0"/>
        <item x="2"/>
        <item x="3"/>
        <item x="6"/>
        <item x="1"/>
        <item x="9"/>
        <item x="8"/>
        <item x="12"/>
        <item x="5"/>
        <item x="11"/>
        <item x="14"/>
        <item x="7"/>
        <item x="15"/>
        <item x="4"/>
        <item x="10"/>
        <item x="13"/>
        <item x="17"/>
        <item x="20"/>
        <item x="23"/>
        <item x="28"/>
        <item x="27"/>
        <item x="19"/>
        <item x="29"/>
        <item x="25"/>
        <item x="30"/>
        <item x="22"/>
        <item x="33"/>
        <item x="26"/>
        <item x="32"/>
        <item x="36"/>
        <item x="24"/>
        <item x="18"/>
        <item x="35"/>
        <item x="38"/>
        <item x="16"/>
        <item x="39"/>
        <item x="21"/>
        <item x="34"/>
        <item x="41"/>
        <item x="37"/>
        <item x="31"/>
        <item x="50"/>
        <item x="44"/>
        <item x="55"/>
        <item x="47"/>
        <item x="43"/>
        <item x="59"/>
        <item x="52"/>
        <item x="57"/>
        <item x="54"/>
        <item x="46"/>
        <item x="40"/>
        <item x="49"/>
        <item x="58"/>
        <item x="62"/>
        <item x="51"/>
        <item x="60"/>
        <item x="56"/>
        <item x="42"/>
        <item x="53"/>
        <item x="45"/>
        <item x="61"/>
        <item x="63"/>
        <item x="65"/>
        <item x="48"/>
        <item x="67"/>
        <item x="64"/>
        <item x="79"/>
        <item x="78"/>
        <item x="66"/>
        <item x="80"/>
        <item x="82"/>
        <item x="68"/>
        <item x="81"/>
        <item x="77"/>
        <item x="74"/>
        <item x="76"/>
        <item x="71"/>
        <item x="75"/>
        <item x="70"/>
        <item x="73"/>
        <item x="83"/>
        <item x="86"/>
        <item x="85"/>
        <item x="88"/>
        <item x="72"/>
        <item x="69"/>
        <item x="87"/>
        <item x="90"/>
        <item x="84"/>
        <item x="89"/>
        <item x="92"/>
        <item x="113"/>
        <item x="110"/>
        <item x="93"/>
        <item x="107"/>
        <item x="105"/>
        <item x="112"/>
        <item x="109"/>
        <item x="106"/>
        <item x="104"/>
        <item x="115"/>
        <item x="108"/>
        <item x="111"/>
        <item x="96"/>
        <item x="119"/>
        <item x="102"/>
        <item x="114"/>
        <item x="118"/>
        <item x="95"/>
        <item x="91"/>
        <item x="117"/>
        <item x="99"/>
        <item x="116"/>
        <item x="103"/>
        <item x="98"/>
        <item x="120"/>
        <item x="101"/>
        <item x="122"/>
        <item x="133"/>
        <item x="130"/>
        <item x="94"/>
        <item x="135"/>
        <item x="132"/>
        <item x="136"/>
        <item x="137"/>
        <item x="134"/>
        <item x="131"/>
        <item x="128"/>
        <item x="138"/>
        <item x="129"/>
        <item x="140"/>
        <item x="142"/>
        <item x="123"/>
        <item x="141"/>
        <item x="97"/>
        <item x="121"/>
        <item x="100"/>
        <item x="144"/>
        <item x="139"/>
        <item x="143"/>
        <item x="158"/>
        <item x="125"/>
        <item x="127"/>
        <item x="156"/>
        <item x="161"/>
        <item x="153"/>
        <item x="146"/>
        <item x="155"/>
        <item x="157"/>
        <item x="164"/>
        <item x="154"/>
        <item x="147"/>
        <item x="145"/>
        <item x="126"/>
        <item x="150"/>
        <item x="124"/>
        <item x="152"/>
        <item x="151"/>
        <item x="162"/>
        <item x="149"/>
        <item x="167"/>
        <item x="159"/>
        <item x="148"/>
        <item x="170"/>
        <item x="165"/>
        <item x="160"/>
        <item x="173"/>
        <item x="168"/>
        <item x="163"/>
        <item x="171"/>
        <item x="166"/>
        <item x="169"/>
        <item x="172"/>
        <item x="175"/>
        <item x="184"/>
        <item x="176"/>
        <item x="186"/>
        <item x="174"/>
        <item x="178"/>
        <item x="189"/>
        <item x="181"/>
        <item x="185"/>
        <item x="187"/>
        <item x="190"/>
        <item x="188"/>
        <item x="183"/>
        <item x="179"/>
        <item x="192"/>
        <item x="182"/>
        <item x="193"/>
        <item x="177"/>
        <item x="191"/>
        <item x="180"/>
        <item x="195"/>
        <item x="196"/>
        <item x="194"/>
        <item x="201"/>
        <item x="202"/>
        <item x="197"/>
        <item x="199"/>
        <item x="200"/>
        <item x="198"/>
        <item x="210"/>
        <item x="224"/>
        <item x="213"/>
        <item x="226"/>
        <item x="212"/>
        <item x="207"/>
        <item x="221"/>
        <item x="219"/>
        <item x="216"/>
        <item x="215"/>
        <item x="227"/>
        <item x="223"/>
        <item x="204"/>
        <item x="209"/>
        <item x="218"/>
        <item x="225"/>
        <item x="229"/>
        <item x="206"/>
        <item x="211"/>
        <item x="214"/>
        <item x="222"/>
        <item x="217"/>
        <item x="220"/>
        <item x="252"/>
        <item x="205"/>
        <item x="228"/>
        <item x="208"/>
        <item x="231"/>
        <item x="254"/>
        <item x="232"/>
        <item x="253"/>
        <item x="251"/>
        <item x="247"/>
        <item x="235"/>
        <item x="234"/>
        <item x="256"/>
        <item x="249"/>
        <item x="237"/>
        <item x="244"/>
        <item x="250"/>
        <item x="241"/>
        <item x="230"/>
        <item x="243"/>
        <item x="271"/>
        <item x="233"/>
        <item x="238"/>
        <item x="246"/>
        <item x="248"/>
        <item x="255"/>
        <item x="236"/>
        <item x="272"/>
        <item x="273"/>
        <item x="240"/>
        <item x="281"/>
        <item x="278"/>
        <item x="242"/>
        <item x="287"/>
        <item x="257"/>
        <item x="284"/>
        <item x="245"/>
        <item x="276"/>
        <item x="283"/>
        <item x="275"/>
        <item x="288"/>
        <item x="280"/>
        <item x="260"/>
        <item x="259"/>
        <item x="268"/>
        <item x="239"/>
        <item x="289"/>
        <item x="261"/>
        <item x="286"/>
        <item x="282"/>
        <item x="270"/>
        <item x="279"/>
        <item x="274"/>
        <item x="290"/>
        <item x="262"/>
        <item x="277"/>
        <item x="285"/>
        <item x="258"/>
        <item x="264"/>
        <item x="269"/>
        <item x="265"/>
        <item x="267"/>
        <item x="263"/>
        <item x="266"/>
        <item x="203"/>
        <item t="default"/>
      </items>
    </pivotField>
    <pivotField showAll="0">
      <items count="284">
        <item x="13"/>
        <item x="14"/>
        <item x="12"/>
        <item x="10"/>
        <item x="11"/>
        <item x="9"/>
        <item x="0"/>
        <item x="16"/>
        <item x="6"/>
        <item x="2"/>
        <item x="3"/>
        <item x="17"/>
        <item x="20"/>
        <item x="8"/>
        <item x="69"/>
        <item x="22"/>
        <item x="19"/>
        <item x="23"/>
        <item x="15"/>
        <item x="24"/>
        <item x="21"/>
        <item x="5"/>
        <item x="1"/>
        <item x="7"/>
        <item x="26"/>
        <item x="65"/>
        <item x="18"/>
        <item x="43"/>
        <item x="68"/>
        <item x="25"/>
        <item x="70"/>
        <item x="46"/>
        <item x="76"/>
        <item x="47"/>
        <item x="44"/>
        <item x="45"/>
        <item x="27"/>
        <item x="53"/>
        <item x="51"/>
        <item x="66"/>
        <item x="4"/>
        <item x="67"/>
        <item x="52"/>
        <item x="48"/>
        <item x="50"/>
        <item x="49"/>
        <item x="42"/>
        <item x="54"/>
        <item x="29"/>
        <item x="64"/>
        <item x="62"/>
        <item x="55"/>
        <item x="75"/>
        <item x="30"/>
        <item x="33"/>
        <item x="39"/>
        <item x="77"/>
        <item x="71"/>
        <item x="41"/>
        <item x="63"/>
        <item x="36"/>
        <item x="74"/>
        <item x="40"/>
        <item x="72"/>
        <item x="78"/>
        <item x="57"/>
        <item x="73"/>
        <item x="59"/>
        <item x="38"/>
        <item x="28"/>
        <item x="56"/>
        <item x="79"/>
        <item x="91"/>
        <item x="32"/>
        <item x="89"/>
        <item x="61"/>
        <item x="35"/>
        <item x="92"/>
        <item x="37"/>
        <item x="90"/>
        <item x="81"/>
        <item x="88"/>
        <item x="94"/>
        <item x="117"/>
        <item x="115"/>
        <item x="58"/>
        <item x="82"/>
        <item x="60"/>
        <item x="116"/>
        <item x="93"/>
        <item x="80"/>
        <item x="85"/>
        <item x="118"/>
        <item x="119"/>
        <item x="96"/>
        <item x="114"/>
        <item x="31"/>
        <item x="84"/>
        <item x="87"/>
        <item x="113"/>
        <item x="112"/>
        <item x="121"/>
        <item x="97"/>
        <item x="123"/>
        <item x="120"/>
        <item x="34"/>
        <item x="122"/>
        <item x="104"/>
        <item x="105"/>
        <item x="86"/>
        <item x="102"/>
        <item x="103"/>
        <item x="143"/>
        <item x="95"/>
        <item x="124"/>
        <item x="126"/>
        <item x="125"/>
        <item x="101"/>
        <item x="109"/>
        <item x="83"/>
        <item x="111"/>
        <item x="99"/>
        <item x="110"/>
        <item x="152"/>
        <item x="108"/>
        <item x="155"/>
        <item x="145"/>
        <item x="100"/>
        <item x="144"/>
        <item x="106"/>
        <item x="168"/>
        <item x="154"/>
        <item x="107"/>
        <item x="153"/>
        <item x="140"/>
        <item x="147"/>
        <item x="142"/>
        <item x="169"/>
        <item x="170"/>
        <item x="98"/>
        <item x="146"/>
        <item x="158"/>
        <item x="156"/>
        <item x="159"/>
        <item x="157"/>
        <item x="151"/>
        <item x="162"/>
        <item x="141"/>
        <item x="172"/>
        <item x="175"/>
        <item x="167"/>
        <item x="161"/>
        <item x="149"/>
        <item x="150"/>
        <item x="148"/>
        <item x="177"/>
        <item x="137"/>
        <item x="139"/>
        <item x="164"/>
        <item x="138"/>
        <item x="171"/>
        <item x="127"/>
        <item x="136"/>
        <item x="174"/>
        <item x="160"/>
        <item x="178"/>
        <item x="166"/>
        <item x="176"/>
        <item x="173"/>
        <item x="180"/>
        <item x="129"/>
        <item x="163"/>
        <item x="134"/>
        <item x="135"/>
        <item x="133"/>
        <item x="179"/>
        <item x="130"/>
        <item x="132"/>
        <item x="165"/>
        <item x="182"/>
        <item x="131"/>
        <item x="128"/>
        <item x="195"/>
        <item x="192"/>
        <item x="194"/>
        <item x="181"/>
        <item x="197"/>
        <item x="193"/>
        <item x="199"/>
        <item x="183"/>
        <item x="203"/>
        <item x="189"/>
        <item x="185"/>
        <item x="201"/>
        <item x="191"/>
        <item x="196"/>
        <item x="205"/>
        <item x="190"/>
        <item x="186"/>
        <item x="184"/>
        <item x="202"/>
        <item x="200"/>
        <item x="188"/>
        <item x="187"/>
        <item x="204"/>
        <item x="206"/>
        <item x="208"/>
        <item x="255"/>
        <item x="219"/>
        <item x="222"/>
        <item x="221"/>
        <item x="254"/>
        <item x="253"/>
        <item x="224"/>
        <item x="220"/>
        <item x="207"/>
        <item x="223"/>
        <item x="251"/>
        <item x="252"/>
        <item x="250"/>
        <item x="216"/>
        <item x="261"/>
        <item x="225"/>
        <item x="218"/>
        <item x="264"/>
        <item x="263"/>
        <item x="256"/>
        <item x="266"/>
        <item x="217"/>
        <item x="238"/>
        <item x="227"/>
        <item x="262"/>
        <item x="257"/>
        <item x="265"/>
        <item x="280"/>
        <item x="239"/>
        <item x="240"/>
        <item x="209"/>
        <item x="267"/>
        <item x="237"/>
        <item x="279"/>
        <item x="236"/>
        <item x="226"/>
        <item x="282"/>
        <item x="212"/>
        <item x="211"/>
        <item x="277"/>
        <item x="235"/>
        <item x="258"/>
        <item x="260"/>
        <item x="214"/>
        <item x="241"/>
        <item x="247"/>
        <item x="249"/>
        <item x="248"/>
        <item x="234"/>
        <item x="259"/>
        <item x="281"/>
        <item x="210"/>
        <item x="278"/>
        <item x="243"/>
        <item x="244"/>
        <item x="213"/>
        <item x="215"/>
        <item x="246"/>
        <item x="228"/>
        <item x="242"/>
        <item x="245"/>
        <item x="268"/>
        <item x="231"/>
        <item x="230"/>
        <item x="270"/>
        <item x="233"/>
        <item x="229"/>
        <item x="269"/>
        <item x="232"/>
        <item x="271"/>
        <item x="273"/>
        <item x="272"/>
        <item x="274"/>
        <item x="276"/>
        <item x="275"/>
        <item x="198"/>
        <item t="default"/>
      </items>
    </pivotField>
    <pivotField showAll="0">
      <items count="270">
        <item x="1"/>
        <item x="4"/>
        <item x="6"/>
        <item x="2"/>
        <item x="9"/>
        <item x="0"/>
        <item x="7"/>
        <item x="3"/>
        <item x="12"/>
        <item x="5"/>
        <item x="10"/>
        <item x="8"/>
        <item x="13"/>
        <item x="15"/>
        <item x="11"/>
        <item x="16"/>
        <item x="14"/>
        <item x="18"/>
        <item x="17"/>
        <item x="20"/>
        <item x="19"/>
        <item x="24"/>
        <item x="22"/>
        <item x="21"/>
        <item x="25"/>
        <item x="23"/>
        <item x="27"/>
        <item x="28"/>
        <item x="26"/>
        <item x="30"/>
        <item x="32"/>
        <item x="29"/>
        <item x="33"/>
        <item x="31"/>
        <item x="34"/>
        <item x="36"/>
        <item x="35"/>
        <item x="37"/>
        <item x="38"/>
        <item x="39"/>
        <item x="40"/>
        <item x="42"/>
        <item x="41"/>
        <item x="43"/>
        <item x="45"/>
        <item x="44"/>
        <item x="46"/>
        <item x="48"/>
        <item x="47"/>
        <item x="49"/>
        <item x="51"/>
        <item x="50"/>
        <item x="52"/>
        <item x="54"/>
        <item x="53"/>
        <item x="55"/>
        <item x="57"/>
        <item x="59"/>
        <item x="56"/>
        <item x="58"/>
        <item x="61"/>
        <item x="60"/>
        <item x="63"/>
        <item x="64"/>
        <item x="62"/>
        <item x="66"/>
        <item x="65"/>
        <item x="68"/>
        <item x="69"/>
        <item x="67"/>
        <item x="71"/>
        <item x="70"/>
        <item x="76"/>
        <item x="73"/>
        <item x="74"/>
        <item x="77"/>
        <item x="83"/>
        <item x="72"/>
        <item x="75"/>
        <item x="79"/>
        <item x="81"/>
        <item x="78"/>
        <item x="80"/>
        <item x="82"/>
        <item x="88"/>
        <item x="90"/>
        <item x="84"/>
        <item x="86"/>
        <item x="91"/>
        <item x="85"/>
        <item x="95"/>
        <item x="89"/>
        <item x="87"/>
        <item x="93"/>
        <item x="98"/>
        <item x="92"/>
        <item x="96"/>
        <item x="101"/>
        <item x="104"/>
        <item x="94"/>
        <item x="99"/>
        <item x="109"/>
        <item x="112"/>
        <item x="115"/>
        <item x="102"/>
        <item x="97"/>
        <item x="105"/>
        <item x="107"/>
        <item x="100"/>
        <item x="110"/>
        <item x="121"/>
        <item x="113"/>
        <item x="116"/>
        <item x="103"/>
        <item x="118"/>
        <item x="106"/>
        <item x="120"/>
        <item x="108"/>
        <item x="111"/>
        <item x="114"/>
        <item x="117"/>
        <item x="124"/>
        <item x="119"/>
        <item x="126"/>
        <item x="122"/>
        <item x="127"/>
        <item x="123"/>
        <item x="131"/>
        <item x="129"/>
        <item x="125"/>
        <item x="133"/>
        <item x="128"/>
        <item x="136"/>
        <item x="130"/>
        <item x="138"/>
        <item x="134"/>
        <item x="144"/>
        <item x="132"/>
        <item x="148"/>
        <item x="137"/>
        <item x="151"/>
        <item x="139"/>
        <item x="145"/>
        <item x="141"/>
        <item x="143"/>
        <item x="146"/>
        <item x="135"/>
        <item x="149"/>
        <item x="161"/>
        <item x="160"/>
        <item x="140"/>
        <item x="142"/>
        <item x="152"/>
        <item x="162"/>
        <item x="154"/>
        <item x="147"/>
        <item x="156"/>
        <item x="158"/>
        <item x="150"/>
        <item x="153"/>
        <item x="163"/>
        <item x="155"/>
        <item x="157"/>
        <item x="159"/>
        <item x="164"/>
        <item x="166"/>
        <item x="165"/>
        <item x="167"/>
        <item x="169"/>
        <item x="168"/>
        <item x="171"/>
        <item x="173"/>
        <item x="170"/>
        <item x="176"/>
        <item x="174"/>
        <item x="172"/>
        <item x="177"/>
        <item x="175"/>
        <item x="179"/>
        <item x="180"/>
        <item x="178"/>
        <item x="182"/>
        <item x="183"/>
        <item x="181"/>
        <item x="185"/>
        <item x="186"/>
        <item x="184"/>
        <item x="188"/>
        <item x="189"/>
        <item x="187"/>
        <item x="193"/>
        <item x="194"/>
        <item x="196"/>
        <item x="197"/>
        <item x="198"/>
        <item x="195"/>
        <item x="199"/>
        <item x="201"/>
        <item x="200"/>
        <item x="202"/>
        <item x="205"/>
        <item x="204"/>
        <item x="206"/>
        <item x="207"/>
        <item x="203"/>
        <item x="209"/>
        <item x="191"/>
        <item x="190"/>
        <item x="210"/>
        <item x="208"/>
        <item x="212"/>
        <item x="213"/>
        <item x="211"/>
        <item x="214"/>
        <item x="216"/>
        <item x="219"/>
        <item x="215"/>
        <item x="218"/>
        <item x="221"/>
        <item x="220"/>
        <item x="217"/>
        <item x="223"/>
        <item x="222"/>
        <item x="224"/>
        <item x="226"/>
        <item x="225"/>
        <item x="228"/>
        <item x="227"/>
        <item x="230"/>
        <item x="229"/>
        <item x="231"/>
        <item x="233"/>
        <item x="232"/>
        <item x="234"/>
        <item x="236"/>
        <item x="235"/>
        <item x="237"/>
        <item x="239"/>
        <item x="238"/>
        <item x="241"/>
        <item x="242"/>
        <item x="240"/>
        <item x="244"/>
        <item x="243"/>
        <item x="245"/>
        <item x="247"/>
        <item x="246"/>
        <item x="248"/>
        <item x="250"/>
        <item x="249"/>
        <item x="251"/>
        <item x="252"/>
        <item x="253"/>
        <item x="254"/>
        <item x="256"/>
        <item x="255"/>
        <item x="257"/>
        <item x="259"/>
        <item x="258"/>
        <item x="260"/>
        <item x="262"/>
        <item x="261"/>
        <item x="263"/>
        <item x="265"/>
        <item x="264"/>
        <item x="267"/>
        <item x="268"/>
        <item x="266"/>
        <item x="192"/>
        <item t="default"/>
      </items>
    </pivotField>
    <pivotField showAll="0">
      <items count="258">
        <item x="18"/>
        <item x="16"/>
        <item x="13"/>
        <item x="23"/>
        <item x="10"/>
        <item x="25"/>
        <item x="33"/>
        <item x="7"/>
        <item x="36"/>
        <item x="32"/>
        <item x="50"/>
        <item x="39"/>
        <item x="27"/>
        <item x="1"/>
        <item x="4"/>
        <item x="46"/>
        <item x="14"/>
        <item x="17"/>
        <item x="19"/>
        <item x="11"/>
        <item x="21"/>
        <item x="57"/>
        <item x="8"/>
        <item x="2"/>
        <item x="61"/>
        <item x="12"/>
        <item x="5"/>
        <item x="9"/>
        <item x="15"/>
        <item x="64"/>
        <item x="0"/>
        <item x="6"/>
        <item x="67"/>
        <item x="20"/>
        <item x="34"/>
        <item x="3"/>
        <item x="28"/>
        <item x="37"/>
        <item x="72"/>
        <item x="30"/>
        <item x="22"/>
        <item x="51"/>
        <item x="24"/>
        <item x="42"/>
        <item x="44"/>
        <item x="47"/>
        <item x="83"/>
        <item x="53"/>
        <item x="26"/>
        <item x="31"/>
        <item x="55"/>
        <item x="58"/>
        <item x="35"/>
        <item x="29"/>
        <item x="87"/>
        <item x="38"/>
        <item x="62"/>
        <item x="76"/>
        <item x="40"/>
        <item x="49"/>
        <item x="41"/>
        <item x="43"/>
        <item x="48"/>
        <item x="45"/>
        <item x="68"/>
        <item x="52"/>
        <item x="65"/>
        <item x="70"/>
        <item x="54"/>
        <item x="56"/>
        <item x="59"/>
        <item x="60"/>
        <item x="98"/>
        <item x="74"/>
        <item x="109"/>
        <item x="66"/>
        <item x="69"/>
        <item x="63"/>
        <item x="104"/>
        <item x="85"/>
        <item x="71"/>
        <item x="84"/>
        <item x="77"/>
        <item x="88"/>
        <item x="116"/>
        <item x="79"/>
        <item x="81"/>
        <item x="73"/>
        <item x="118"/>
        <item x="121"/>
        <item x="91"/>
        <item x="123"/>
        <item x="125"/>
        <item x="130"/>
        <item x="93"/>
        <item x="95"/>
        <item x="132"/>
        <item x="75"/>
        <item x="99"/>
        <item x="110"/>
        <item x="86"/>
        <item x="78"/>
        <item x="108"/>
        <item x="82"/>
        <item x="89"/>
        <item x="106"/>
        <item x="80"/>
        <item x="115"/>
        <item x="102"/>
        <item x="105"/>
        <item x="141"/>
        <item x="90"/>
        <item x="92"/>
        <item x="94"/>
        <item x="122"/>
        <item x="112"/>
        <item x="113"/>
        <item x="96"/>
        <item x="111"/>
        <item x="126"/>
        <item x="97"/>
        <item x="107"/>
        <item x="114"/>
        <item x="147"/>
        <item x="100"/>
        <item x="138"/>
        <item x="101"/>
        <item x="103"/>
        <item x="133"/>
        <item x="142"/>
        <item x="149"/>
        <item x="135"/>
        <item x="120"/>
        <item x="117"/>
        <item x="119"/>
        <item x="124"/>
        <item x="127"/>
        <item x="137"/>
        <item x="128"/>
        <item x="129"/>
        <item x="136"/>
        <item x="139"/>
        <item x="140"/>
        <item x="134"/>
        <item x="143"/>
        <item x="131"/>
        <item x="144"/>
        <item x="145"/>
        <item x="150"/>
        <item x="146"/>
        <item x="152"/>
        <item x="155"/>
        <item x="148"/>
        <item x="153"/>
        <item x="158"/>
        <item x="156"/>
        <item x="160"/>
        <item x="151"/>
        <item x="164"/>
        <item x="157"/>
        <item x="167"/>
        <item x="154"/>
        <item x="170"/>
        <item x="161"/>
        <item x="172"/>
        <item x="165"/>
        <item x="159"/>
        <item x="168"/>
        <item x="175"/>
        <item x="163"/>
        <item x="166"/>
        <item x="173"/>
        <item x="169"/>
        <item x="178"/>
        <item x="171"/>
        <item x="176"/>
        <item x="181"/>
        <item x="174"/>
        <item x="179"/>
        <item x="177"/>
        <item x="182"/>
        <item x="184"/>
        <item x="180"/>
        <item x="187"/>
        <item x="185"/>
        <item x="190"/>
        <item x="183"/>
        <item x="188"/>
        <item x="255"/>
        <item x="186"/>
        <item x="252"/>
        <item x="193"/>
        <item x="256"/>
        <item x="191"/>
        <item x="199"/>
        <item x="215"/>
        <item x="217"/>
        <item x="196"/>
        <item x="254"/>
        <item x="212"/>
        <item x="253"/>
        <item x="202"/>
        <item x="189"/>
        <item x="209"/>
        <item x="206"/>
        <item x="239"/>
        <item x="246"/>
        <item x="251"/>
        <item x="194"/>
        <item x="244"/>
        <item x="250"/>
        <item x="237"/>
        <item x="220"/>
        <item x="200"/>
        <item x="234"/>
        <item x="249"/>
        <item x="248"/>
        <item x="197"/>
        <item x="192"/>
        <item x="216"/>
        <item x="232"/>
        <item x="218"/>
        <item x="223"/>
        <item x="240"/>
        <item x="247"/>
        <item x="213"/>
        <item x="203"/>
        <item x="245"/>
        <item x="229"/>
        <item x="198"/>
        <item x="242"/>
        <item x="226"/>
        <item x="210"/>
        <item x="195"/>
        <item x="207"/>
        <item x="201"/>
        <item x="238"/>
        <item x="235"/>
        <item x="214"/>
        <item x="243"/>
        <item x="241"/>
        <item x="236"/>
        <item x="221"/>
        <item x="204"/>
        <item x="211"/>
        <item x="233"/>
        <item x="208"/>
        <item x="205"/>
        <item x="224"/>
        <item x="230"/>
        <item x="231"/>
        <item x="227"/>
        <item x="219"/>
        <item x="222"/>
        <item x="228"/>
        <item x="225"/>
        <item x="162"/>
        <item t="default"/>
      </items>
    </pivotField>
    <pivotField showAll="0">
      <items count="282">
        <item x="1"/>
        <item x="4"/>
        <item x="2"/>
        <item x="5"/>
        <item x="0"/>
        <item x="3"/>
        <item x="7"/>
        <item x="8"/>
        <item x="6"/>
        <item x="26"/>
        <item x="25"/>
        <item x="12"/>
        <item x="9"/>
        <item x="22"/>
        <item x="11"/>
        <item x="15"/>
        <item x="14"/>
        <item x="10"/>
        <item x="23"/>
        <item x="27"/>
        <item x="29"/>
        <item x="18"/>
        <item x="13"/>
        <item x="17"/>
        <item x="21"/>
        <item x="24"/>
        <item x="20"/>
        <item x="33"/>
        <item x="16"/>
        <item x="19"/>
        <item x="32"/>
        <item x="30"/>
        <item x="34"/>
        <item x="35"/>
        <item x="36"/>
        <item x="31"/>
        <item x="28"/>
        <item x="38"/>
        <item x="96"/>
        <item x="39"/>
        <item x="95"/>
        <item x="37"/>
        <item x="99"/>
        <item x="93"/>
        <item x="66"/>
        <item x="69"/>
        <item x="61"/>
        <item x="64"/>
        <item x="58"/>
        <item x="90"/>
        <item x="71"/>
        <item x="85"/>
        <item x="87"/>
        <item x="55"/>
        <item x="97"/>
        <item x="40"/>
        <item x="62"/>
        <item x="46"/>
        <item x="42"/>
        <item x="67"/>
        <item x="43"/>
        <item x="59"/>
        <item x="94"/>
        <item x="41"/>
        <item x="56"/>
        <item x="72"/>
        <item x="45"/>
        <item x="91"/>
        <item x="48"/>
        <item x="86"/>
        <item x="63"/>
        <item x="60"/>
        <item x="57"/>
        <item x="88"/>
        <item x="49"/>
        <item x="44"/>
        <item x="118"/>
        <item x="68"/>
        <item x="119"/>
        <item x="51"/>
        <item x="54"/>
        <item x="84"/>
        <item x="65"/>
        <item x="74"/>
        <item x="77"/>
        <item x="70"/>
        <item x="53"/>
        <item x="47"/>
        <item x="122"/>
        <item x="92"/>
        <item x="98"/>
        <item x="89"/>
        <item x="80"/>
        <item x="75"/>
        <item x="78"/>
        <item x="52"/>
        <item x="81"/>
        <item x="120"/>
        <item x="83"/>
        <item x="79"/>
        <item x="82"/>
        <item x="102"/>
        <item x="50"/>
        <item x="150"/>
        <item x="76"/>
        <item x="73"/>
        <item x="115"/>
        <item x="101"/>
        <item x="148"/>
        <item x="130"/>
        <item x="123"/>
        <item x="177"/>
        <item x="105"/>
        <item x="117"/>
        <item x="111"/>
        <item x="103"/>
        <item x="113"/>
        <item x="145"/>
        <item x="106"/>
        <item x="125"/>
        <item x="116"/>
        <item x="108"/>
        <item x="133"/>
        <item x="104"/>
        <item x="140"/>
        <item x="178"/>
        <item x="128"/>
        <item x="109"/>
        <item x="131"/>
        <item x="100"/>
        <item x="126"/>
        <item x="114"/>
        <item x="107"/>
        <item x="121"/>
        <item x="112"/>
        <item x="135"/>
        <item x="174"/>
        <item x="124"/>
        <item x="129"/>
        <item x="171"/>
        <item x="110"/>
        <item x="197"/>
        <item x="132"/>
        <item x="151"/>
        <item x="143"/>
        <item x="127"/>
        <item x="146"/>
        <item x="175"/>
        <item x="137"/>
        <item x="176"/>
        <item x="153"/>
        <item x="141"/>
        <item x="198"/>
        <item x="196"/>
        <item x="181"/>
        <item x="179"/>
        <item x="188"/>
        <item x="134"/>
        <item x="194"/>
        <item x="195"/>
        <item x="173"/>
        <item x="172"/>
        <item x="138"/>
        <item x="191"/>
        <item x="211"/>
        <item x="155"/>
        <item x="169"/>
        <item x="184"/>
        <item x="180"/>
        <item x="190"/>
        <item x="142"/>
        <item x="183"/>
        <item x="202"/>
        <item x="205"/>
        <item x="147"/>
        <item x="144"/>
        <item x="193"/>
        <item x="212"/>
        <item x="139"/>
        <item x="149"/>
        <item x="136"/>
        <item x="210"/>
        <item x="192"/>
        <item x="152"/>
        <item x="214"/>
        <item x="166"/>
        <item x="189"/>
        <item x="199"/>
        <item x="157"/>
        <item x="186"/>
        <item x="204"/>
        <item x="209"/>
        <item x="170"/>
        <item x="216"/>
        <item x="182"/>
        <item x="208"/>
        <item x="160"/>
        <item x="242"/>
        <item x="167"/>
        <item x="201"/>
        <item x="239"/>
        <item x="163"/>
        <item x="213"/>
        <item x="233"/>
        <item x="154"/>
        <item x="164"/>
        <item x="165"/>
        <item x="158"/>
        <item x="218"/>
        <item x="187"/>
        <item x="215"/>
        <item x="162"/>
        <item x="168"/>
        <item x="203"/>
        <item x="161"/>
        <item x="185"/>
        <item x="241"/>
        <item x="206"/>
        <item x="207"/>
        <item x="243"/>
        <item x="270"/>
        <item x="156"/>
        <item x="238"/>
        <item x="235"/>
        <item x="232"/>
        <item x="217"/>
        <item x="159"/>
        <item x="245"/>
        <item x="228"/>
        <item x="269"/>
        <item x="240"/>
        <item x="225"/>
        <item x="265"/>
        <item x="236"/>
        <item x="268"/>
        <item x="244"/>
        <item x="237"/>
        <item x="271"/>
        <item x="219"/>
        <item x="267"/>
        <item x="234"/>
        <item x="231"/>
        <item x="263"/>
        <item x="222"/>
        <item x="266"/>
        <item x="264"/>
        <item x="230"/>
        <item x="260"/>
        <item x="221"/>
        <item x="227"/>
        <item x="262"/>
        <item x="252"/>
        <item x="224"/>
        <item x="272"/>
        <item x="261"/>
        <item x="249"/>
        <item x="220"/>
        <item x="278"/>
        <item x="257"/>
        <item x="274"/>
        <item x="254"/>
        <item x="246"/>
        <item x="229"/>
        <item x="251"/>
        <item x="226"/>
        <item x="273"/>
        <item x="280"/>
        <item x="223"/>
        <item x="248"/>
        <item x="259"/>
        <item x="275"/>
        <item x="253"/>
        <item x="256"/>
        <item x="250"/>
        <item x="279"/>
        <item x="247"/>
        <item x="277"/>
        <item x="258"/>
        <item x="276"/>
        <item x="255"/>
        <item x="200"/>
        <item t="default"/>
      </items>
    </pivotField>
    <pivotField showAll="0">
      <items count="313">
        <item x="6"/>
        <item x="0"/>
        <item x="2"/>
        <item x="3"/>
        <item x="1"/>
        <item x="5"/>
        <item x="8"/>
        <item x="7"/>
        <item x="4"/>
        <item x="10"/>
        <item x="11"/>
        <item x="9"/>
        <item x="38"/>
        <item x="13"/>
        <item x="41"/>
        <item x="39"/>
        <item x="37"/>
        <item x="42"/>
        <item x="40"/>
        <item x="14"/>
        <item x="134"/>
        <item x="35"/>
        <item x="136"/>
        <item x="135"/>
        <item x="138"/>
        <item x="139"/>
        <item x="133"/>
        <item x="137"/>
        <item x="43"/>
        <item x="45"/>
        <item x="131"/>
        <item x="44"/>
        <item x="140"/>
        <item x="36"/>
        <item x="142"/>
        <item x="12"/>
        <item x="143"/>
        <item x="34"/>
        <item x="47"/>
        <item x="132"/>
        <item x="144"/>
        <item x="16"/>
        <item x="46"/>
        <item x="141"/>
        <item x="77"/>
        <item x="173"/>
        <item x="75"/>
        <item x="107"/>
        <item x="72"/>
        <item x="80"/>
        <item x="79"/>
        <item x="196"/>
        <item x="145"/>
        <item x="17"/>
        <item x="48"/>
        <item x="74"/>
        <item x="198"/>
        <item x="108"/>
        <item x="105"/>
        <item x="194"/>
        <item x="106"/>
        <item x="78"/>
        <item x="82"/>
        <item x="195"/>
        <item x="76"/>
        <item x="197"/>
        <item x="193"/>
        <item x="73"/>
        <item x="50"/>
        <item x="69"/>
        <item x="192"/>
        <item x="174"/>
        <item x="71"/>
        <item x="147"/>
        <item x="200"/>
        <item x="109"/>
        <item x="70"/>
        <item x="171"/>
        <item x="111"/>
        <item x="172"/>
        <item x="83"/>
        <item x="81"/>
        <item x="191"/>
        <item x="110"/>
        <item x="169"/>
        <item x="49"/>
        <item x="175"/>
        <item x="170"/>
        <item x="254"/>
        <item x="20"/>
        <item x="85"/>
        <item x="19"/>
        <item x="102"/>
        <item x="66"/>
        <item x="68"/>
        <item x="203"/>
        <item x="86"/>
        <item x="304"/>
        <item x="67"/>
        <item x="199"/>
        <item x="104"/>
        <item x="112"/>
        <item x="130"/>
        <item x="129"/>
        <item x="146"/>
        <item x="168"/>
        <item x="308"/>
        <item x="302"/>
        <item x="202"/>
        <item x="176"/>
        <item x="15"/>
        <item x="178"/>
        <item x="177"/>
        <item x="103"/>
        <item x="257"/>
        <item x="32"/>
        <item x="88"/>
        <item x="190"/>
        <item x="33"/>
        <item x="100"/>
        <item x="31"/>
        <item x="84"/>
        <item x="189"/>
        <item x="187"/>
        <item x="256"/>
        <item x="310"/>
        <item x="232"/>
        <item x="101"/>
        <item x="126"/>
        <item x="184"/>
        <item x="123"/>
        <item x="250"/>
        <item x="186"/>
        <item x="51"/>
        <item x="299"/>
        <item x="166"/>
        <item x="125"/>
        <item x="128"/>
        <item x="185"/>
        <item x="113"/>
        <item x="148"/>
        <item x="167"/>
        <item x="22"/>
        <item x="63"/>
        <item x="165"/>
        <item x="227"/>
        <item x="65"/>
        <item x="114"/>
        <item x="306"/>
        <item x="260"/>
        <item x="124"/>
        <item x="188"/>
        <item x="64"/>
        <item x="87"/>
        <item x="89"/>
        <item x="263"/>
        <item x="23"/>
        <item x="179"/>
        <item x="153"/>
        <item x="127"/>
        <item x="97"/>
        <item x="60"/>
        <item x="259"/>
        <item x="278"/>
        <item x="181"/>
        <item x="207"/>
        <item x="182"/>
        <item x="233"/>
        <item x="155"/>
        <item x="62"/>
        <item x="120"/>
        <item x="156"/>
        <item x="183"/>
        <item x="91"/>
        <item x="53"/>
        <item x="117"/>
        <item x="99"/>
        <item x="57"/>
        <item x="92"/>
        <item x="122"/>
        <item x="180"/>
        <item x="150"/>
        <item x="61"/>
        <item x="116"/>
        <item x="301"/>
        <item x="252"/>
        <item x="206"/>
        <item x="96"/>
        <item x="154"/>
        <item x="18"/>
        <item x="162"/>
        <item x="54"/>
        <item x="201"/>
        <item x="164"/>
        <item x="59"/>
        <item x="94"/>
        <item x="265"/>
        <item x="158"/>
        <item x="229"/>
        <item x="151"/>
        <item x="163"/>
        <item x="210"/>
        <item x="121"/>
        <item x="262"/>
        <item x="98"/>
        <item x="25"/>
        <item x="224"/>
        <item x="119"/>
        <item x="90"/>
        <item x="95"/>
        <item x="253"/>
        <item x="281"/>
        <item x="255"/>
        <item x="279"/>
        <item x="228"/>
        <item x="284"/>
        <item x="209"/>
        <item x="159"/>
        <item x="56"/>
        <item x="93"/>
        <item x="58"/>
        <item x="277"/>
        <item x="204"/>
        <item x="266"/>
        <item x="226"/>
        <item x="234"/>
        <item x="27"/>
        <item x="297"/>
        <item x="272"/>
        <item x="52"/>
        <item x="289"/>
        <item x="157"/>
        <item x="115"/>
        <item x="161"/>
        <item x="24"/>
        <item x="283"/>
        <item x="149"/>
        <item x="303"/>
        <item x="305"/>
        <item x="307"/>
        <item x="258"/>
        <item x="291"/>
        <item x="21"/>
        <item x="28"/>
        <item x="300"/>
        <item x="212"/>
        <item x="118"/>
        <item x="152"/>
        <item x="309"/>
        <item x="230"/>
        <item x="205"/>
        <item x="251"/>
        <item x="225"/>
        <item x="55"/>
        <item x="288"/>
        <item x="286"/>
        <item x="30"/>
        <item x="264"/>
        <item x="26"/>
        <item x="269"/>
        <item x="294"/>
        <item x="311"/>
        <item x="160"/>
        <item x="268"/>
        <item x="261"/>
        <item x="237"/>
        <item x="247"/>
        <item x="274"/>
        <item x="214"/>
        <item x="208"/>
        <item x="280"/>
        <item x="215"/>
        <item x="221"/>
        <item x="293"/>
        <item x="235"/>
        <item x="211"/>
        <item x="29"/>
        <item x="249"/>
        <item x="223"/>
        <item x="276"/>
        <item x="271"/>
        <item x="217"/>
        <item x="296"/>
        <item x="238"/>
        <item x="236"/>
        <item x="282"/>
        <item x="275"/>
        <item x="298"/>
        <item x="248"/>
        <item x="213"/>
        <item x="222"/>
        <item x="287"/>
        <item x="240"/>
        <item x="218"/>
        <item x="285"/>
        <item x="290"/>
        <item x="267"/>
        <item x="216"/>
        <item x="220"/>
        <item x="273"/>
        <item x="292"/>
        <item x="241"/>
        <item x="244"/>
        <item x="239"/>
        <item x="295"/>
        <item x="270"/>
        <item x="243"/>
        <item x="246"/>
        <item x="219"/>
        <item x="245"/>
        <item x="242"/>
        <item x="231"/>
        <item t="default"/>
      </items>
    </pivotField>
    <pivotField showAll="0">
      <items count="266">
        <item x="7"/>
        <item x="4"/>
        <item x="9"/>
        <item x="18"/>
        <item x="8"/>
        <item x="15"/>
        <item x="10"/>
        <item x="5"/>
        <item x="12"/>
        <item x="6"/>
        <item x="1"/>
        <item x="3"/>
        <item x="2"/>
        <item x="0"/>
        <item x="13"/>
        <item x="16"/>
        <item x="19"/>
        <item x="11"/>
        <item x="14"/>
        <item x="22"/>
        <item x="17"/>
        <item x="28"/>
        <item x="20"/>
        <item x="24"/>
        <item x="21"/>
        <item x="26"/>
        <item x="29"/>
        <item x="23"/>
        <item x="31"/>
        <item x="25"/>
        <item x="27"/>
        <item x="30"/>
        <item x="32"/>
        <item x="33"/>
        <item x="34"/>
        <item x="36"/>
        <item x="37"/>
        <item x="169"/>
        <item x="39"/>
        <item x="35"/>
        <item x="38"/>
        <item x="41"/>
        <item x="40"/>
        <item x="176"/>
        <item x="174"/>
        <item x="166"/>
        <item x="42"/>
        <item x="44"/>
        <item x="45"/>
        <item x="43"/>
        <item x="178"/>
        <item x="48"/>
        <item x="47"/>
        <item x="50"/>
        <item x="51"/>
        <item x="54"/>
        <item x="46"/>
        <item x="161"/>
        <item x="53"/>
        <item x="49"/>
        <item x="179"/>
        <item x="56"/>
        <item x="181"/>
        <item x="158"/>
        <item x="59"/>
        <item x="58"/>
        <item x="52"/>
        <item x="155"/>
        <item x="62"/>
        <item x="55"/>
        <item x="182"/>
        <item x="183"/>
        <item x="61"/>
        <item x="177"/>
        <item x="180"/>
        <item x="170"/>
        <item x="65"/>
        <item x="172"/>
        <item x="184"/>
        <item x="153"/>
        <item x="167"/>
        <item x="64"/>
        <item x="57"/>
        <item x="145"/>
        <item x="151"/>
        <item x="68"/>
        <item x="185"/>
        <item x="148"/>
        <item x="164"/>
        <item x="143"/>
        <item x="67"/>
        <item x="186"/>
        <item x="60"/>
        <item x="175"/>
        <item x="162"/>
        <item x="168"/>
        <item x="171"/>
        <item x="173"/>
        <item x="63"/>
        <item x="159"/>
        <item x="188"/>
        <item x="140"/>
        <item x="189"/>
        <item x="165"/>
        <item x="187"/>
        <item x="191"/>
        <item x="156"/>
        <item x="163"/>
        <item x="193"/>
        <item x="192"/>
        <item x="160"/>
        <item x="196"/>
        <item x="70"/>
        <item x="190"/>
        <item x="194"/>
        <item x="154"/>
        <item x="66"/>
        <item x="137"/>
        <item x="197"/>
        <item x="157"/>
        <item x="71"/>
        <item x="195"/>
        <item x="152"/>
        <item x="199"/>
        <item x="146"/>
        <item x="149"/>
        <item x="198"/>
        <item x="144"/>
        <item x="74"/>
        <item x="200"/>
        <item x="201"/>
        <item x="132"/>
        <item x="141"/>
        <item x="150"/>
        <item x="147"/>
        <item x="203"/>
        <item x="73"/>
        <item x="77"/>
        <item x="142"/>
        <item x="138"/>
        <item x="202"/>
        <item x="76"/>
        <item x="206"/>
        <item x="207"/>
        <item x="139"/>
        <item x="205"/>
        <item x="135"/>
        <item x="204"/>
        <item x="136"/>
        <item x="80"/>
        <item x="69"/>
        <item x="129"/>
        <item x="133"/>
        <item x="79"/>
        <item x="134"/>
        <item x="131"/>
        <item x="72"/>
        <item x="217"/>
        <item x="75"/>
        <item x="218"/>
        <item x="215"/>
        <item x="82"/>
        <item x="208"/>
        <item x="212"/>
        <item x="210"/>
        <item x="209"/>
        <item x="214"/>
        <item x="216"/>
        <item x="213"/>
        <item x="130"/>
        <item x="83"/>
        <item x="126"/>
        <item x="219"/>
        <item x="78"/>
        <item x="221"/>
        <item x="128"/>
        <item x="225"/>
        <item x="220"/>
        <item x="227"/>
        <item x="228"/>
        <item x="127"/>
        <item x="226"/>
        <item x="223"/>
        <item x="224"/>
        <item x="86"/>
        <item x="229"/>
        <item x="98"/>
        <item x="222"/>
        <item x="125"/>
        <item x="89"/>
        <item x="101"/>
        <item x="95"/>
        <item x="243"/>
        <item x="245"/>
        <item x="234"/>
        <item x="244"/>
        <item x="92"/>
        <item x="239"/>
        <item x="236"/>
        <item x="238"/>
        <item x="241"/>
        <item x="100"/>
        <item x="242"/>
        <item x="237"/>
        <item x="247"/>
        <item x="235"/>
        <item x="246"/>
        <item x="230"/>
        <item x="240"/>
        <item x="85"/>
        <item x="81"/>
        <item x="232"/>
        <item x="231"/>
        <item x="104"/>
        <item x="233"/>
        <item x="248"/>
        <item x="250"/>
        <item x="249"/>
        <item x="97"/>
        <item x="103"/>
        <item x="123"/>
        <item x="124"/>
        <item x="251"/>
        <item x="252"/>
        <item x="107"/>
        <item x="253"/>
        <item x="255"/>
        <item x="254"/>
        <item x="121"/>
        <item x="118"/>
        <item x="99"/>
        <item x="116"/>
        <item x="257"/>
        <item x="94"/>
        <item x="259"/>
        <item x="260"/>
        <item x="256"/>
        <item x="261"/>
        <item x="88"/>
        <item x="258"/>
        <item x="91"/>
        <item x="106"/>
        <item x="110"/>
        <item x="120"/>
        <item x="113"/>
        <item x="262"/>
        <item x="264"/>
        <item x="117"/>
        <item x="109"/>
        <item x="263"/>
        <item x="122"/>
        <item x="115"/>
        <item x="119"/>
        <item x="96"/>
        <item x="102"/>
        <item x="112"/>
        <item x="114"/>
        <item x="105"/>
        <item x="93"/>
        <item x="108"/>
        <item x="84"/>
        <item x="111"/>
        <item x="90"/>
        <item x="87"/>
        <item x="211"/>
        <item t="default"/>
      </items>
    </pivotField>
    <pivotField showAll="0">
      <items count="206">
        <item x="66"/>
        <item x="63"/>
        <item x="69"/>
        <item x="72"/>
        <item x="61"/>
        <item x="70"/>
        <item x="67"/>
        <item x="59"/>
        <item x="64"/>
        <item x="56"/>
        <item x="73"/>
        <item x="68"/>
        <item x="76"/>
        <item x="65"/>
        <item x="54"/>
        <item x="75"/>
        <item x="71"/>
        <item x="62"/>
        <item x="74"/>
        <item x="51"/>
        <item x="60"/>
        <item x="33"/>
        <item x="57"/>
        <item x="48"/>
        <item x="36"/>
        <item x="78"/>
        <item x="31"/>
        <item x="55"/>
        <item x="79"/>
        <item x="58"/>
        <item x="77"/>
        <item x="45"/>
        <item x="52"/>
        <item x="28"/>
        <item x="80"/>
        <item x="82"/>
        <item x="53"/>
        <item x="49"/>
        <item x="81"/>
        <item x="34"/>
        <item x="25"/>
        <item x="37"/>
        <item x="43"/>
        <item x="50"/>
        <item x="22"/>
        <item x="38"/>
        <item x="83"/>
        <item x="47"/>
        <item x="46"/>
        <item x="20"/>
        <item x="84"/>
        <item x="19"/>
        <item x="32"/>
        <item x="35"/>
        <item x="17"/>
        <item x="14"/>
        <item x="29"/>
        <item x="30"/>
        <item x="11"/>
        <item x="8"/>
        <item x="44"/>
        <item x="26"/>
        <item x="6"/>
        <item x="23"/>
        <item x="39"/>
        <item x="27"/>
        <item x="12"/>
        <item x="15"/>
        <item x="18"/>
        <item x="9"/>
        <item x="24"/>
        <item x="10"/>
        <item x="4"/>
        <item x="21"/>
        <item x="42"/>
        <item x="13"/>
        <item x="7"/>
        <item x="16"/>
        <item x="41"/>
        <item x="40"/>
        <item x="5"/>
        <item x="1"/>
        <item x="147"/>
        <item x="3"/>
        <item x="2"/>
        <item x="86"/>
        <item x="0"/>
        <item x="87"/>
        <item x="161"/>
        <item x="150"/>
        <item x="89"/>
        <item x="90"/>
        <item x="162"/>
        <item x="85"/>
        <item x="163"/>
        <item x="148"/>
        <item x="92"/>
        <item x="93"/>
        <item x="160"/>
        <item x="144"/>
        <item x="165"/>
        <item x="159"/>
        <item x="88"/>
        <item x="164"/>
        <item x="95"/>
        <item x="157"/>
        <item x="166"/>
        <item x="146"/>
        <item x="156"/>
        <item x="91"/>
        <item x="96"/>
        <item x="183"/>
        <item x="154"/>
        <item x="149"/>
        <item x="158"/>
        <item x="172"/>
        <item x="167"/>
        <item x="155"/>
        <item x="98"/>
        <item x="99"/>
        <item x="169"/>
        <item x="94"/>
        <item x="102"/>
        <item x="152"/>
        <item x="170"/>
        <item x="145"/>
        <item x="101"/>
        <item x="185"/>
        <item x="168"/>
        <item x="104"/>
        <item x="141"/>
        <item x="151"/>
        <item x="107"/>
        <item x="186"/>
        <item x="97"/>
        <item x="153"/>
        <item x="108"/>
        <item x="180"/>
        <item x="171"/>
        <item x="100"/>
        <item x="143"/>
        <item x="178"/>
        <item x="103"/>
        <item x="106"/>
        <item x="105"/>
        <item x="182"/>
        <item x="184"/>
        <item x="142"/>
        <item x="110"/>
        <item x="175"/>
        <item x="177"/>
        <item x="176"/>
        <item x="112"/>
        <item x="140"/>
        <item x="181"/>
        <item x="109"/>
        <item x="115"/>
        <item x="139"/>
        <item x="114"/>
        <item x="179"/>
        <item x="194"/>
        <item x="117"/>
        <item x="118"/>
        <item x="138"/>
        <item x="121"/>
        <item x="195"/>
        <item x="196"/>
        <item x="198"/>
        <item x="189"/>
        <item x="120"/>
        <item x="111"/>
        <item x="123"/>
        <item x="188"/>
        <item x="173"/>
        <item x="197"/>
        <item x="124"/>
        <item x="199"/>
        <item x="113"/>
        <item x="187"/>
        <item x="126"/>
        <item x="192"/>
        <item x="137"/>
        <item x="116"/>
        <item x="122"/>
        <item x="119"/>
        <item x="201"/>
        <item x="128"/>
        <item x="193"/>
        <item x="130"/>
        <item x="125"/>
        <item x="190"/>
        <item x="132"/>
        <item x="136"/>
        <item x="127"/>
        <item x="200"/>
        <item x="129"/>
        <item x="133"/>
        <item x="131"/>
        <item x="203"/>
        <item x="135"/>
        <item x="191"/>
        <item x="202"/>
        <item x="134"/>
        <item x="204"/>
        <item x="174"/>
        <item t="default"/>
      </items>
    </pivotField>
    <pivotField showAll="0">
      <items count="283">
        <item x="1"/>
        <item x="3"/>
        <item x="6"/>
        <item x="2"/>
        <item x="4"/>
        <item x="7"/>
        <item x="0"/>
        <item x="8"/>
        <item x="5"/>
        <item x="9"/>
        <item x="10"/>
        <item x="12"/>
        <item x="11"/>
        <item x="13"/>
        <item x="15"/>
        <item x="14"/>
        <item x="17"/>
        <item x="18"/>
        <item x="20"/>
        <item x="16"/>
        <item x="21"/>
        <item x="24"/>
        <item x="23"/>
        <item x="19"/>
        <item x="26"/>
        <item x="27"/>
        <item x="22"/>
        <item x="29"/>
        <item x="25"/>
        <item x="30"/>
        <item x="33"/>
        <item x="28"/>
        <item x="36"/>
        <item x="32"/>
        <item x="39"/>
        <item x="35"/>
        <item x="42"/>
        <item x="38"/>
        <item x="45"/>
        <item x="41"/>
        <item x="31"/>
        <item x="48"/>
        <item x="44"/>
        <item x="34"/>
        <item x="51"/>
        <item x="47"/>
        <item x="37"/>
        <item x="40"/>
        <item x="50"/>
        <item x="54"/>
        <item x="57"/>
        <item x="43"/>
        <item x="53"/>
        <item x="62"/>
        <item x="65"/>
        <item x="46"/>
        <item x="56"/>
        <item x="68"/>
        <item x="59"/>
        <item x="61"/>
        <item x="49"/>
        <item x="71"/>
        <item x="64"/>
        <item x="67"/>
        <item x="74"/>
        <item x="76"/>
        <item x="52"/>
        <item x="70"/>
        <item x="78"/>
        <item x="73"/>
        <item x="55"/>
        <item x="77"/>
        <item x="58"/>
        <item x="81"/>
        <item x="80"/>
        <item x="60"/>
        <item x="86"/>
        <item x="63"/>
        <item x="66"/>
        <item x="83"/>
        <item x="85"/>
        <item x="69"/>
        <item x="88"/>
        <item x="75"/>
        <item x="72"/>
        <item x="93"/>
        <item x="90"/>
        <item x="79"/>
        <item x="96"/>
        <item x="99"/>
        <item x="92"/>
        <item x="82"/>
        <item x="102"/>
        <item x="105"/>
        <item x="95"/>
        <item x="108"/>
        <item x="84"/>
        <item x="98"/>
        <item x="110"/>
        <item x="87"/>
        <item x="101"/>
        <item x="113"/>
        <item x="144"/>
        <item x="104"/>
        <item x="107"/>
        <item x="142"/>
        <item x="139"/>
        <item x="116"/>
        <item x="89"/>
        <item x="147"/>
        <item x="119"/>
        <item x="146"/>
        <item x="112"/>
        <item x="136"/>
        <item x="91"/>
        <item x="133"/>
        <item x="115"/>
        <item x="141"/>
        <item x="126"/>
        <item x="130"/>
        <item x="94"/>
        <item x="152"/>
        <item x="148"/>
        <item x="154"/>
        <item x="118"/>
        <item x="155"/>
        <item x="145"/>
        <item x="138"/>
        <item x="121"/>
        <item x="153"/>
        <item x="149"/>
        <item x="157"/>
        <item x="97"/>
        <item x="135"/>
        <item x="123"/>
        <item x="159"/>
        <item x="167"/>
        <item x="125"/>
        <item x="161"/>
        <item x="100"/>
        <item x="132"/>
        <item x="103"/>
        <item x="143"/>
        <item x="156"/>
        <item x="106"/>
        <item x="129"/>
        <item x="158"/>
        <item x="109"/>
        <item x="150"/>
        <item x="164"/>
        <item x="151"/>
        <item x="168"/>
        <item x="166"/>
        <item x="163"/>
        <item x="160"/>
        <item x="162"/>
        <item x="140"/>
        <item x="165"/>
        <item x="111"/>
        <item x="170"/>
        <item x="169"/>
        <item x="172"/>
        <item x="137"/>
        <item x="171"/>
        <item x="114"/>
        <item x="174"/>
        <item x="117"/>
        <item x="134"/>
        <item x="175"/>
        <item x="173"/>
        <item x="120"/>
        <item x="122"/>
        <item x="131"/>
        <item x="176"/>
        <item x="124"/>
        <item x="127"/>
        <item x="128"/>
        <item x="178"/>
        <item x="179"/>
        <item x="177"/>
        <item x="181"/>
        <item x="182"/>
        <item x="180"/>
        <item x="184"/>
        <item x="187"/>
        <item x="185"/>
        <item x="190"/>
        <item x="183"/>
        <item x="188"/>
        <item x="186"/>
        <item x="191"/>
        <item x="189"/>
        <item x="193"/>
        <item x="192"/>
        <item x="196"/>
        <item x="197"/>
        <item x="195"/>
        <item x="198"/>
        <item x="200"/>
        <item x="199"/>
        <item x="202"/>
        <item x="201"/>
        <item x="204"/>
        <item x="205"/>
        <item x="207"/>
        <item x="203"/>
        <item x="212"/>
        <item x="214"/>
        <item x="216"/>
        <item x="208"/>
        <item x="206"/>
        <item x="217"/>
        <item x="210"/>
        <item x="213"/>
        <item x="215"/>
        <item x="209"/>
        <item x="211"/>
        <item x="219"/>
        <item x="222"/>
        <item x="226"/>
        <item x="230"/>
        <item x="233"/>
        <item x="220"/>
        <item x="224"/>
        <item x="223"/>
        <item x="227"/>
        <item x="231"/>
        <item x="234"/>
        <item x="218"/>
        <item x="225"/>
        <item x="221"/>
        <item x="228"/>
        <item x="236"/>
        <item x="229"/>
        <item x="232"/>
        <item x="235"/>
        <item x="238"/>
        <item x="240"/>
        <item x="237"/>
        <item x="241"/>
        <item x="243"/>
        <item x="239"/>
        <item x="244"/>
        <item x="246"/>
        <item x="242"/>
        <item x="247"/>
        <item x="249"/>
        <item x="245"/>
        <item x="252"/>
        <item x="250"/>
        <item x="255"/>
        <item x="248"/>
        <item x="253"/>
        <item x="251"/>
        <item x="258"/>
        <item x="256"/>
        <item x="254"/>
        <item x="259"/>
        <item x="257"/>
        <item x="263"/>
        <item x="261"/>
        <item x="266"/>
        <item x="260"/>
        <item x="264"/>
        <item x="269"/>
        <item x="262"/>
        <item x="267"/>
        <item x="272"/>
        <item x="265"/>
        <item x="270"/>
        <item x="268"/>
        <item x="277"/>
        <item x="273"/>
        <item x="275"/>
        <item x="271"/>
        <item x="280"/>
        <item x="274"/>
        <item x="278"/>
        <item x="276"/>
        <item x="281"/>
        <item x="279"/>
        <item x="194"/>
        <item t="default"/>
      </items>
    </pivotField>
    <pivotField showAll="0">
      <items count="269">
        <item x="0"/>
        <item x="2"/>
        <item x="1"/>
        <item x="4"/>
        <item x="5"/>
        <item x="3"/>
        <item x="7"/>
        <item x="8"/>
        <item x="6"/>
        <item x="10"/>
        <item x="11"/>
        <item x="13"/>
        <item x="9"/>
        <item x="15"/>
        <item x="12"/>
        <item x="17"/>
        <item x="18"/>
        <item x="14"/>
        <item x="20"/>
        <item x="16"/>
        <item x="22"/>
        <item x="19"/>
        <item x="21"/>
        <item x="24"/>
        <item x="23"/>
        <item x="25"/>
        <item x="26"/>
        <item x="32"/>
        <item x="28"/>
        <item x="27"/>
        <item x="30"/>
        <item x="33"/>
        <item x="29"/>
        <item x="31"/>
        <item x="35"/>
        <item x="34"/>
        <item x="37"/>
        <item x="40"/>
        <item x="36"/>
        <item x="43"/>
        <item x="41"/>
        <item x="38"/>
        <item x="44"/>
        <item x="39"/>
        <item x="42"/>
        <item x="47"/>
        <item x="48"/>
        <item x="45"/>
        <item x="46"/>
        <item x="54"/>
        <item x="57"/>
        <item x="49"/>
        <item x="60"/>
        <item x="50"/>
        <item x="52"/>
        <item x="55"/>
        <item x="65"/>
        <item x="58"/>
        <item x="51"/>
        <item x="53"/>
        <item x="70"/>
        <item x="61"/>
        <item x="56"/>
        <item x="63"/>
        <item x="66"/>
        <item x="59"/>
        <item x="68"/>
        <item x="78"/>
        <item x="81"/>
        <item x="71"/>
        <item x="64"/>
        <item x="62"/>
        <item x="67"/>
        <item x="89"/>
        <item x="74"/>
        <item x="69"/>
        <item x="76"/>
        <item x="96"/>
        <item x="72"/>
        <item x="99"/>
        <item x="79"/>
        <item x="82"/>
        <item x="73"/>
        <item x="104"/>
        <item x="75"/>
        <item x="106"/>
        <item x="85"/>
        <item x="111"/>
        <item x="87"/>
        <item x="77"/>
        <item x="90"/>
        <item x="120"/>
        <item x="80"/>
        <item x="83"/>
        <item x="92"/>
        <item x="123"/>
        <item x="84"/>
        <item x="94"/>
        <item x="127"/>
        <item x="129"/>
        <item x="97"/>
        <item x="86"/>
        <item x="100"/>
        <item x="88"/>
        <item x="132"/>
        <item x="102"/>
        <item x="137"/>
        <item x="138"/>
        <item x="107"/>
        <item x="109"/>
        <item x="91"/>
        <item x="112"/>
        <item x="114"/>
        <item x="141"/>
        <item x="116"/>
        <item x="146"/>
        <item x="93"/>
        <item x="152"/>
        <item x="118"/>
        <item x="131"/>
        <item x="98"/>
        <item x="95"/>
        <item x="155"/>
        <item x="103"/>
        <item x="101"/>
        <item x="125"/>
        <item x="105"/>
        <item x="160"/>
        <item x="133"/>
        <item x="108"/>
        <item x="135"/>
        <item x="110"/>
        <item x="165"/>
        <item x="113"/>
        <item x="115"/>
        <item x="130"/>
        <item x="142"/>
        <item x="126"/>
        <item x="128"/>
        <item x="122"/>
        <item x="117"/>
        <item x="174"/>
        <item x="119"/>
        <item x="121"/>
        <item x="124"/>
        <item x="134"/>
        <item x="136"/>
        <item x="140"/>
        <item x="150"/>
        <item x="147"/>
        <item x="144"/>
        <item x="153"/>
        <item x="139"/>
        <item x="156"/>
        <item x="158"/>
        <item x="143"/>
        <item x="161"/>
        <item x="162"/>
        <item x="163"/>
        <item x="166"/>
        <item x="168"/>
        <item x="181"/>
        <item x="170"/>
        <item x="172"/>
        <item x="175"/>
        <item x="176"/>
        <item x="178"/>
        <item x="149"/>
        <item x="151"/>
        <item x="145"/>
        <item x="154"/>
        <item x="148"/>
        <item x="157"/>
        <item x="159"/>
        <item x="164"/>
        <item x="167"/>
        <item x="177"/>
        <item x="169"/>
        <item x="182"/>
        <item x="171"/>
        <item x="173"/>
        <item x="184"/>
        <item x="190"/>
        <item x="180"/>
        <item x="186"/>
        <item x="193"/>
        <item x="183"/>
        <item x="188"/>
        <item x="185"/>
        <item x="196"/>
        <item x="191"/>
        <item x="187"/>
        <item x="194"/>
        <item x="189"/>
        <item x="201"/>
        <item x="204"/>
        <item x="197"/>
        <item x="207"/>
        <item x="210"/>
        <item x="192"/>
        <item x="214"/>
        <item x="218"/>
        <item x="199"/>
        <item x="195"/>
        <item x="202"/>
        <item x="225"/>
        <item x="228"/>
        <item x="231"/>
        <item x="234"/>
        <item x="205"/>
        <item x="236"/>
        <item x="239"/>
        <item x="208"/>
        <item x="242"/>
        <item x="198"/>
        <item x="245"/>
        <item x="200"/>
        <item x="212"/>
        <item x="247"/>
        <item x="250"/>
        <item x="203"/>
        <item x="253"/>
        <item x="215"/>
        <item x="256"/>
        <item x="219"/>
        <item x="221"/>
        <item x="223"/>
        <item x="226"/>
        <item x="206"/>
        <item x="229"/>
        <item x="261"/>
        <item x="232"/>
        <item x="209"/>
        <item x="266"/>
        <item x="211"/>
        <item x="237"/>
        <item x="213"/>
        <item x="240"/>
        <item x="216"/>
        <item x="243"/>
        <item x="217"/>
        <item x="220"/>
        <item x="248"/>
        <item x="222"/>
        <item x="224"/>
        <item x="251"/>
        <item x="254"/>
        <item x="227"/>
        <item x="257"/>
        <item x="230"/>
        <item x="259"/>
        <item x="262"/>
        <item x="233"/>
        <item x="264"/>
        <item x="235"/>
        <item x="267"/>
        <item x="238"/>
        <item x="241"/>
        <item x="244"/>
        <item x="246"/>
        <item x="249"/>
        <item x="252"/>
        <item x="255"/>
        <item x="258"/>
        <item x="260"/>
        <item x="263"/>
        <item x="265"/>
        <item x="179"/>
        <item t="default"/>
      </items>
    </pivotField>
    <pivotField showAll="0">
      <items count="308">
        <item x="0"/>
        <item x="2"/>
        <item x="3"/>
        <item x="1"/>
        <item x="6"/>
        <item x="5"/>
        <item x="9"/>
        <item x="8"/>
        <item x="4"/>
        <item x="11"/>
        <item x="7"/>
        <item x="12"/>
        <item x="14"/>
        <item x="10"/>
        <item x="15"/>
        <item x="13"/>
        <item x="17"/>
        <item x="18"/>
        <item x="16"/>
        <item x="20"/>
        <item x="19"/>
        <item x="22"/>
        <item x="23"/>
        <item x="21"/>
        <item x="25"/>
        <item x="26"/>
        <item x="24"/>
        <item x="27"/>
        <item x="29"/>
        <item x="30"/>
        <item x="28"/>
        <item x="33"/>
        <item x="32"/>
        <item x="35"/>
        <item x="31"/>
        <item x="38"/>
        <item x="41"/>
        <item x="37"/>
        <item x="34"/>
        <item x="44"/>
        <item x="40"/>
        <item x="43"/>
        <item x="36"/>
        <item x="47"/>
        <item x="46"/>
        <item x="39"/>
        <item x="50"/>
        <item x="42"/>
        <item x="49"/>
        <item x="45"/>
        <item x="52"/>
        <item x="48"/>
        <item x="55"/>
        <item x="54"/>
        <item x="58"/>
        <item x="51"/>
        <item x="57"/>
        <item x="60"/>
        <item x="53"/>
        <item x="63"/>
        <item x="56"/>
        <item x="62"/>
        <item x="59"/>
        <item x="65"/>
        <item x="67"/>
        <item x="68"/>
        <item x="61"/>
        <item x="64"/>
        <item x="70"/>
        <item x="66"/>
        <item x="72"/>
        <item x="69"/>
        <item x="73"/>
        <item x="75"/>
        <item x="71"/>
        <item x="74"/>
        <item x="76"/>
        <item x="77"/>
        <item x="79"/>
        <item x="80"/>
        <item x="82"/>
        <item x="78"/>
        <item x="83"/>
        <item x="81"/>
        <item x="85"/>
        <item x="87"/>
        <item x="84"/>
        <item x="86"/>
        <item x="89"/>
        <item x="90"/>
        <item x="88"/>
        <item x="92"/>
        <item x="93"/>
        <item x="91"/>
        <item x="95"/>
        <item x="94"/>
        <item x="99"/>
        <item x="97"/>
        <item x="102"/>
        <item x="100"/>
        <item x="96"/>
        <item x="103"/>
        <item x="98"/>
        <item x="105"/>
        <item x="108"/>
        <item x="101"/>
        <item x="104"/>
        <item x="111"/>
        <item x="109"/>
        <item x="106"/>
        <item x="112"/>
        <item x="107"/>
        <item x="114"/>
        <item x="118"/>
        <item x="110"/>
        <item x="116"/>
        <item x="121"/>
        <item x="113"/>
        <item x="124"/>
        <item x="119"/>
        <item x="115"/>
        <item x="127"/>
        <item x="122"/>
        <item x="130"/>
        <item x="125"/>
        <item x="117"/>
        <item x="135"/>
        <item x="128"/>
        <item x="138"/>
        <item x="120"/>
        <item x="131"/>
        <item x="123"/>
        <item x="143"/>
        <item x="126"/>
        <item x="133"/>
        <item x="136"/>
        <item x="129"/>
        <item x="139"/>
        <item x="141"/>
        <item x="147"/>
        <item x="132"/>
        <item x="134"/>
        <item x="137"/>
        <item x="152"/>
        <item x="154"/>
        <item x="140"/>
        <item x="145"/>
        <item x="159"/>
        <item x="148"/>
        <item x="162"/>
        <item x="142"/>
        <item x="150"/>
        <item x="165"/>
        <item x="144"/>
        <item x="153"/>
        <item x="155"/>
        <item x="146"/>
        <item x="169"/>
        <item x="157"/>
        <item x="160"/>
        <item x="149"/>
        <item x="163"/>
        <item x="166"/>
        <item x="174"/>
        <item x="151"/>
        <item x="158"/>
        <item x="156"/>
        <item x="175"/>
        <item x="170"/>
        <item x="178"/>
        <item x="161"/>
        <item x="180"/>
        <item x="172"/>
        <item x="183"/>
        <item x="185"/>
        <item x="164"/>
        <item x="188"/>
        <item x="167"/>
        <item x="176"/>
        <item x="181"/>
        <item x="168"/>
        <item x="186"/>
        <item x="191"/>
        <item x="171"/>
        <item x="189"/>
        <item x="193"/>
        <item x="182"/>
        <item x="173"/>
        <item x="179"/>
        <item x="177"/>
        <item x="184"/>
        <item x="187"/>
        <item x="190"/>
        <item x="192"/>
        <item x="196"/>
        <item x="194"/>
        <item x="198"/>
        <item x="195"/>
        <item x="197"/>
        <item x="200"/>
        <item x="199"/>
        <item x="202"/>
        <item x="201"/>
        <item x="204"/>
        <item x="205"/>
        <item x="203"/>
        <item x="207"/>
        <item x="208"/>
        <item x="206"/>
        <item x="210"/>
        <item x="209"/>
        <item x="214"/>
        <item x="217"/>
        <item x="213"/>
        <item x="212"/>
        <item x="220"/>
        <item x="216"/>
        <item x="223"/>
        <item x="219"/>
        <item x="222"/>
        <item x="215"/>
        <item x="226"/>
        <item x="225"/>
        <item x="228"/>
        <item x="218"/>
        <item x="221"/>
        <item x="224"/>
        <item x="230"/>
        <item x="231"/>
        <item x="227"/>
        <item x="234"/>
        <item x="237"/>
        <item x="229"/>
        <item x="233"/>
        <item x="236"/>
        <item x="239"/>
        <item x="232"/>
        <item x="240"/>
        <item x="235"/>
        <item x="242"/>
        <item x="246"/>
        <item x="241"/>
        <item x="238"/>
        <item x="243"/>
        <item x="249"/>
        <item x="248"/>
        <item x="245"/>
        <item x="252"/>
        <item x="244"/>
        <item x="247"/>
        <item x="253"/>
        <item x="251"/>
        <item x="256"/>
        <item x="255"/>
        <item x="250"/>
        <item x="258"/>
        <item x="261"/>
        <item x="254"/>
        <item x="264"/>
        <item x="260"/>
        <item x="257"/>
        <item x="263"/>
        <item x="267"/>
        <item x="266"/>
        <item x="259"/>
        <item x="270"/>
        <item x="262"/>
        <item x="269"/>
        <item x="265"/>
        <item x="273"/>
        <item x="272"/>
        <item x="268"/>
        <item x="276"/>
        <item x="275"/>
        <item x="279"/>
        <item x="271"/>
        <item x="278"/>
        <item x="282"/>
        <item x="284"/>
        <item x="274"/>
        <item x="281"/>
        <item x="287"/>
        <item x="277"/>
        <item x="290"/>
        <item x="286"/>
        <item x="280"/>
        <item x="289"/>
        <item x="295"/>
        <item x="283"/>
        <item x="292"/>
        <item x="298"/>
        <item x="294"/>
        <item x="285"/>
        <item x="301"/>
        <item x="304"/>
        <item x="297"/>
        <item x="288"/>
        <item x="291"/>
        <item x="300"/>
        <item x="293"/>
        <item x="303"/>
        <item x="306"/>
        <item x="296"/>
        <item x="299"/>
        <item x="302"/>
        <item x="305"/>
        <item x="211"/>
        <item t="default"/>
      </items>
    </pivotField>
    <pivotField showAll="0"/>
    <pivotField showAll="0">
      <items count="310">
        <item x="0"/>
        <item x="1"/>
        <item x="2"/>
        <item x="4"/>
        <item x="3"/>
        <item x="5"/>
        <item x="7"/>
        <item x="6"/>
        <item x="8"/>
        <item x="10"/>
        <item x="11"/>
        <item x="9"/>
        <item x="13"/>
        <item x="14"/>
        <item x="16"/>
        <item x="12"/>
        <item x="18"/>
        <item x="19"/>
        <item x="15"/>
        <item x="21"/>
        <item x="17"/>
        <item x="23"/>
        <item x="24"/>
        <item x="20"/>
        <item x="26"/>
        <item x="27"/>
        <item x="22"/>
        <item x="29"/>
        <item x="25"/>
        <item x="30"/>
        <item x="32"/>
        <item x="28"/>
        <item x="35"/>
        <item x="34"/>
        <item x="38"/>
        <item x="37"/>
        <item x="31"/>
        <item x="40"/>
        <item x="41"/>
        <item x="33"/>
        <item x="43"/>
        <item x="36"/>
        <item x="44"/>
        <item x="39"/>
        <item x="46"/>
        <item x="47"/>
        <item x="42"/>
        <item x="49"/>
        <item x="50"/>
        <item x="45"/>
        <item x="52"/>
        <item x="48"/>
        <item x="55"/>
        <item x="54"/>
        <item x="58"/>
        <item x="57"/>
        <item x="51"/>
        <item x="59"/>
        <item x="62"/>
        <item x="61"/>
        <item x="64"/>
        <item x="53"/>
        <item x="66"/>
        <item x="67"/>
        <item x="56"/>
        <item x="70"/>
        <item x="69"/>
        <item x="72"/>
        <item x="60"/>
        <item x="63"/>
        <item x="75"/>
        <item x="74"/>
        <item x="65"/>
        <item x="77"/>
        <item x="68"/>
        <item x="78"/>
        <item x="71"/>
        <item x="80"/>
        <item x="81"/>
        <item x="73"/>
        <item x="83"/>
        <item x="86"/>
        <item x="85"/>
        <item x="76"/>
        <item x="89"/>
        <item x="88"/>
        <item x="79"/>
        <item x="92"/>
        <item x="91"/>
        <item x="82"/>
        <item x="94"/>
        <item x="84"/>
        <item x="99"/>
        <item x="96"/>
        <item x="87"/>
        <item x="102"/>
        <item x="98"/>
        <item x="90"/>
        <item x="105"/>
        <item x="101"/>
        <item x="108"/>
        <item x="104"/>
        <item x="107"/>
        <item x="111"/>
        <item x="93"/>
        <item x="110"/>
        <item x="114"/>
        <item x="95"/>
        <item x="113"/>
        <item x="117"/>
        <item x="116"/>
        <item x="97"/>
        <item x="120"/>
        <item x="100"/>
        <item x="119"/>
        <item x="103"/>
        <item x="123"/>
        <item x="122"/>
        <item x="126"/>
        <item x="106"/>
        <item x="125"/>
        <item x="127"/>
        <item x="109"/>
        <item x="128"/>
        <item x="112"/>
        <item x="115"/>
        <item x="130"/>
        <item x="118"/>
        <item x="133"/>
        <item x="132"/>
        <item x="121"/>
        <item x="136"/>
        <item x="124"/>
        <item x="135"/>
        <item x="129"/>
        <item x="138"/>
        <item x="140"/>
        <item x="141"/>
        <item x="131"/>
        <item x="144"/>
        <item x="143"/>
        <item x="134"/>
        <item x="146"/>
        <item x="147"/>
        <item x="137"/>
        <item x="139"/>
        <item x="149"/>
        <item x="142"/>
        <item x="145"/>
        <item x="150"/>
        <item x="152"/>
        <item x="148"/>
        <item x="154"/>
        <item x="156"/>
        <item x="151"/>
        <item x="158"/>
        <item x="163"/>
        <item x="153"/>
        <item x="160"/>
        <item x="155"/>
        <item x="162"/>
        <item x="165"/>
        <item x="166"/>
        <item x="169"/>
        <item x="157"/>
        <item x="168"/>
        <item x="179"/>
        <item x="171"/>
        <item x="159"/>
        <item x="174"/>
        <item x="178"/>
        <item x="161"/>
        <item x="173"/>
        <item x="176"/>
        <item x="170"/>
        <item x="164"/>
        <item x="182"/>
        <item x="167"/>
        <item x="172"/>
        <item x="175"/>
        <item x="177"/>
        <item x="185"/>
        <item x="180"/>
        <item x="187"/>
        <item x="184"/>
        <item x="190"/>
        <item x="193"/>
        <item x="196"/>
        <item x="189"/>
        <item x="192"/>
        <item x="181"/>
        <item x="195"/>
        <item x="198"/>
        <item x="183"/>
        <item x="200"/>
        <item x="201"/>
        <item x="186"/>
        <item x="203"/>
        <item x="188"/>
        <item x="191"/>
        <item x="194"/>
        <item x="206"/>
        <item x="205"/>
        <item x="197"/>
        <item x="209"/>
        <item x="208"/>
        <item x="199"/>
        <item x="212"/>
        <item x="211"/>
        <item x="202"/>
        <item x="214"/>
        <item x="204"/>
        <item x="216"/>
        <item x="207"/>
        <item x="218"/>
        <item x="210"/>
        <item x="220"/>
        <item x="213"/>
        <item x="221"/>
        <item x="215"/>
        <item x="223"/>
        <item x="217"/>
        <item x="224"/>
        <item x="219"/>
        <item x="226"/>
        <item x="222"/>
        <item x="225"/>
        <item x="231"/>
        <item x="228"/>
        <item x="233"/>
        <item x="237"/>
        <item x="234"/>
        <item x="239"/>
        <item x="230"/>
        <item x="242"/>
        <item x="238"/>
        <item x="236"/>
        <item x="245"/>
        <item x="241"/>
        <item x="244"/>
        <item x="250"/>
        <item x="247"/>
        <item x="229"/>
        <item x="253"/>
        <item x="232"/>
        <item x="252"/>
        <item x="249"/>
        <item x="235"/>
        <item x="240"/>
        <item x="258"/>
        <item x="255"/>
        <item x="261"/>
        <item x="243"/>
        <item x="266"/>
        <item x="273"/>
        <item x="260"/>
        <item x="263"/>
        <item x="269"/>
        <item x="276"/>
        <item x="246"/>
        <item x="257"/>
        <item x="265"/>
        <item x="275"/>
        <item x="278"/>
        <item x="272"/>
        <item x="268"/>
        <item x="277"/>
        <item x="270"/>
        <item x="286"/>
        <item x="248"/>
        <item x="251"/>
        <item x="280"/>
        <item x="282"/>
        <item x="283"/>
        <item x="285"/>
        <item x="254"/>
        <item x="291"/>
        <item x="288"/>
        <item x="294"/>
        <item x="290"/>
        <item x="262"/>
        <item x="259"/>
        <item x="293"/>
        <item x="296"/>
        <item x="274"/>
        <item x="264"/>
        <item x="271"/>
        <item x="298"/>
        <item x="267"/>
        <item x="281"/>
        <item x="300"/>
        <item x="279"/>
        <item x="256"/>
        <item x="284"/>
        <item x="304"/>
        <item x="287"/>
        <item x="289"/>
        <item x="303"/>
        <item x="292"/>
        <item x="306"/>
        <item x="295"/>
        <item x="297"/>
        <item x="308"/>
        <item x="299"/>
        <item x="301"/>
        <item x="302"/>
        <item x="305"/>
        <item x="307"/>
        <item x="227"/>
        <item t="default"/>
      </items>
    </pivotField>
    <pivotField showAll="0"/>
    <pivotField showAll="0"/>
    <pivotField showAll="0">
      <items count="304">
        <item x="1"/>
        <item x="2"/>
        <item x="0"/>
        <item x="4"/>
        <item x="3"/>
        <item x="6"/>
        <item x="5"/>
        <item x="8"/>
        <item x="9"/>
        <item x="7"/>
        <item x="11"/>
        <item x="12"/>
        <item x="10"/>
        <item x="14"/>
        <item x="15"/>
        <item x="13"/>
        <item x="17"/>
        <item x="19"/>
        <item x="16"/>
        <item x="20"/>
        <item x="18"/>
        <item x="22"/>
        <item x="24"/>
        <item x="21"/>
        <item x="25"/>
        <item x="27"/>
        <item x="23"/>
        <item x="30"/>
        <item x="28"/>
        <item x="33"/>
        <item x="26"/>
        <item x="36"/>
        <item x="31"/>
        <item x="39"/>
        <item x="34"/>
        <item x="29"/>
        <item x="42"/>
        <item x="37"/>
        <item x="32"/>
        <item x="40"/>
        <item x="35"/>
        <item x="43"/>
        <item x="38"/>
        <item x="49"/>
        <item x="45"/>
        <item x="41"/>
        <item x="52"/>
        <item x="47"/>
        <item x="55"/>
        <item x="44"/>
        <item x="58"/>
        <item x="50"/>
        <item x="46"/>
        <item x="61"/>
        <item x="53"/>
        <item x="64"/>
        <item x="56"/>
        <item x="67"/>
        <item x="48"/>
        <item x="70"/>
        <item x="51"/>
        <item x="72"/>
        <item x="59"/>
        <item x="54"/>
        <item x="62"/>
        <item x="65"/>
        <item x="57"/>
        <item x="68"/>
        <item x="81"/>
        <item x="60"/>
        <item x="86"/>
        <item x="63"/>
        <item x="89"/>
        <item x="73"/>
        <item x="66"/>
        <item x="75"/>
        <item x="92"/>
        <item x="95"/>
        <item x="77"/>
        <item x="97"/>
        <item x="69"/>
        <item x="100"/>
        <item x="71"/>
        <item x="79"/>
        <item x="105"/>
        <item x="74"/>
        <item x="82"/>
        <item x="108"/>
        <item x="84"/>
        <item x="76"/>
        <item x="113"/>
        <item x="87"/>
        <item x="116"/>
        <item x="119"/>
        <item x="90"/>
        <item x="78"/>
        <item x="80"/>
        <item x="123"/>
        <item x="93"/>
        <item x="126"/>
        <item x="83"/>
        <item x="130"/>
        <item x="98"/>
        <item x="133"/>
        <item x="85"/>
        <item x="136"/>
        <item x="101"/>
        <item x="143"/>
        <item x="103"/>
        <item x="88"/>
        <item x="106"/>
        <item x="109"/>
        <item x="91"/>
        <item x="94"/>
        <item x="111"/>
        <item x="96"/>
        <item x="114"/>
        <item x="117"/>
        <item x="99"/>
        <item x="150"/>
        <item x="102"/>
        <item x="152"/>
        <item x="104"/>
        <item x="121"/>
        <item x="156"/>
        <item x="107"/>
        <item x="124"/>
        <item x="159"/>
        <item x="127"/>
        <item x="110"/>
        <item x="131"/>
        <item x="162"/>
        <item x="134"/>
        <item x="112"/>
        <item x="137"/>
        <item x="115"/>
        <item x="139"/>
        <item x="167"/>
        <item x="141"/>
        <item x="118"/>
        <item x="169"/>
        <item x="144"/>
        <item x="120"/>
        <item x="173"/>
        <item x="122"/>
        <item x="146"/>
        <item x="125"/>
        <item x="128"/>
        <item x="129"/>
        <item x="177"/>
        <item x="132"/>
        <item x="180"/>
        <item x="182"/>
        <item x="135"/>
        <item x="138"/>
        <item x="153"/>
        <item x="185"/>
        <item x="140"/>
        <item x="186"/>
        <item x="157"/>
        <item x="189"/>
        <item x="192"/>
        <item x="160"/>
        <item x="195"/>
        <item x="142"/>
        <item x="196"/>
        <item x="163"/>
        <item x="199"/>
        <item x="145"/>
        <item x="202"/>
        <item x="165"/>
        <item x="205"/>
        <item x="147"/>
        <item x="170"/>
        <item x="172"/>
        <item x="148"/>
        <item x="181"/>
        <item x="174"/>
        <item x="178"/>
        <item x="175"/>
        <item x="151"/>
        <item x="149"/>
        <item x="187"/>
        <item x="154"/>
        <item x="190"/>
        <item x="155"/>
        <item x="193"/>
        <item x="216"/>
        <item x="197"/>
        <item x="158"/>
        <item x="200"/>
        <item x="220"/>
        <item x="203"/>
        <item x="161"/>
        <item x="206"/>
        <item x="208"/>
        <item x="223"/>
        <item x="164"/>
        <item x="179"/>
        <item x="183"/>
        <item x="226"/>
        <item x="166"/>
        <item x="168"/>
        <item x="184"/>
        <item x="176"/>
        <item x="188"/>
        <item x="194"/>
        <item x="191"/>
        <item x="171"/>
        <item x="212"/>
        <item x="198"/>
        <item x="214"/>
        <item x="229"/>
        <item x="201"/>
        <item x="217"/>
        <item x="204"/>
        <item x="207"/>
        <item x="209"/>
        <item x="232"/>
        <item x="221"/>
        <item x="235"/>
        <item x="224"/>
        <item x="211"/>
        <item x="227"/>
        <item x="213"/>
        <item x="215"/>
        <item x="240"/>
        <item x="218"/>
        <item x="219"/>
        <item x="230"/>
        <item x="222"/>
        <item x="233"/>
        <item x="225"/>
        <item x="236"/>
        <item x="247"/>
        <item x="250"/>
        <item x="228"/>
        <item x="231"/>
        <item x="253"/>
        <item x="234"/>
        <item x="238"/>
        <item x="241"/>
        <item x="243"/>
        <item x="258"/>
        <item x="245"/>
        <item x="248"/>
        <item x="261"/>
        <item x="251"/>
        <item x="237"/>
        <item x="239"/>
        <item x="264"/>
        <item x="242"/>
        <item x="254"/>
        <item x="244"/>
        <item x="256"/>
        <item x="246"/>
        <item x="269"/>
        <item x="249"/>
        <item x="259"/>
        <item x="272"/>
        <item x="262"/>
        <item x="252"/>
        <item x="275"/>
        <item x="265"/>
        <item x="255"/>
        <item x="278"/>
        <item x="257"/>
        <item x="267"/>
        <item x="281"/>
        <item x="284"/>
        <item x="260"/>
        <item x="270"/>
        <item x="287"/>
        <item x="263"/>
        <item x="290"/>
        <item x="273"/>
        <item x="292"/>
        <item x="266"/>
        <item x="276"/>
        <item x="295"/>
        <item x="279"/>
        <item x="298"/>
        <item x="268"/>
        <item x="301"/>
        <item x="282"/>
        <item x="271"/>
        <item x="285"/>
        <item x="274"/>
        <item x="288"/>
        <item x="277"/>
        <item x="293"/>
        <item x="280"/>
        <item x="296"/>
        <item x="299"/>
        <item x="283"/>
        <item x="302"/>
        <item x="286"/>
        <item x="289"/>
        <item x="291"/>
        <item x="294"/>
        <item x="297"/>
        <item x="300"/>
        <item x="210"/>
        <item t="default"/>
      </items>
    </pivotField>
    <pivotField showAll="0">
      <items count="119">
        <item x="1"/>
        <item x="2"/>
        <item x="3"/>
        <item x="4"/>
        <item x="5"/>
        <item x="6"/>
        <item x="7"/>
        <item x="8"/>
        <item x="10"/>
        <item x="9"/>
        <item x="11"/>
        <item x="12"/>
        <item x="13"/>
        <item x="14"/>
        <item x="15"/>
        <item x="16"/>
        <item x="17"/>
        <item x="18"/>
        <item x="21"/>
        <item x="19"/>
        <item x="20"/>
        <item x="22"/>
        <item x="23"/>
        <item x="24"/>
        <item x="27"/>
        <item x="25"/>
        <item x="26"/>
        <item x="28"/>
        <item x="29"/>
        <item x="30"/>
        <item x="31"/>
        <item x="32"/>
        <item x="33"/>
        <item x="34"/>
        <item x="35"/>
        <item x="38"/>
        <item x="36"/>
        <item x="37"/>
        <item x="39"/>
        <item x="40"/>
        <item x="41"/>
        <item x="44"/>
        <item x="42"/>
        <item x="43"/>
        <item x="45"/>
        <item x="46"/>
        <item x="47"/>
        <item x="50"/>
        <item x="48"/>
        <item x="49"/>
        <item x="51"/>
        <item x="52"/>
        <item x="53"/>
        <item x="54"/>
        <item x="55"/>
        <item x="56"/>
        <item x="57"/>
        <item x="58"/>
        <item x="59"/>
        <item x="62"/>
        <item x="60"/>
        <item x="61"/>
        <item x="63"/>
        <item x="64"/>
        <item x="65"/>
        <item x="66"/>
        <item x="68"/>
        <item x="67"/>
        <item x="69"/>
        <item x="70"/>
        <item x="71"/>
        <item x="73"/>
        <item x="72"/>
        <item x="74"/>
        <item x="75"/>
        <item x="76"/>
        <item x="79"/>
        <item x="77"/>
        <item x="78"/>
        <item x="80"/>
        <item x="82"/>
        <item x="84"/>
        <item x="81"/>
        <item x="85"/>
        <item x="83"/>
        <item x="86"/>
        <item x="87"/>
        <item x="90"/>
        <item x="88"/>
        <item x="89"/>
        <item x="91"/>
        <item x="93"/>
        <item x="96"/>
        <item x="94"/>
        <item x="97"/>
        <item x="95"/>
        <item x="98"/>
        <item x="101"/>
        <item x="99"/>
        <item x="100"/>
        <item x="102"/>
        <item x="104"/>
        <item x="103"/>
        <item x="107"/>
        <item x="105"/>
        <item x="106"/>
        <item x="108"/>
        <item x="109"/>
        <item x="110"/>
        <item x="113"/>
        <item x="111"/>
        <item x="112"/>
        <item x="114"/>
        <item x="115"/>
        <item x="116"/>
        <item x="117"/>
        <item x="92"/>
        <item x="0"/>
        <item t="default"/>
      </items>
    </pivotField>
    <pivotField axis="axisPage" dataField="1" showAll="0">
      <items count="275">
        <item x="1"/>
        <item x="0"/>
        <item x="3"/>
        <item x="4"/>
        <item x="5"/>
        <item x="2"/>
        <item x="7"/>
        <item x="6"/>
        <item x="9"/>
        <item x="10"/>
        <item x="8"/>
        <item x="12"/>
        <item x="13"/>
        <item x="11"/>
        <item x="15"/>
        <item x="16"/>
        <item x="18"/>
        <item x="14"/>
        <item x="19"/>
        <item x="17"/>
        <item x="25"/>
        <item x="27"/>
        <item x="21"/>
        <item x="23"/>
        <item x="30"/>
        <item x="20"/>
        <item x="37"/>
        <item x="22"/>
        <item x="41"/>
        <item x="28"/>
        <item x="46"/>
        <item x="31"/>
        <item x="33"/>
        <item x="35"/>
        <item x="24"/>
        <item x="26"/>
        <item x="29"/>
        <item x="32"/>
        <item x="34"/>
        <item x="39"/>
        <item x="42"/>
        <item x="44"/>
        <item x="36"/>
        <item x="86"/>
        <item x="47"/>
        <item x="84"/>
        <item x="61"/>
        <item x="89"/>
        <item x="64"/>
        <item x="99"/>
        <item x="38"/>
        <item x="40"/>
        <item x="49"/>
        <item x="51"/>
        <item x="43"/>
        <item x="76"/>
        <item x="102"/>
        <item x="45"/>
        <item x="53"/>
        <item x="79"/>
        <item x="48"/>
        <item x="50"/>
        <item x="55"/>
        <item x="105"/>
        <item x="108"/>
        <item x="57"/>
        <item x="52"/>
        <item x="59"/>
        <item x="122"/>
        <item x="117"/>
        <item x="62"/>
        <item x="120"/>
        <item x="65"/>
        <item x="54"/>
        <item x="67"/>
        <item x="70"/>
        <item x="56"/>
        <item x="72"/>
        <item x="58"/>
        <item x="114"/>
        <item x="74"/>
        <item x="60"/>
        <item x="77"/>
        <item x="87"/>
        <item x="85"/>
        <item x="63"/>
        <item x="80"/>
        <item x="66"/>
        <item x="82"/>
        <item x="91"/>
        <item x="93"/>
        <item x="95"/>
        <item x="69"/>
        <item x="68"/>
        <item x="97"/>
        <item x="100"/>
        <item x="71"/>
        <item x="137"/>
        <item x="139"/>
        <item x="103"/>
        <item x="168"/>
        <item x="73"/>
        <item x="75"/>
        <item x="78"/>
        <item x="134"/>
        <item x="142"/>
        <item x="106"/>
        <item x="109"/>
        <item x="83"/>
        <item x="159"/>
        <item x="131"/>
        <item x="88"/>
        <item x="81"/>
        <item x="111"/>
        <item x="90"/>
        <item x="144"/>
        <item x="92"/>
        <item x="157"/>
        <item x="118"/>
        <item x="171"/>
        <item x="94"/>
        <item x="115"/>
        <item x="96"/>
        <item x="98"/>
        <item x="101"/>
        <item x="165"/>
        <item x="124"/>
        <item x="149"/>
        <item x="104"/>
        <item x="107"/>
        <item x="126"/>
        <item x="154"/>
        <item x="110"/>
        <item x="151"/>
        <item x="175"/>
        <item x="112"/>
        <item x="116"/>
        <item x="113"/>
        <item x="178"/>
        <item x="119"/>
        <item x="121"/>
        <item x="135"/>
        <item x="129"/>
        <item x="133"/>
        <item x="140"/>
        <item x="186"/>
        <item x="194"/>
        <item x="198"/>
        <item x="123"/>
        <item x="201"/>
        <item x="125"/>
        <item x="192"/>
        <item x="160"/>
        <item x="169"/>
        <item x="181"/>
        <item x="170"/>
        <item x="167"/>
        <item x="158"/>
        <item x="145"/>
        <item x="163"/>
        <item x="172"/>
        <item x="147"/>
        <item x="127"/>
        <item x="166"/>
        <item x="184"/>
        <item x="190"/>
        <item x="130"/>
        <item x="132"/>
        <item x="128"/>
        <item x="155"/>
        <item x="195"/>
        <item x="193"/>
        <item x="196"/>
        <item x="199"/>
        <item x="176"/>
        <item x="136"/>
        <item x="187"/>
        <item x="138"/>
        <item x="179"/>
        <item x="189"/>
        <item x="141"/>
        <item x="152"/>
        <item x="191"/>
        <item x="156"/>
        <item x="161"/>
        <item x="143"/>
        <item x="162"/>
        <item x="182"/>
        <item x="197"/>
        <item x="146"/>
        <item x="164"/>
        <item x="203"/>
        <item x="173"/>
        <item x="200"/>
        <item x="185"/>
        <item x="148"/>
        <item x="205"/>
        <item x="150"/>
        <item x="174"/>
        <item x="153"/>
        <item x="177"/>
        <item x="202"/>
        <item x="180"/>
        <item x="206"/>
        <item x="183"/>
        <item x="204"/>
        <item x="208"/>
        <item x="210"/>
        <item x="209"/>
        <item x="211"/>
        <item x="207"/>
        <item x="215"/>
        <item x="218"/>
        <item x="213"/>
        <item x="216"/>
        <item x="219"/>
        <item x="223"/>
        <item x="228"/>
        <item x="212"/>
        <item x="214"/>
        <item x="225"/>
        <item x="217"/>
        <item x="221"/>
        <item x="234"/>
        <item x="220"/>
        <item x="222"/>
        <item x="229"/>
        <item x="231"/>
        <item x="226"/>
        <item x="237"/>
        <item x="227"/>
        <item x="224"/>
        <item x="230"/>
        <item x="235"/>
        <item x="232"/>
        <item x="238"/>
        <item x="233"/>
        <item x="236"/>
        <item x="240"/>
        <item x="241"/>
        <item x="239"/>
        <item x="243"/>
        <item x="244"/>
        <item x="246"/>
        <item x="242"/>
        <item x="247"/>
        <item x="245"/>
        <item x="251"/>
        <item x="252"/>
        <item x="250"/>
        <item x="254"/>
        <item x="249"/>
        <item x="248"/>
        <item x="253"/>
        <item x="256"/>
        <item x="265"/>
        <item x="259"/>
        <item x="257"/>
        <item x="262"/>
        <item x="255"/>
        <item x="260"/>
        <item x="268"/>
        <item x="270"/>
        <item x="266"/>
        <item x="271"/>
        <item x="258"/>
        <item x="263"/>
        <item x="267"/>
        <item x="272"/>
        <item x="269"/>
        <item x="261"/>
        <item x="264"/>
        <item x="273"/>
        <item x="188"/>
        <item t="default"/>
      </items>
    </pivotField>
    <pivotField showAll="0"/>
    <pivotField showAll="0"/>
    <pivotField showAll="0"/>
    <pivotField showAll="0"/>
    <pivotField showAll="0"/>
    <pivotField showAll="0"/>
    <pivotField showAll="0"/>
    <pivotField showAll="0"/>
  </pivotFields>
  <rowFields count="1">
    <field x="1"/>
  </rowFields>
  <rowItems count="8">
    <i>
      <x v="4"/>
    </i>
    <i>
      <x v="5"/>
    </i>
    <i>
      <x v="6"/>
    </i>
    <i>
      <x v="7"/>
    </i>
    <i>
      <x v="8"/>
    </i>
    <i>
      <x v="9"/>
    </i>
    <i>
      <x v="10"/>
    </i>
    <i t="grand">
      <x/>
    </i>
  </rowItems>
  <colItems count="1">
    <i/>
  </colItems>
  <pageFields count="2">
    <pageField fld="0" item="1" hier="-1"/>
    <pageField fld="21" hier="-1"/>
  </pageFields>
  <dataFields count="1">
    <dataField name="Sum of Fuel and light" fld="2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xml><?xml version="1.0" encoding="utf-8"?>
<pivotTableDefinition xmlns="http://schemas.openxmlformats.org/spreadsheetml/2006/main" name="PivotTable2"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D17" firstHeaderRow="1" firstDataRow="2" firstDataCol="1" rowPageCount="1" colPageCount="1"/>
  <pivotFields count="30">
    <pivotField showAll="0"/>
    <pivotField axis="axisCol" showAll="0">
      <items count="3">
        <item x="0"/>
        <item x="1"/>
        <item t="default"/>
      </items>
    </pivotField>
    <pivotField axis="axisRow" showAll="0">
      <items count="13">
        <item x="7"/>
        <item x="8"/>
        <item x="9"/>
        <item x="10"/>
        <item x="11"/>
        <item x="0"/>
        <item x="1"/>
        <item x="2"/>
        <item x="3"/>
        <item x="4"/>
        <item x="5"/>
        <item x="6"/>
        <item t="default"/>
      </items>
    </pivotField>
    <pivotField showAll="0">
      <items count="11">
        <item x="0"/>
        <item x="1"/>
        <item x="2"/>
        <item x="3"/>
        <item x="4"/>
        <item x="5"/>
        <item x="6"/>
        <item x="9"/>
        <item x="7"/>
        <item x="8"/>
        <item t="default"/>
      </items>
    </pivotField>
    <pivotField showAll="0">
      <items count="12">
        <item x="2"/>
        <item x="8"/>
        <item x="6"/>
        <item x="3"/>
        <item x="9"/>
        <item x="5"/>
        <item x="7"/>
        <item x="4"/>
        <item x="1"/>
        <item x="10"/>
        <item x="0"/>
        <item t="default"/>
      </items>
    </pivotField>
    <pivotField showAll="0">
      <items count="11">
        <item x="2"/>
        <item x="8"/>
        <item x="3"/>
        <item x="0"/>
        <item x="4"/>
        <item x="9"/>
        <item x="1"/>
        <item x="5"/>
        <item x="6"/>
        <item x="7"/>
        <item t="default"/>
      </items>
    </pivotField>
    <pivotField showAll="0">
      <items count="12">
        <item x="0"/>
        <item x="1"/>
        <item x="2"/>
        <item x="3"/>
        <item x="4"/>
        <item x="5"/>
        <item x="6"/>
        <item x="7"/>
        <item x="8"/>
        <item x="9"/>
        <item x="10"/>
        <item t="default"/>
      </items>
    </pivotField>
    <pivotField showAll="0">
      <items count="13">
        <item x="11"/>
        <item x="10"/>
        <item x="9"/>
        <item x="8"/>
        <item x="4"/>
        <item x="7"/>
        <item x="6"/>
        <item x="3"/>
        <item x="5"/>
        <item x="2"/>
        <item x="1"/>
        <item x="0"/>
        <item t="default"/>
      </items>
    </pivotField>
    <pivotField showAll="0">
      <items count="12">
        <item x="6"/>
        <item x="7"/>
        <item x="5"/>
        <item x="4"/>
        <item x="3"/>
        <item x="8"/>
        <item x="0"/>
        <item x="10"/>
        <item x="2"/>
        <item x="1"/>
        <item x="9"/>
        <item t="default"/>
      </items>
    </pivotField>
    <pivotField showAll="0">
      <items count="13">
        <item x="8"/>
        <item x="9"/>
        <item x="7"/>
        <item x="10"/>
        <item x="6"/>
        <item x="11"/>
        <item x="1"/>
        <item x="0"/>
        <item x="5"/>
        <item x="2"/>
        <item x="3"/>
        <item x="4"/>
        <item t="default"/>
      </items>
    </pivotField>
    <pivotField showAll="0">
      <items count="12">
        <item x="0"/>
        <item x="1"/>
        <item x="2"/>
        <item x="3"/>
        <item x="4"/>
        <item x="5"/>
        <item x="6"/>
        <item x="7"/>
        <item x="8"/>
        <item x="9"/>
        <item x="10"/>
        <item t="default"/>
      </items>
    </pivotField>
    <pivotField showAll="0">
      <items count="11">
        <item x="0"/>
        <item x="1"/>
        <item x="2"/>
        <item x="7"/>
        <item x="8"/>
        <item x="3"/>
        <item x="6"/>
        <item x="4"/>
        <item x="5"/>
        <item x="9"/>
        <item t="default"/>
      </items>
    </pivotField>
    <pivotField showAll="0">
      <items count="12">
        <item x="0"/>
        <item x="1"/>
        <item x="2"/>
        <item x="3"/>
        <item x="4"/>
        <item x="5"/>
        <item x="6"/>
        <item x="7"/>
        <item x="8"/>
        <item x="9"/>
        <item x="10"/>
        <item t="default"/>
      </items>
    </pivotField>
    <pivotField showAll="0">
      <items count="12">
        <item x="0"/>
        <item x="1"/>
        <item x="2"/>
        <item x="3"/>
        <item x="4"/>
        <item x="5"/>
        <item x="6"/>
        <item x="7"/>
        <item x="8"/>
        <item x="9"/>
        <item x="10"/>
        <item t="default"/>
      </items>
    </pivotField>
    <pivotField showAll="0">
      <items count="12">
        <item x="0"/>
        <item x="1"/>
        <item x="2"/>
        <item x="3"/>
        <item x="4"/>
        <item x="5"/>
        <item x="6"/>
        <item x="7"/>
        <item x="8"/>
        <item x="9"/>
        <item x="10"/>
        <item t="default"/>
      </items>
    </pivotField>
    <pivotField axis="axisPage" dataField="1" showAll="0">
      <items count="12">
        <item x="0"/>
        <item x="1"/>
        <item x="6"/>
        <item x="2"/>
        <item x="7"/>
        <item x="8"/>
        <item x="3"/>
        <item x="9"/>
        <item x="5"/>
        <item x="10"/>
        <item x="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13">
    <i>
      <x/>
    </i>
    <i>
      <x v="1"/>
    </i>
    <i>
      <x v="2"/>
    </i>
    <i>
      <x v="3"/>
    </i>
    <i>
      <x v="4"/>
    </i>
    <i>
      <x v="5"/>
    </i>
    <i>
      <x v="6"/>
    </i>
    <i>
      <x v="7"/>
    </i>
    <i>
      <x v="8"/>
    </i>
    <i>
      <x v="9"/>
    </i>
    <i>
      <x v="10"/>
    </i>
    <i>
      <x v="11"/>
    </i>
    <i t="grand">
      <x/>
    </i>
  </rowItems>
  <colFields count="1">
    <field x="1"/>
  </colFields>
  <colItems count="3">
    <i>
      <x/>
    </i>
    <i>
      <x v="1"/>
    </i>
    <i t="grand">
      <x/>
    </i>
  </colItems>
  <pageFields count="1">
    <pageField fld="15" hier="-1"/>
  </pageFields>
  <dataFields count="1">
    <dataField name="Sum of Food and beverages" fld="15" baseField="2"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22:M35" firstHeaderRow="0" firstDataRow="1" firstDataCol="1"/>
  <pivotFields count="30">
    <pivotField showAll="0"/>
    <pivotField showAll="0">
      <items count="3">
        <item x="0"/>
        <item x="1"/>
        <item t="default"/>
      </items>
    </pivotField>
    <pivotField axis="axisRow" showAll="0">
      <items count="13">
        <item x="7"/>
        <item x="8"/>
        <item x="9"/>
        <item x="10"/>
        <item x="11"/>
        <item x="0"/>
        <item x="1"/>
        <item x="2"/>
        <item x="3"/>
        <item x="4"/>
        <item x="5"/>
        <item x="6"/>
        <item t="default"/>
      </items>
    </pivotField>
    <pivotField dataField="1" showAll="0">
      <items count="11">
        <item x="0"/>
        <item x="1"/>
        <item x="2"/>
        <item x="3"/>
        <item x="4"/>
        <item x="5"/>
        <item x="6"/>
        <item x="9"/>
        <item x="7"/>
        <item x="8"/>
        <item t="default"/>
      </items>
    </pivotField>
    <pivotField dataField="1" showAll="0">
      <items count="12">
        <item x="2"/>
        <item x="8"/>
        <item x="6"/>
        <item x="3"/>
        <item x="9"/>
        <item x="5"/>
        <item x="7"/>
        <item x="4"/>
        <item x="1"/>
        <item x="10"/>
        <item x="0"/>
        <item t="default"/>
      </items>
    </pivotField>
    <pivotField dataField="1" showAll="0">
      <items count="11">
        <item x="2"/>
        <item x="8"/>
        <item x="3"/>
        <item x="0"/>
        <item x="4"/>
        <item x="9"/>
        <item x="1"/>
        <item x="5"/>
        <item x="6"/>
        <item x="7"/>
        <item t="default"/>
      </items>
    </pivotField>
    <pivotField dataField="1" showAll="0">
      <items count="12">
        <item x="0"/>
        <item x="1"/>
        <item x="2"/>
        <item x="3"/>
        <item x="4"/>
        <item x="5"/>
        <item x="6"/>
        <item x="7"/>
        <item x="8"/>
        <item x="9"/>
        <item x="10"/>
        <item t="default"/>
      </items>
    </pivotField>
    <pivotField dataField="1" showAll="0">
      <items count="13">
        <item x="11"/>
        <item x="10"/>
        <item x="9"/>
        <item x="8"/>
        <item x="4"/>
        <item x="7"/>
        <item x="6"/>
        <item x="3"/>
        <item x="5"/>
        <item x="2"/>
        <item x="1"/>
        <item x="0"/>
        <item t="default"/>
      </items>
    </pivotField>
    <pivotField dataField="1" showAll="0">
      <items count="12">
        <item x="6"/>
        <item x="7"/>
        <item x="5"/>
        <item x="4"/>
        <item x="3"/>
        <item x="8"/>
        <item x="0"/>
        <item x="10"/>
        <item x="2"/>
        <item x="1"/>
        <item x="9"/>
        <item t="default"/>
      </items>
    </pivotField>
    <pivotField dataField="1" showAll="0">
      <items count="13">
        <item x="8"/>
        <item x="9"/>
        <item x="7"/>
        <item x="10"/>
        <item x="6"/>
        <item x="11"/>
        <item x="1"/>
        <item x="0"/>
        <item x="5"/>
        <item x="2"/>
        <item x="3"/>
        <item x="4"/>
        <item t="default"/>
      </items>
    </pivotField>
    <pivotField dataField="1" showAll="0">
      <items count="12">
        <item x="0"/>
        <item x="1"/>
        <item x="2"/>
        <item x="3"/>
        <item x="4"/>
        <item x="5"/>
        <item x="6"/>
        <item x="7"/>
        <item x="8"/>
        <item x="9"/>
        <item x="10"/>
        <item t="default"/>
      </items>
    </pivotField>
    <pivotField dataField="1" showAll="0">
      <items count="11">
        <item x="0"/>
        <item x="1"/>
        <item x="2"/>
        <item x="7"/>
        <item x="8"/>
        <item x="3"/>
        <item x="6"/>
        <item x="4"/>
        <item x="5"/>
        <item x="9"/>
        <item t="default"/>
      </items>
    </pivotField>
    <pivotField dataField="1" showAll="0">
      <items count="12">
        <item x="0"/>
        <item x="1"/>
        <item x="2"/>
        <item x="3"/>
        <item x="4"/>
        <item x="5"/>
        <item x="6"/>
        <item x="7"/>
        <item x="8"/>
        <item x="9"/>
        <item x="10"/>
        <item t="default"/>
      </items>
    </pivotField>
    <pivotField dataField="1" showAll="0">
      <items count="12">
        <item x="0"/>
        <item x="1"/>
        <item x="2"/>
        <item x="3"/>
        <item x="4"/>
        <item x="5"/>
        <item x="6"/>
        <item x="7"/>
        <item x="8"/>
        <item x="9"/>
        <item x="10"/>
        <item t="default"/>
      </items>
    </pivotField>
    <pivotField dataField="1" showAll="0">
      <items count="12">
        <item x="0"/>
        <item x="1"/>
        <item x="2"/>
        <item x="3"/>
        <item x="4"/>
        <item x="5"/>
        <item x="6"/>
        <item x="7"/>
        <item x="8"/>
        <item x="9"/>
        <item x="10"/>
        <item t="default"/>
      </items>
    </pivotField>
    <pivotField showAll="0">
      <items count="12">
        <item x="0"/>
        <item x="1"/>
        <item x="6"/>
        <item x="2"/>
        <item x="7"/>
        <item x="8"/>
        <item x="3"/>
        <item x="9"/>
        <item x="5"/>
        <item x="10"/>
        <item x="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13">
    <i>
      <x/>
    </i>
    <i>
      <x v="1"/>
    </i>
    <i>
      <x v="2"/>
    </i>
    <i>
      <x v="3"/>
    </i>
    <i>
      <x v="4"/>
    </i>
    <i>
      <x v="5"/>
    </i>
    <i>
      <x v="6"/>
    </i>
    <i>
      <x v="7"/>
    </i>
    <i>
      <x v="8"/>
    </i>
    <i>
      <x v="9"/>
    </i>
    <i>
      <x v="10"/>
    </i>
    <i>
      <x v="11"/>
    </i>
    <i t="grand">
      <x/>
    </i>
  </rowItems>
  <colFields count="1">
    <field x="-2"/>
  </colFields>
  <colItems count="12">
    <i>
      <x/>
    </i>
    <i i="1">
      <x v="1"/>
    </i>
    <i i="2">
      <x v="2"/>
    </i>
    <i i="3">
      <x v="3"/>
    </i>
    <i i="4">
      <x v="4"/>
    </i>
    <i i="5">
      <x v="5"/>
    </i>
    <i i="6">
      <x v="6"/>
    </i>
    <i i="7">
      <x v="7"/>
    </i>
    <i i="8">
      <x v="8"/>
    </i>
    <i i="9">
      <x v="9"/>
    </i>
    <i i="10">
      <x v="10"/>
    </i>
    <i i="11">
      <x v="11"/>
    </i>
  </colItems>
  <dataFields count="12">
    <dataField name="Sum of Prepared meals, snacks, sweets etc." fld="14" baseField="0" baseItem="0"/>
    <dataField name="Sum of Cereals and products" fld="3" baseField="0" baseItem="0"/>
    <dataField name="Sum of Meat and fish" fld="4" baseField="0" baseItem="0"/>
    <dataField name="Sum of Egg" fld="5" baseField="0" baseItem="0"/>
    <dataField name="Sum of Milk and products" fld="6" baseField="0" baseItem="0"/>
    <dataField name="Sum of Fruits" fld="8" baseField="0" baseItem="0"/>
    <dataField name="Sum of Sugar and Confectionery" fld="11" baseField="0" baseItem="0"/>
    <dataField name="Sum of Pulses and products" fld="10" baseField="0" baseItem="0"/>
    <dataField name="Sum of Vegetables" fld="9" baseField="0" baseItem="0"/>
    <dataField name="Sum of Non-alcoholic beverages" fld="13" baseField="0" baseItem="0"/>
    <dataField name="Sum of Oils and fats" fld="7" baseField="0" baseItem="0"/>
    <dataField name="Sum of Spices" fld="1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5.xml><?xml version="1.0" encoding="utf-8"?>
<pivotTableDefinition xmlns="http://schemas.openxmlformats.org/spreadsheetml/2006/main" name="PivotTable4"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27:F30" firstHeaderRow="0" firstDataRow="1" firstDataCol="1"/>
  <pivotFields count="14">
    <pivotField axis="axisRow" showAll="0" sortType="descending">
      <items count="3">
        <item x="0"/>
        <item x="1"/>
        <item t="default"/>
      </items>
    </pivotField>
    <pivotField showAll="0"/>
    <pivotField showAll="0"/>
    <pivotField showAll="0"/>
    <pivotField showAll="0"/>
    <pivotField showAll="0"/>
    <pivotField showAll="0"/>
    <pivotField showAll="0"/>
    <pivotField showAll="0"/>
    <pivotField dataField="1" showAll="0">
      <items count="24">
        <item x="21"/>
        <item x="22"/>
        <item x="10"/>
        <item x="11"/>
        <item x="9"/>
        <item x="15"/>
        <item x="20"/>
        <item x="17"/>
        <item x="13"/>
        <item x="5"/>
        <item x="4"/>
        <item x="14"/>
        <item x="2"/>
        <item x="3"/>
        <item x="7"/>
        <item x="12"/>
        <item x="6"/>
        <item x="16"/>
        <item x="1"/>
        <item x="8"/>
        <item x="19"/>
        <item x="18"/>
        <item x="0"/>
        <item t="default"/>
      </items>
    </pivotField>
    <pivotField dataField="1" showAll="0">
      <items count="24">
        <item x="13"/>
        <item x="2"/>
        <item x="8"/>
        <item x="21"/>
        <item x="11"/>
        <item x="15"/>
        <item x="18"/>
        <item x="20"/>
        <item x="14"/>
        <item x="7"/>
        <item x="5"/>
        <item x="17"/>
        <item x="16"/>
        <item x="6"/>
        <item x="10"/>
        <item x="4"/>
        <item x="12"/>
        <item x="9"/>
        <item x="1"/>
        <item x="3"/>
        <item x="19"/>
        <item x="22"/>
        <item x="0"/>
        <item t="default"/>
      </items>
    </pivotField>
    <pivotField dataField="1" showAll="0">
      <items count="24">
        <item x="12"/>
        <item x="3"/>
        <item x="14"/>
        <item x="13"/>
        <item x="4"/>
        <item x="17"/>
        <item x="15"/>
        <item x="18"/>
        <item x="19"/>
        <item x="1"/>
        <item x="5"/>
        <item x="9"/>
        <item x="2"/>
        <item x="20"/>
        <item x="16"/>
        <item x="8"/>
        <item x="6"/>
        <item x="11"/>
        <item x="7"/>
        <item x="10"/>
        <item x="21"/>
        <item x="22"/>
        <item x="0"/>
        <item t="default"/>
      </items>
    </pivotField>
    <pivotField dataField="1" showAll="0"/>
    <pivotField dataField="1" showAll="0"/>
  </pivotFields>
  <rowFields count="1">
    <field x="0"/>
  </rowFields>
  <rowItems count="3">
    <i>
      <x/>
    </i>
    <i>
      <x v="1"/>
    </i>
    <i t="grand">
      <x/>
    </i>
  </rowItems>
  <colFields count="1">
    <field x="-2"/>
  </colFields>
  <colItems count="5">
    <i>
      <x/>
    </i>
    <i i="1">
      <x v="1"/>
    </i>
    <i i="2">
      <x v="2"/>
    </i>
    <i i="3">
      <x v="3"/>
    </i>
    <i i="4">
      <x v="4"/>
    </i>
  </colItems>
  <dataFields count="5">
    <dataField name="Average of % Change in Food and beverages" fld="9" subtotal="average" baseField="0" baseItem="1"/>
    <dataField name="Average of % Change in Housing" fld="10" subtotal="average" baseField="0" baseItem="0"/>
    <dataField name="Average of % Change in Fuel and light" fld="11" subtotal="average" baseField="0" baseItem="0"/>
    <dataField name="Average of % Change in Transport and communication" fld="13" subtotal="average" baseField="0" baseItem="0"/>
    <dataField name="Average of % Change in Health" fld="12" subtotal="average" baseField="0" baseItem="0"/>
  </dataFields>
  <formats count="14">
    <format dxfId="13">
      <pivotArea outline="0" collapsedLevelsAreSubtotals="1" fieldPosition="0"/>
    </format>
    <format dxfId="12">
      <pivotArea outline="0" collapsedLevelsAreSubtotals="1" fieldPosition="0"/>
    </format>
    <format dxfId="11">
      <pivotArea outline="0" collapsedLevelsAreSubtotals="1" fieldPosition="0"/>
    </format>
    <format dxfId="10">
      <pivotArea outline="0" collapsedLevelsAreSubtotals="1" fieldPosition="0"/>
    </format>
    <format dxfId="9">
      <pivotArea outline="0" collapsedLevelsAreSubtotals="1" fieldPosition="0"/>
    </format>
    <format dxfId="8">
      <pivotArea outline="0" collapsedLevelsAreSubtotals="1" fieldPosition="0"/>
    </format>
    <format dxfId="7">
      <pivotArea outline="0" collapsedLevelsAreSubtotals="1" fieldPosition="0"/>
    </format>
    <format dxfId="6">
      <pivotArea outline="0" collapsedLevelsAreSubtotals="1" fieldPosition="0"/>
    </format>
    <format dxfId="5">
      <pivotArea outline="0" collapsedLevelsAreSubtotals="1" fieldPosition="0"/>
    </format>
    <format dxfId="4">
      <pivotArea outline="0" collapsedLevelsAreSubtotals="1" fieldPosition="0"/>
    </format>
    <format dxfId="3">
      <pivotArea collapsedLevelsAreSubtotals="1" fieldPosition="0">
        <references count="1">
          <reference field="0" count="0"/>
        </references>
      </pivotArea>
    </format>
    <format dxfId="2">
      <pivotArea collapsedLevelsAreSubtotals="1" fieldPosition="0">
        <references count="1">
          <reference field="0" count="0"/>
        </references>
      </pivotArea>
    </format>
    <format dxfId="1">
      <pivotArea grandRow="1" outline="0" collapsedLevelsAreSubtotals="1" fieldPosition="0"/>
    </format>
    <format dxfId="0">
      <pivotArea grandRow="1"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rinterSettings" Target="../printerSettings/printerSettings1.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drawing" Target="../drawings/drawing3.xml"/><Relationship Id="rId3" Type="http://schemas.openxmlformats.org/officeDocument/2006/relationships/pivotTable" Target="../pivotTables/pivotTable9.xml"/><Relationship Id="rId7" Type="http://schemas.openxmlformats.org/officeDocument/2006/relationships/printerSettings" Target="../printerSettings/printerSettings3.bin"/><Relationship Id="rId2" Type="http://schemas.openxmlformats.org/officeDocument/2006/relationships/pivotTable" Target="../pivotTables/pivotTable8.xml"/><Relationship Id="rId1" Type="http://schemas.openxmlformats.org/officeDocument/2006/relationships/pivotTable" Target="../pivotTables/pivotTable7.xml"/><Relationship Id="rId6" Type="http://schemas.openxmlformats.org/officeDocument/2006/relationships/pivotTable" Target="../pivotTables/pivotTable12.xml"/><Relationship Id="rId5" Type="http://schemas.openxmlformats.org/officeDocument/2006/relationships/pivotTable" Target="../pivotTables/pivotTable11.xml"/><Relationship Id="rId4" Type="http://schemas.openxmlformats.org/officeDocument/2006/relationships/pivotTable" Target="../pivotTables/pivotTable10.xml"/></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pivotTable" Target="../pivotTables/pivotTable14.xml"/><Relationship Id="rId1" Type="http://schemas.openxmlformats.org/officeDocument/2006/relationships/pivotTable" Target="../pivotTables/pivotTable13.xml"/><Relationship Id="rId4"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15.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E16"/>
  <sheetViews>
    <sheetView topLeftCell="N1" workbookViewId="0">
      <selection activeCell="Y13" sqref="Y13"/>
    </sheetView>
  </sheetViews>
  <sheetFormatPr defaultRowHeight="14.4" x14ac:dyDescent="0.3"/>
  <cols>
    <col min="1" max="1" width="30.44140625" customWidth="1"/>
    <col min="2" max="2" width="38" customWidth="1"/>
    <col min="3" max="3" width="28.6640625" customWidth="1"/>
    <col min="4" max="4" width="24.5546875" customWidth="1"/>
    <col min="5" max="5" width="12.6640625" customWidth="1"/>
    <col min="6" max="6" width="16.77734375" customWidth="1"/>
    <col min="7" max="7" width="28.5546875" customWidth="1"/>
    <col min="8" max="8" width="12" customWidth="1"/>
    <col min="9" max="9" width="23" customWidth="1"/>
    <col min="10" max="10" width="19.21875" customWidth="1"/>
    <col min="11" max="11" width="17.88671875" customWidth="1"/>
    <col min="12" max="12" width="10.44140625" customWidth="1"/>
    <col min="13" max="13" width="18.21875" customWidth="1"/>
    <col min="14" max="14" width="32.21875" customWidth="1"/>
    <col min="15" max="15" width="6.33203125" customWidth="1"/>
    <col min="16" max="16" width="10.44140625" customWidth="1"/>
    <col min="17" max="17" width="26.6640625" customWidth="1"/>
    <col min="18" max="18" width="6.33203125" customWidth="1"/>
    <col min="19" max="19" width="10.44140625" customWidth="1"/>
    <col min="20" max="20" width="20" customWidth="1"/>
    <col min="21" max="21" width="6.33203125" customWidth="1"/>
    <col min="22" max="22" width="10.44140625" customWidth="1"/>
    <col min="23" max="23" width="18.88671875" customWidth="1"/>
    <col min="24" max="24" width="6.33203125" customWidth="1"/>
    <col min="25" max="25" width="10.44140625" customWidth="1"/>
    <col min="26" max="26" width="33.21875" customWidth="1"/>
    <col min="27" max="27" width="12.88671875" customWidth="1"/>
    <col min="28" max="28" width="33.44140625" customWidth="1"/>
    <col min="29" max="29" width="31.109375" customWidth="1"/>
    <col min="30" max="30" width="16" customWidth="1"/>
    <col min="31" max="31" width="28.88671875" customWidth="1"/>
    <col min="32" max="269" width="18.21875" customWidth="1"/>
    <col min="270" max="270" width="10.77734375" customWidth="1"/>
    <col min="271" max="271" width="8" customWidth="1"/>
    <col min="272" max="272" width="10.21875" customWidth="1"/>
    <col min="273" max="273" width="8" customWidth="1"/>
    <col min="274" max="274" width="10.21875" customWidth="1"/>
    <col min="275" max="275" width="8" customWidth="1"/>
    <col min="276" max="276" width="10.21875" customWidth="1"/>
    <col min="277" max="277" width="6" customWidth="1"/>
    <col min="278" max="278" width="8.6640625" customWidth="1"/>
    <col min="279" max="280" width="8" customWidth="1"/>
    <col min="281" max="281" width="10.21875" customWidth="1"/>
    <col min="282" max="282" width="8" customWidth="1"/>
    <col min="283" max="283" width="10.21875" customWidth="1"/>
    <col min="284" max="285" width="8" customWidth="1"/>
    <col min="286" max="286" width="10.21875" customWidth="1"/>
    <col min="287" max="287" width="8" customWidth="1"/>
    <col min="288" max="288" width="10.21875" customWidth="1"/>
    <col min="289" max="289" width="8" customWidth="1"/>
    <col min="290" max="290" width="10.21875" customWidth="1"/>
    <col min="291" max="291" width="8" customWidth="1"/>
    <col min="292" max="292" width="10.21875" customWidth="1"/>
    <col min="293" max="294" width="6" customWidth="1"/>
    <col min="295" max="295" width="8.6640625" customWidth="1"/>
    <col min="296" max="298" width="8" customWidth="1"/>
    <col min="299" max="299" width="10.21875" customWidth="1"/>
    <col min="300" max="300" width="8" customWidth="1"/>
    <col min="301" max="301" width="10.21875" customWidth="1"/>
    <col min="302" max="302" width="8" customWidth="1"/>
    <col min="303" max="303" width="10.21875" customWidth="1"/>
    <col min="304" max="304" width="8" customWidth="1"/>
    <col min="305" max="305" width="10.21875" customWidth="1"/>
    <col min="306" max="306" width="8" customWidth="1"/>
    <col min="307" max="307" width="10.21875" customWidth="1"/>
    <col min="308" max="311" width="8" customWidth="1"/>
    <col min="312" max="312" width="10.21875" bestFit="1" customWidth="1"/>
    <col min="313" max="313" width="8" customWidth="1"/>
    <col min="314" max="314" width="10.21875" customWidth="1"/>
    <col min="315" max="316" width="8" customWidth="1"/>
    <col min="317" max="317" width="10.21875" customWidth="1"/>
    <col min="318" max="318" width="8" customWidth="1"/>
    <col min="319" max="319" width="10.21875" customWidth="1"/>
    <col min="320" max="322" width="8" customWidth="1"/>
    <col min="323" max="323" width="10.21875" customWidth="1"/>
    <col min="324" max="324" width="8" customWidth="1"/>
    <col min="325" max="325" width="10.21875" customWidth="1"/>
    <col min="326" max="327" width="8" customWidth="1"/>
    <col min="328" max="328" width="10.21875" customWidth="1"/>
    <col min="329" max="329" width="8" customWidth="1"/>
    <col min="330" max="330" width="10.21875" customWidth="1"/>
    <col min="331" max="331" width="8" customWidth="1"/>
    <col min="332" max="332" width="10.21875" customWidth="1"/>
    <col min="333" max="333" width="8" customWidth="1"/>
    <col min="334" max="334" width="10.21875" customWidth="1"/>
    <col min="335" max="336" width="8" customWidth="1"/>
    <col min="337" max="337" width="10.21875" customWidth="1"/>
    <col min="338" max="338" width="8" customWidth="1"/>
    <col min="339" max="339" width="10.21875" customWidth="1"/>
    <col min="340" max="340" width="8" customWidth="1"/>
    <col min="341" max="341" width="10.21875" customWidth="1"/>
    <col min="342" max="342" width="8" customWidth="1"/>
    <col min="343" max="343" width="10.21875" bestFit="1" customWidth="1"/>
    <col min="344" max="344" width="8" customWidth="1"/>
    <col min="345" max="345" width="10.21875" customWidth="1"/>
    <col min="346" max="346" width="8" customWidth="1"/>
    <col min="347" max="347" width="10.21875" customWidth="1"/>
    <col min="348" max="348" width="8" customWidth="1"/>
    <col min="349" max="349" width="10.21875" customWidth="1"/>
    <col min="350" max="350" width="8" customWidth="1"/>
    <col min="351" max="351" width="10.21875" customWidth="1"/>
    <col min="352" max="352" width="6" customWidth="1"/>
    <col min="353" max="353" width="8.6640625" customWidth="1"/>
    <col min="354" max="354" width="8" customWidth="1"/>
    <col min="355" max="355" width="10.21875" customWidth="1"/>
    <col min="356" max="356" width="8" customWidth="1"/>
    <col min="357" max="357" width="10.21875" customWidth="1"/>
    <col min="358" max="358" width="8" customWidth="1"/>
    <col min="359" max="359" width="10.21875" customWidth="1"/>
    <col min="360" max="360" width="8" customWidth="1"/>
    <col min="361" max="361" width="10.21875" customWidth="1"/>
    <col min="362" max="363" width="8" customWidth="1"/>
    <col min="364" max="364" width="10.21875" customWidth="1"/>
    <col min="365" max="365" width="8" customWidth="1"/>
    <col min="366" max="366" width="10.21875" customWidth="1"/>
    <col min="367" max="367" width="8" customWidth="1"/>
    <col min="368" max="368" width="10.21875" customWidth="1"/>
    <col min="369" max="369" width="8" customWidth="1"/>
    <col min="370" max="370" width="10.21875" customWidth="1"/>
    <col min="371" max="371" width="8" customWidth="1"/>
    <col min="372" max="372" width="10.21875" customWidth="1"/>
    <col min="373" max="373" width="8" customWidth="1"/>
    <col min="374" max="374" width="10.21875" customWidth="1"/>
    <col min="375" max="375" width="8" customWidth="1"/>
    <col min="376" max="376" width="10.21875" customWidth="1"/>
    <col min="377" max="377" width="8" customWidth="1"/>
    <col min="378" max="378" width="10.21875" customWidth="1"/>
    <col min="379" max="379" width="8" customWidth="1"/>
    <col min="380" max="380" width="10.21875" customWidth="1"/>
    <col min="381" max="381" width="8" customWidth="1"/>
    <col min="382" max="382" width="10.21875" customWidth="1"/>
    <col min="383" max="383" width="8" customWidth="1"/>
    <col min="384" max="384" width="10.21875" bestFit="1" customWidth="1"/>
    <col min="385" max="385" width="8" customWidth="1"/>
    <col min="386" max="386" width="10.21875" customWidth="1"/>
    <col min="387" max="387" width="8" customWidth="1"/>
    <col min="388" max="388" width="10.21875" customWidth="1"/>
    <col min="389" max="389" width="8" customWidth="1"/>
    <col min="390" max="390" width="10.21875" customWidth="1"/>
    <col min="391" max="391" width="6" customWidth="1"/>
    <col min="392" max="392" width="8.6640625" customWidth="1"/>
    <col min="393" max="393" width="8" customWidth="1"/>
    <col min="394" max="394" width="10.21875" customWidth="1"/>
    <col min="395" max="396" width="6" customWidth="1"/>
    <col min="397" max="397" width="8.6640625" customWidth="1"/>
    <col min="398" max="398" width="8" customWidth="1"/>
    <col min="399" max="399" width="10.21875" customWidth="1"/>
    <col min="400" max="400" width="8" customWidth="1"/>
    <col min="401" max="401" width="10.21875" customWidth="1"/>
    <col min="402" max="402" width="8" customWidth="1"/>
    <col min="403" max="403" width="10.21875" customWidth="1"/>
    <col min="404" max="404" width="8" customWidth="1"/>
    <col min="405" max="405" width="10.21875" bestFit="1" customWidth="1"/>
    <col min="406" max="406" width="8" customWidth="1"/>
    <col min="407" max="407" width="10.21875" customWidth="1"/>
    <col min="408" max="408" width="8" customWidth="1"/>
    <col min="409" max="409" width="10.21875" customWidth="1"/>
    <col min="410" max="410" width="8" customWidth="1"/>
    <col min="411" max="411" width="10.21875" customWidth="1"/>
    <col min="412" max="412" width="8" customWidth="1"/>
    <col min="413" max="413" width="10.21875" customWidth="1"/>
    <col min="414" max="414" width="8" customWidth="1"/>
    <col min="415" max="415" width="10.21875" customWidth="1"/>
    <col min="416" max="416" width="8" customWidth="1"/>
    <col min="417" max="417" width="10.21875" customWidth="1"/>
    <col min="418" max="418" width="8" customWidth="1"/>
    <col min="419" max="419" width="10.21875" customWidth="1"/>
    <col min="420" max="420" width="6" customWidth="1"/>
    <col min="421" max="421" width="8.6640625" customWidth="1"/>
    <col min="422" max="422" width="8" customWidth="1"/>
    <col min="423" max="423" width="10.21875" customWidth="1"/>
    <col min="424" max="425" width="8" customWidth="1"/>
    <col min="426" max="426" width="10.21875" customWidth="1"/>
    <col min="427" max="427" width="8" customWidth="1"/>
    <col min="428" max="428" width="10.21875" customWidth="1"/>
    <col min="429" max="429" width="8" customWidth="1"/>
    <col min="430" max="430" width="10.21875" customWidth="1"/>
    <col min="431" max="431" width="8" customWidth="1"/>
    <col min="432" max="432" width="10.21875" customWidth="1"/>
    <col min="433" max="433" width="8" customWidth="1"/>
    <col min="434" max="434" width="10.21875" customWidth="1"/>
    <col min="435" max="435" width="8" customWidth="1"/>
    <col min="436" max="436" width="10.21875" customWidth="1"/>
    <col min="437" max="437" width="8" customWidth="1"/>
    <col min="438" max="438" width="10.21875" customWidth="1"/>
    <col min="439" max="439" width="6" customWidth="1"/>
    <col min="440" max="440" width="8.6640625" customWidth="1"/>
    <col min="441" max="441" width="8" customWidth="1"/>
    <col min="442" max="442" width="10.21875" customWidth="1"/>
    <col min="443" max="443" width="6" customWidth="1"/>
    <col min="444" max="444" width="8.6640625" customWidth="1"/>
    <col min="445" max="445" width="8" customWidth="1"/>
    <col min="446" max="446" width="10.21875" customWidth="1"/>
    <col min="447" max="447" width="8" customWidth="1"/>
    <col min="448" max="448" width="10.21875" customWidth="1"/>
    <col min="449" max="449" width="6" customWidth="1"/>
    <col min="450" max="450" width="8.6640625" customWidth="1"/>
    <col min="451" max="451" width="8" customWidth="1"/>
    <col min="452" max="452" width="10.21875" customWidth="1"/>
    <col min="453" max="453" width="8" customWidth="1"/>
    <col min="454" max="454" width="10.21875" customWidth="1"/>
    <col min="455" max="457" width="8" customWidth="1"/>
    <col min="458" max="458" width="10.21875" customWidth="1"/>
    <col min="459" max="460" width="8" customWidth="1"/>
    <col min="461" max="461" width="10.21875" customWidth="1"/>
    <col min="462" max="462" width="8" customWidth="1"/>
    <col min="463" max="463" width="10.21875" customWidth="1"/>
    <col min="464" max="464" width="6" customWidth="1"/>
    <col min="465" max="465" width="8.6640625" customWidth="1"/>
    <col min="466" max="466" width="8" customWidth="1"/>
    <col min="467" max="467" width="10.21875" customWidth="1"/>
    <col min="468" max="468" width="8" customWidth="1"/>
    <col min="469" max="469" width="10.21875" customWidth="1"/>
    <col min="470" max="470" width="8" customWidth="1"/>
    <col min="471" max="471" width="10.21875" bestFit="1" customWidth="1"/>
    <col min="472" max="472" width="8" customWidth="1"/>
    <col min="473" max="473" width="10.21875" customWidth="1"/>
    <col min="474" max="474" width="8" customWidth="1"/>
    <col min="475" max="475" width="10.21875" customWidth="1"/>
    <col min="476" max="476" width="8" customWidth="1"/>
    <col min="477" max="477" width="10.21875" customWidth="1"/>
    <col min="478" max="478" width="8" customWidth="1"/>
    <col min="479" max="479" width="10.21875" customWidth="1"/>
    <col min="480" max="480" width="8" customWidth="1"/>
    <col min="481" max="481" width="10.21875" customWidth="1"/>
    <col min="482" max="482" width="8" customWidth="1"/>
    <col min="483" max="483" width="10.21875" customWidth="1"/>
    <col min="484" max="484" width="8" customWidth="1"/>
    <col min="485" max="485" width="10.21875" customWidth="1"/>
    <col min="486" max="486" width="8" customWidth="1"/>
    <col min="487" max="487" width="10.21875" customWidth="1"/>
    <col min="488" max="488" width="8" customWidth="1"/>
    <col min="489" max="489" width="10.21875" customWidth="1"/>
    <col min="490" max="491" width="6" customWidth="1"/>
    <col min="492" max="492" width="8.6640625" customWidth="1"/>
    <col min="493" max="493" width="8" customWidth="1"/>
    <col min="494" max="494" width="10.21875" customWidth="1"/>
    <col min="495" max="495" width="8" customWidth="1"/>
    <col min="496" max="496" width="10.21875" customWidth="1"/>
    <col min="497" max="497" width="8" customWidth="1"/>
    <col min="498" max="498" width="10.21875" bestFit="1" customWidth="1"/>
    <col min="499" max="499" width="8" customWidth="1"/>
    <col min="500" max="500" width="10.21875" customWidth="1"/>
    <col min="501" max="501" width="8" customWidth="1"/>
    <col min="502" max="502" width="10.21875" customWidth="1"/>
    <col min="503" max="503" width="8" customWidth="1"/>
    <col min="504" max="504" width="10.21875" customWidth="1"/>
    <col min="505" max="506" width="8" customWidth="1"/>
    <col min="507" max="507" width="10.21875" customWidth="1"/>
    <col min="508" max="508" width="8" customWidth="1"/>
    <col min="509" max="509" width="10.21875" customWidth="1"/>
    <col min="510" max="510" width="8" customWidth="1"/>
    <col min="511" max="511" width="10.21875" customWidth="1"/>
    <col min="512" max="513" width="6" customWidth="1"/>
    <col min="514" max="514" width="8.6640625" customWidth="1"/>
    <col min="515" max="515" width="8" customWidth="1"/>
    <col min="516" max="516" width="10.21875" bestFit="1" customWidth="1"/>
    <col min="517" max="517" width="8" customWidth="1"/>
    <col min="518" max="518" width="10.21875" customWidth="1"/>
    <col min="519" max="519" width="6" customWidth="1"/>
    <col min="520" max="520" width="8.6640625" customWidth="1"/>
    <col min="521" max="521" width="8" customWidth="1"/>
    <col min="522" max="522" width="10.21875" customWidth="1"/>
    <col min="523" max="523" width="8" customWidth="1"/>
    <col min="524" max="524" width="10.21875" customWidth="1"/>
    <col min="525" max="525" width="8" customWidth="1"/>
    <col min="526" max="526" width="10.21875" customWidth="1"/>
    <col min="527" max="527" width="8" customWidth="1"/>
    <col min="528" max="528" width="10.21875" customWidth="1"/>
    <col min="529" max="529" width="8" customWidth="1"/>
    <col min="530" max="530" width="10.21875" customWidth="1"/>
    <col min="531" max="531" width="8" customWidth="1"/>
    <col min="532" max="532" width="10.21875" customWidth="1"/>
    <col min="533" max="533" width="8" customWidth="1"/>
    <col min="534" max="534" width="10.21875" customWidth="1"/>
    <col min="535" max="535" width="8" customWidth="1"/>
    <col min="536" max="536" width="10.21875" bestFit="1" customWidth="1"/>
    <col min="537" max="537" width="8" customWidth="1"/>
    <col min="538" max="538" width="10.21875" bestFit="1" customWidth="1"/>
    <col min="539" max="539" width="6" customWidth="1"/>
    <col min="540" max="540" width="8.6640625" customWidth="1"/>
    <col min="541" max="542" width="8" customWidth="1"/>
    <col min="543" max="543" width="10.21875" customWidth="1"/>
    <col min="544" max="544" width="8" customWidth="1"/>
    <col min="545" max="545" width="10.21875" bestFit="1" customWidth="1"/>
    <col min="546" max="546" width="8" customWidth="1"/>
    <col min="547" max="547" width="10.21875" customWidth="1"/>
    <col min="548" max="549" width="8" customWidth="1"/>
    <col min="550" max="550" width="10.21875" customWidth="1"/>
    <col min="551" max="551" width="6" customWidth="1"/>
    <col min="552" max="552" width="8.6640625" customWidth="1"/>
    <col min="553" max="553" width="8" customWidth="1"/>
    <col min="554" max="554" width="10.21875" customWidth="1"/>
    <col min="555" max="555" width="8" customWidth="1"/>
    <col min="556" max="556" width="10.21875" customWidth="1"/>
    <col min="557" max="557" width="8" customWidth="1"/>
    <col min="558" max="558" width="10.21875" customWidth="1"/>
    <col min="559" max="559" width="8" customWidth="1"/>
    <col min="560" max="560" width="10.21875" customWidth="1"/>
    <col min="561" max="561" width="8" customWidth="1"/>
    <col min="562" max="562" width="10.21875" customWidth="1"/>
    <col min="563" max="564" width="8" customWidth="1"/>
    <col min="565" max="565" width="10.21875" customWidth="1"/>
    <col min="566" max="566" width="8" customWidth="1"/>
    <col min="567" max="567" width="10.21875" customWidth="1"/>
    <col min="568" max="568" width="8" customWidth="1"/>
    <col min="569" max="569" width="10.21875" customWidth="1"/>
    <col min="570" max="570" width="8" customWidth="1"/>
    <col min="571" max="571" width="10.21875" customWidth="1"/>
    <col min="572" max="572" width="8" customWidth="1"/>
    <col min="573" max="573" width="10.21875" bestFit="1" customWidth="1"/>
    <col min="574" max="575" width="8" customWidth="1"/>
    <col min="576" max="576" width="10.21875" customWidth="1"/>
    <col min="577" max="577" width="8" customWidth="1"/>
    <col min="578" max="578" width="10.21875" customWidth="1"/>
    <col min="579" max="580" width="8" customWidth="1"/>
    <col min="581" max="581" width="10.21875" customWidth="1"/>
    <col min="582" max="582" width="8" customWidth="1"/>
    <col min="583" max="583" width="10.21875" bestFit="1" customWidth="1"/>
    <col min="584" max="584" width="6" customWidth="1"/>
    <col min="585" max="585" width="8.6640625" customWidth="1"/>
    <col min="586" max="586" width="8" customWidth="1"/>
    <col min="587" max="587" width="10.21875" customWidth="1"/>
    <col min="588" max="588" width="8" customWidth="1"/>
    <col min="589" max="589" width="10.21875" customWidth="1"/>
    <col min="590" max="590" width="8" customWidth="1"/>
    <col min="591" max="591" width="10.21875" bestFit="1" customWidth="1"/>
    <col min="592" max="592" width="6" customWidth="1"/>
    <col min="593" max="593" width="8.6640625" customWidth="1"/>
    <col min="594" max="594" width="8" customWidth="1"/>
    <col min="595" max="595" width="10.21875" customWidth="1"/>
    <col min="596" max="596" width="8" customWidth="1"/>
    <col min="597" max="597" width="10.21875" customWidth="1"/>
    <col min="598" max="598" width="8" customWidth="1"/>
    <col min="599" max="599" width="10.21875" customWidth="1"/>
    <col min="600" max="600" width="8" customWidth="1"/>
    <col min="601" max="601" width="10.21875" customWidth="1"/>
    <col min="602" max="603" width="8" customWidth="1"/>
    <col min="604" max="604" width="10.21875" customWidth="1"/>
    <col min="605" max="605" width="8" customWidth="1"/>
    <col min="606" max="606" width="10.21875" customWidth="1"/>
    <col min="607" max="609" width="8" customWidth="1"/>
    <col min="610" max="610" width="10.21875" customWidth="1"/>
    <col min="611" max="611" width="8" customWidth="1"/>
    <col min="612" max="612" width="10.21875" bestFit="1" customWidth="1"/>
    <col min="613" max="613" width="8" customWidth="1"/>
    <col min="614" max="614" width="10.21875" customWidth="1"/>
    <col min="615" max="615" width="8" customWidth="1"/>
    <col min="616" max="616" width="10.21875" customWidth="1"/>
    <col min="617" max="617" width="8" customWidth="1"/>
    <col min="618" max="618" width="10.21875" bestFit="1" customWidth="1"/>
    <col min="619" max="619" width="6" customWidth="1"/>
    <col min="620" max="620" width="8.6640625" customWidth="1"/>
    <col min="621" max="621" width="8" customWidth="1"/>
    <col min="622" max="622" width="10.21875" customWidth="1"/>
    <col min="623" max="624" width="8" customWidth="1"/>
    <col min="625" max="625" width="10.21875" customWidth="1"/>
    <col min="626" max="626" width="8" customWidth="1"/>
    <col min="627" max="627" width="10.21875" bestFit="1" customWidth="1"/>
    <col min="628" max="628" width="8" customWidth="1"/>
    <col min="629" max="629" width="10.21875" bestFit="1" customWidth="1"/>
    <col min="630" max="630" width="8" customWidth="1"/>
    <col min="631" max="631" width="10.21875" customWidth="1"/>
    <col min="632" max="632" width="8" customWidth="1"/>
    <col min="633" max="633" width="10.21875" customWidth="1"/>
    <col min="634" max="635" width="8" customWidth="1"/>
    <col min="636" max="636" width="10.21875" customWidth="1"/>
    <col min="637" max="637" width="6" customWidth="1"/>
    <col min="638" max="638" width="8.6640625" customWidth="1"/>
    <col min="639" max="639" width="8" customWidth="1"/>
    <col min="640" max="640" width="10.21875" customWidth="1"/>
    <col min="641" max="641" width="8" customWidth="1"/>
    <col min="642" max="642" width="10.21875" customWidth="1"/>
    <col min="643" max="644" width="8" customWidth="1"/>
    <col min="645" max="645" width="10.21875" customWidth="1"/>
    <col min="646" max="646" width="8" customWidth="1"/>
    <col min="647" max="647" width="10.21875" customWidth="1"/>
    <col min="648" max="648" width="8" customWidth="1"/>
    <col min="649" max="649" width="10.21875" customWidth="1"/>
    <col min="650" max="652" width="6" customWidth="1"/>
    <col min="653" max="653" width="8.21875" customWidth="1"/>
    <col min="654" max="654" width="10.77734375" bestFit="1" customWidth="1"/>
    <col min="655" max="655" width="8" customWidth="1"/>
    <col min="656" max="656" width="10.21875" customWidth="1"/>
    <col min="657" max="657" width="8.6640625" customWidth="1"/>
    <col min="658" max="658" width="8" customWidth="1"/>
    <col min="659" max="660" width="10.21875" customWidth="1"/>
    <col min="661" max="661" width="8" customWidth="1"/>
    <col min="662" max="662" width="10.21875" bestFit="1" customWidth="1"/>
    <col min="663" max="663" width="8" customWidth="1"/>
    <col min="664" max="665" width="10.21875" customWidth="1"/>
    <col min="666" max="666" width="8" customWidth="1"/>
    <col min="667" max="667" width="10.21875" bestFit="1" customWidth="1"/>
    <col min="668" max="668" width="10.21875" customWidth="1"/>
    <col min="669" max="669" width="8" customWidth="1"/>
    <col min="670" max="670" width="10.21875" bestFit="1" customWidth="1"/>
    <col min="671" max="671" width="10.21875" customWidth="1"/>
    <col min="672" max="672" width="8" customWidth="1"/>
    <col min="673" max="673" width="8.6640625" customWidth="1"/>
    <col min="674" max="674" width="10.21875" bestFit="1" customWidth="1"/>
    <col min="675" max="675" width="8" customWidth="1"/>
    <col min="676" max="676" width="10.21875" customWidth="1"/>
    <col min="677" max="677" width="10.21875" bestFit="1" customWidth="1"/>
    <col min="678" max="678" width="8" customWidth="1"/>
    <col min="679" max="680" width="10.21875" customWidth="1"/>
    <col min="681" max="681" width="8" customWidth="1"/>
    <col min="682" max="682" width="10.21875" bestFit="1" customWidth="1"/>
    <col min="683" max="683" width="10.21875" customWidth="1"/>
    <col min="684" max="684" width="8" customWidth="1"/>
    <col min="685" max="685" width="10.21875" bestFit="1" customWidth="1"/>
    <col min="686" max="686" width="8.6640625" customWidth="1"/>
    <col min="687" max="687" width="8" customWidth="1"/>
    <col min="688" max="688" width="10.21875" bestFit="1" customWidth="1"/>
    <col min="689" max="689" width="10.21875" customWidth="1"/>
    <col min="690" max="690" width="8" customWidth="1"/>
    <col min="691" max="691" width="10.21875" customWidth="1"/>
    <col min="692" max="692" width="8.6640625" customWidth="1"/>
    <col min="693" max="693" width="8" customWidth="1"/>
    <col min="694" max="694" width="10.21875" bestFit="1" customWidth="1"/>
    <col min="695" max="695" width="10.21875" customWidth="1"/>
    <col min="696" max="696" width="8" customWidth="1"/>
    <col min="697" max="697" width="10.21875" customWidth="1"/>
    <col min="698" max="698" width="10.21875" bestFit="1" customWidth="1"/>
    <col min="699" max="699" width="8" customWidth="1"/>
    <col min="700" max="700" width="10.21875" bestFit="1" customWidth="1"/>
    <col min="701" max="701" width="8.6640625" customWidth="1"/>
    <col min="702" max="702" width="8" customWidth="1"/>
    <col min="703" max="704" width="10.21875" customWidth="1"/>
    <col min="705" max="705" width="8" customWidth="1"/>
    <col min="706" max="706" width="10.21875" customWidth="1"/>
    <col min="707" max="707" width="10.21875" bestFit="1" customWidth="1"/>
    <col min="708" max="708" width="8" customWidth="1"/>
    <col min="709" max="709" width="10.21875" customWidth="1"/>
    <col min="710" max="710" width="8" customWidth="1"/>
    <col min="711" max="711" width="10.21875" customWidth="1"/>
    <col min="712" max="712" width="8" customWidth="1"/>
    <col min="713" max="713" width="10.21875" bestFit="1" customWidth="1"/>
    <col min="714" max="714" width="10.21875" customWidth="1"/>
    <col min="715" max="715" width="8" customWidth="1"/>
    <col min="716" max="716" width="10.21875" customWidth="1"/>
    <col min="717" max="717" width="6" customWidth="1"/>
    <col min="718" max="718" width="8.6640625" customWidth="1"/>
    <col min="719" max="719" width="10.21875" customWidth="1"/>
    <col min="720" max="720" width="8" customWidth="1"/>
    <col min="721" max="722" width="10.21875" customWidth="1"/>
    <col min="723" max="723" width="6" customWidth="1"/>
    <col min="724" max="725" width="8.6640625" customWidth="1"/>
    <col min="726" max="726" width="8" customWidth="1"/>
    <col min="727" max="727" width="10.21875" customWidth="1"/>
    <col min="728" max="728" width="10.21875" bestFit="1" customWidth="1"/>
    <col min="729" max="729" width="8" customWidth="1"/>
    <col min="730" max="730" width="10.21875" customWidth="1"/>
    <col min="731" max="731" width="10.21875" bestFit="1" customWidth="1"/>
    <col min="732" max="732" width="8" customWidth="1"/>
    <col min="733" max="733" width="10.21875" customWidth="1"/>
    <col min="734" max="734" width="10.21875" bestFit="1" customWidth="1"/>
    <col min="735" max="735" width="8" customWidth="1"/>
    <col min="736" max="736" width="10.21875" customWidth="1"/>
    <col min="737" max="737" width="10.21875" bestFit="1" customWidth="1"/>
    <col min="738" max="738" width="8" customWidth="1"/>
    <col min="739" max="740" width="10.21875" customWidth="1"/>
    <col min="741" max="741" width="8" customWidth="1"/>
    <col min="742" max="743" width="10.21875" customWidth="1"/>
    <col min="744" max="744" width="8" customWidth="1"/>
    <col min="745" max="746" width="10.21875" customWidth="1"/>
    <col min="747" max="747" width="8" customWidth="1"/>
    <col min="748" max="749" width="10.21875" customWidth="1"/>
    <col min="750" max="750" width="8" customWidth="1"/>
    <col min="751" max="752" width="10.21875" bestFit="1" customWidth="1"/>
    <col min="753" max="753" width="8" customWidth="1"/>
    <col min="754" max="754" width="10.21875" customWidth="1"/>
    <col min="755" max="755" width="10.21875" bestFit="1" customWidth="1"/>
    <col min="756" max="756" width="8" customWidth="1"/>
    <col min="757" max="758" width="10.21875" customWidth="1"/>
    <col min="759" max="759" width="8" customWidth="1"/>
    <col min="760" max="760" width="10.21875" bestFit="1" customWidth="1"/>
    <col min="761" max="761" width="10.21875" customWidth="1"/>
    <col min="762" max="762" width="8" customWidth="1"/>
    <col min="763" max="763" width="10.21875" customWidth="1"/>
    <col min="764" max="764" width="8" customWidth="1"/>
    <col min="765" max="765" width="10.21875" bestFit="1" customWidth="1"/>
    <col min="766" max="766" width="8.6640625" customWidth="1"/>
    <col min="767" max="767" width="8" customWidth="1"/>
    <col min="768" max="769" width="10.21875" customWidth="1"/>
    <col min="770" max="770" width="8" customWidth="1"/>
    <col min="771" max="772" width="10.21875" bestFit="1" customWidth="1"/>
    <col min="773" max="773" width="8" customWidth="1"/>
    <col min="774" max="774" width="10.21875" bestFit="1" customWidth="1"/>
    <col min="775" max="775" width="10.21875" customWidth="1"/>
    <col min="776" max="776" width="8" customWidth="1"/>
    <col min="777" max="777" width="10.21875" bestFit="1" customWidth="1"/>
    <col min="778" max="778" width="10.21875" customWidth="1"/>
    <col min="779" max="779" width="8" customWidth="1"/>
    <col min="780" max="780" width="10.21875" bestFit="1" customWidth="1"/>
    <col min="781" max="781" width="10.21875" customWidth="1"/>
    <col min="782" max="782" width="8" customWidth="1"/>
    <col min="783" max="784" width="10.21875" customWidth="1"/>
    <col min="785" max="785" width="8" customWidth="1"/>
    <col min="786" max="786" width="10.21875" customWidth="1"/>
    <col min="787" max="787" width="8" customWidth="1"/>
    <col min="788" max="788" width="10.21875" bestFit="1" customWidth="1"/>
    <col min="789" max="789" width="10.21875" customWidth="1"/>
    <col min="790" max="790" width="8" customWidth="1"/>
    <col min="791" max="791" width="10.21875" bestFit="1" customWidth="1"/>
    <col min="792" max="792" width="10.21875" customWidth="1"/>
    <col min="793" max="793" width="8" customWidth="1"/>
    <col min="794" max="794" width="8.6640625" customWidth="1"/>
    <col min="795" max="795" width="10.21875" bestFit="1" customWidth="1"/>
    <col min="796" max="796" width="8" customWidth="1"/>
    <col min="797" max="797" width="10.21875" customWidth="1"/>
    <col min="798" max="798" width="8" customWidth="1"/>
    <col min="799" max="799" width="10.21875" bestFit="1" customWidth="1"/>
    <col min="800" max="800" width="8.6640625" customWidth="1"/>
    <col min="801" max="801" width="8" customWidth="1"/>
    <col min="802" max="803" width="10.21875" customWidth="1"/>
    <col min="804" max="804" width="8" customWidth="1"/>
    <col min="805" max="805" width="10.21875" bestFit="1" customWidth="1"/>
    <col min="806" max="806" width="10.21875" customWidth="1"/>
    <col min="807" max="807" width="8" customWidth="1"/>
    <col min="808" max="808" width="10.21875" bestFit="1" customWidth="1"/>
    <col min="809" max="809" width="8.6640625" customWidth="1"/>
    <col min="810" max="810" width="8" customWidth="1"/>
    <col min="811" max="812" width="10.21875" customWidth="1"/>
    <col min="813" max="813" width="8" customWidth="1"/>
    <col min="814" max="814" width="10.21875" bestFit="1" customWidth="1"/>
    <col min="815" max="815" width="10.21875" customWidth="1"/>
    <col min="816" max="816" width="8" customWidth="1"/>
    <col min="817" max="817" width="10.21875" bestFit="1" customWidth="1"/>
    <col min="818" max="818" width="10.21875" customWidth="1"/>
    <col min="819" max="819" width="8" customWidth="1"/>
    <col min="820" max="820" width="10.21875" bestFit="1" customWidth="1"/>
    <col min="821" max="821" width="10.21875" customWidth="1"/>
    <col min="822" max="822" width="8" customWidth="1"/>
    <col min="823" max="824" width="10.21875" customWidth="1"/>
    <col min="825" max="825" width="8" customWidth="1"/>
    <col min="826" max="827" width="10.21875" customWidth="1"/>
    <col min="828" max="828" width="8" customWidth="1"/>
    <col min="829" max="829" width="10.21875" bestFit="1" customWidth="1"/>
    <col min="830" max="830" width="10.21875" customWidth="1"/>
    <col min="831" max="831" width="8" customWidth="1"/>
    <col min="832" max="832" width="10.21875" bestFit="1" customWidth="1"/>
    <col min="833" max="833" width="10.21875" customWidth="1"/>
    <col min="834" max="834" width="8" customWidth="1"/>
    <col min="835" max="835" width="8.6640625" customWidth="1"/>
    <col min="836" max="836" width="10.21875" customWidth="1"/>
    <col min="837" max="837" width="8" customWidth="1"/>
    <col min="838" max="838" width="10.21875" bestFit="1" customWidth="1"/>
    <col min="839" max="839" width="8.6640625" customWidth="1"/>
    <col min="840" max="840" width="8" customWidth="1"/>
    <col min="841" max="841" width="8.6640625" customWidth="1"/>
    <col min="842" max="842" width="8" customWidth="1"/>
    <col min="843" max="843" width="10.21875" bestFit="1" customWidth="1"/>
    <col min="844" max="844" width="10.21875" customWidth="1"/>
    <col min="845" max="845" width="8" customWidth="1"/>
    <col min="846" max="846" width="8.6640625" customWidth="1"/>
    <col min="847" max="847" width="10.21875" customWidth="1"/>
    <col min="848" max="848" width="8" customWidth="1"/>
    <col min="849" max="850" width="10.21875" customWidth="1"/>
    <col min="851" max="851" width="8" customWidth="1"/>
    <col min="852" max="852" width="10.21875" customWidth="1"/>
    <col min="853" max="853" width="8" customWidth="1"/>
    <col min="854" max="854" width="10.21875" bestFit="1" customWidth="1"/>
    <col min="855" max="855" width="10.21875" customWidth="1"/>
    <col min="856" max="856" width="8" customWidth="1"/>
    <col min="857" max="857" width="10.21875" bestFit="1" customWidth="1"/>
    <col min="858" max="858" width="8.6640625" customWidth="1"/>
    <col min="859" max="859" width="8" customWidth="1"/>
    <col min="860" max="860" width="10.21875" bestFit="1" customWidth="1"/>
    <col min="861" max="861" width="10.21875" customWidth="1"/>
    <col min="862" max="862" width="8" customWidth="1"/>
    <col min="863" max="863" width="8.6640625" customWidth="1"/>
    <col min="864" max="864" width="10.21875" bestFit="1" customWidth="1"/>
    <col min="865" max="865" width="8" customWidth="1"/>
    <col min="866" max="867" width="10.21875" customWidth="1"/>
    <col min="868" max="868" width="8" customWidth="1"/>
    <col min="869" max="870" width="10.21875" customWidth="1"/>
    <col min="871" max="871" width="8" customWidth="1"/>
    <col min="872" max="873" width="10.21875" customWidth="1"/>
    <col min="874" max="874" width="8" customWidth="1"/>
    <col min="875" max="875" width="10.21875" customWidth="1"/>
    <col min="876" max="876" width="8" customWidth="1"/>
    <col min="877" max="878" width="10.21875" customWidth="1"/>
    <col min="879" max="879" width="8" customWidth="1"/>
    <col min="880" max="880" width="10.21875" bestFit="1" customWidth="1"/>
    <col min="881" max="881" width="10.21875" customWidth="1"/>
    <col min="882" max="882" width="8" customWidth="1"/>
    <col min="883" max="883" width="10.21875" bestFit="1" customWidth="1"/>
    <col min="884" max="884" width="10.21875" customWidth="1"/>
    <col min="885" max="885" width="8" customWidth="1"/>
    <col min="886" max="886" width="8.6640625" customWidth="1"/>
    <col min="887" max="887" width="10.21875" customWidth="1"/>
    <col min="888" max="888" width="8" customWidth="1"/>
    <col min="889" max="890" width="10.21875" customWidth="1"/>
    <col min="891" max="891" width="8" customWidth="1"/>
    <col min="892" max="892" width="10.21875" bestFit="1" customWidth="1"/>
    <col min="893" max="893" width="8" customWidth="1"/>
    <col min="894" max="895" width="10.21875" bestFit="1" customWidth="1"/>
    <col min="896" max="896" width="8" customWidth="1"/>
    <col min="897" max="898" width="10.21875" bestFit="1" customWidth="1"/>
    <col min="899" max="900" width="8" customWidth="1"/>
    <col min="901" max="901" width="10.21875" bestFit="1" customWidth="1"/>
    <col min="902" max="902" width="10.21875" customWidth="1"/>
    <col min="903" max="903" width="8" customWidth="1"/>
    <col min="904" max="905" width="10.21875" customWidth="1"/>
    <col min="906" max="906" width="8" customWidth="1"/>
    <col min="907" max="907" width="10.21875" customWidth="1"/>
    <col min="908" max="908" width="8.6640625" customWidth="1"/>
    <col min="909" max="909" width="8" customWidth="1"/>
    <col min="910" max="910" width="10.21875" bestFit="1" customWidth="1"/>
    <col min="911" max="911" width="10.21875" customWidth="1"/>
    <col min="912" max="912" width="8" customWidth="1"/>
    <col min="913" max="913" width="8.6640625" customWidth="1"/>
    <col min="914" max="914" width="10.21875" customWidth="1"/>
    <col min="915" max="915" width="8" customWidth="1"/>
    <col min="916" max="917" width="10.21875" customWidth="1"/>
    <col min="918" max="918" width="8" customWidth="1"/>
    <col min="919" max="919" width="10.21875" bestFit="1" customWidth="1"/>
    <col min="920" max="920" width="8.6640625" customWidth="1"/>
    <col min="921" max="921" width="8" customWidth="1"/>
    <col min="922" max="923" width="10.21875" customWidth="1"/>
    <col min="924" max="924" width="8" customWidth="1"/>
    <col min="925" max="926" width="10.21875" customWidth="1"/>
    <col min="927" max="927" width="8" customWidth="1"/>
    <col min="928" max="928" width="10.21875" bestFit="1" customWidth="1"/>
    <col min="929" max="929" width="10.21875" customWidth="1"/>
    <col min="930" max="930" width="8" customWidth="1"/>
    <col min="931" max="931" width="10.21875" bestFit="1" customWidth="1"/>
    <col min="932" max="932" width="10.21875" customWidth="1"/>
    <col min="933" max="933" width="8" customWidth="1"/>
    <col min="934" max="934" width="10.21875" bestFit="1" customWidth="1"/>
    <col min="935" max="935" width="8" customWidth="1"/>
    <col min="936" max="936" width="10.21875" customWidth="1"/>
    <col min="937" max="937" width="10.21875" bestFit="1" customWidth="1"/>
    <col min="938" max="938" width="8" customWidth="1"/>
    <col min="939" max="939" width="10.21875" customWidth="1"/>
    <col min="940" max="940" width="10.21875" bestFit="1" customWidth="1"/>
    <col min="941" max="941" width="8" customWidth="1"/>
    <col min="942" max="942" width="10.21875" bestFit="1" customWidth="1"/>
    <col min="943" max="943" width="8" customWidth="1"/>
    <col min="944" max="944" width="10.21875" customWidth="1"/>
    <col min="945" max="945" width="6" customWidth="1"/>
    <col min="946" max="946" width="8.6640625" customWidth="1"/>
    <col min="947" max="947" width="10.21875" customWidth="1"/>
    <col min="948" max="948" width="8" customWidth="1"/>
    <col min="949" max="949" width="8.6640625" customWidth="1"/>
    <col min="950" max="950" width="10.21875" bestFit="1" customWidth="1"/>
    <col min="951" max="951" width="8" customWidth="1"/>
    <col min="952" max="952" width="10.21875" customWidth="1"/>
    <col min="953" max="953" width="10.21875" bestFit="1" customWidth="1"/>
    <col min="954" max="954" width="8" customWidth="1"/>
    <col min="955" max="955" width="10.21875" customWidth="1"/>
    <col min="956" max="956" width="10.21875" bestFit="1" customWidth="1"/>
    <col min="957" max="957" width="8" customWidth="1"/>
    <col min="958" max="959" width="10.21875" customWidth="1"/>
    <col min="960" max="960" width="8" customWidth="1"/>
    <col min="961" max="961" width="10.21875" customWidth="1"/>
    <col min="962" max="962" width="8.6640625" customWidth="1"/>
    <col min="963" max="963" width="8" customWidth="1"/>
    <col min="964" max="964" width="10.21875" bestFit="1" customWidth="1"/>
    <col min="965" max="965" width="10.21875" customWidth="1"/>
    <col min="966" max="966" width="8" customWidth="1"/>
    <col min="967" max="967" width="10.21875" customWidth="1"/>
    <col min="968" max="968" width="8" customWidth="1"/>
    <col min="969" max="969" width="10.21875" customWidth="1"/>
    <col min="970" max="970" width="10.21875" bestFit="1" customWidth="1"/>
    <col min="971" max="971" width="8" customWidth="1"/>
    <col min="972" max="973" width="10.21875" bestFit="1" customWidth="1"/>
    <col min="974" max="974" width="8" customWidth="1"/>
    <col min="975" max="975" width="10.21875" customWidth="1"/>
    <col min="976" max="976" width="10.21875" bestFit="1" customWidth="1"/>
    <col min="977" max="977" width="8" customWidth="1"/>
    <col min="978" max="979" width="10.21875" customWidth="1"/>
    <col min="980" max="980" width="8" customWidth="1"/>
    <col min="981" max="981" width="8.6640625" customWidth="1"/>
    <col min="982" max="982" width="10.21875" customWidth="1"/>
    <col min="983" max="983" width="8" customWidth="1"/>
    <col min="984" max="984" width="10.21875" bestFit="1" customWidth="1"/>
    <col min="985" max="985" width="8" customWidth="1"/>
    <col min="986" max="987" width="10.21875" bestFit="1" customWidth="1"/>
    <col min="988" max="988" width="8" customWidth="1"/>
    <col min="989" max="989" width="10.21875" customWidth="1"/>
    <col min="990" max="990" width="8.6640625" customWidth="1"/>
    <col min="991" max="991" width="8" customWidth="1"/>
    <col min="992" max="992" width="10.21875" customWidth="1"/>
    <col min="993" max="993" width="10.21875" bestFit="1" customWidth="1"/>
    <col min="994" max="994" width="8" customWidth="1"/>
    <col min="995" max="996" width="10.21875" customWidth="1"/>
    <col min="997" max="997" width="8" customWidth="1"/>
    <col min="998" max="998" width="10.21875" bestFit="1" customWidth="1"/>
    <col min="999" max="999" width="8" customWidth="1"/>
    <col min="1000" max="1000" width="10.21875" customWidth="1"/>
    <col min="1001" max="1001" width="10.21875" bestFit="1" customWidth="1"/>
    <col min="1002" max="1002" width="8" customWidth="1"/>
    <col min="1003" max="1003" width="10.21875" bestFit="1" customWidth="1"/>
    <col min="1004" max="1004" width="10.21875" customWidth="1"/>
    <col min="1005" max="1005" width="8" customWidth="1"/>
    <col min="1006" max="1007" width="10.21875" bestFit="1" customWidth="1"/>
    <col min="1008" max="1008" width="8" customWidth="1"/>
    <col min="1009" max="1009" width="10.21875" bestFit="1" customWidth="1"/>
    <col min="1010" max="1010" width="8" customWidth="1"/>
    <col min="1011" max="1011" width="10.21875" bestFit="1" customWidth="1"/>
    <col min="1012" max="1012" width="8" customWidth="1"/>
    <col min="1013" max="1013" width="10.21875" bestFit="1" customWidth="1"/>
    <col min="1014" max="1014" width="5.5546875" customWidth="1"/>
    <col min="1015" max="1016" width="8.21875" customWidth="1"/>
    <col min="1017" max="1017" width="10.77734375" bestFit="1" customWidth="1"/>
    <col min="1018" max="1018" width="8.6640625" customWidth="1"/>
    <col min="1019" max="1019" width="10.21875" bestFit="1" customWidth="1"/>
    <col min="1020" max="1020" width="8" customWidth="1"/>
    <col min="1021" max="1021" width="10.21875" bestFit="1" customWidth="1"/>
    <col min="1022" max="1022" width="8.6640625" customWidth="1"/>
    <col min="1023" max="1023" width="10.21875" bestFit="1" customWidth="1"/>
    <col min="1024" max="1024" width="8" customWidth="1"/>
    <col min="1025" max="1025" width="10.21875" bestFit="1" customWidth="1"/>
    <col min="1026" max="1026" width="8.6640625" customWidth="1"/>
    <col min="1027" max="1027" width="10.21875" bestFit="1" customWidth="1"/>
    <col min="1028" max="1028" width="8" customWidth="1"/>
    <col min="1029" max="1030" width="10.21875" bestFit="1" customWidth="1"/>
    <col min="1031" max="1031" width="8" customWidth="1"/>
    <col min="1032" max="1034" width="10.21875" bestFit="1" customWidth="1"/>
    <col min="1035" max="1035" width="8" customWidth="1"/>
    <col min="1036" max="1036" width="10.21875" bestFit="1" customWidth="1"/>
    <col min="1037" max="1037" width="8.21875" customWidth="1"/>
    <col min="1038" max="1038" width="10.21875" bestFit="1" customWidth="1"/>
    <col min="1039" max="1039" width="8" customWidth="1"/>
    <col min="1040" max="1040" width="10.21875" bestFit="1" customWidth="1"/>
    <col min="1041" max="1041" width="8.6640625" customWidth="1"/>
    <col min="1042" max="1042" width="8" customWidth="1"/>
    <col min="1043" max="1045" width="10.21875" bestFit="1" customWidth="1"/>
    <col min="1046" max="1046" width="8" customWidth="1"/>
    <col min="1047" max="1048" width="10.21875" bestFit="1" customWidth="1"/>
    <col min="1049" max="1049" width="8" customWidth="1"/>
    <col min="1050" max="1052" width="10.21875" bestFit="1" customWidth="1"/>
    <col min="1053" max="1053" width="8" customWidth="1"/>
    <col min="1054" max="1055" width="10.21875" bestFit="1" customWidth="1"/>
    <col min="1056" max="1056" width="8" customWidth="1"/>
    <col min="1057" max="1058" width="10.21875" bestFit="1" customWidth="1"/>
    <col min="1059" max="1059" width="8" customWidth="1"/>
    <col min="1060" max="1062" width="10.21875" bestFit="1" customWidth="1"/>
    <col min="1063" max="1063" width="8" customWidth="1"/>
    <col min="1064" max="1065" width="10.21875" bestFit="1" customWidth="1"/>
    <col min="1066" max="1066" width="8.6640625" customWidth="1"/>
    <col min="1067" max="1067" width="8" customWidth="1"/>
    <col min="1068" max="1069" width="10.21875" bestFit="1" customWidth="1"/>
    <col min="1070" max="1070" width="8" customWidth="1"/>
    <col min="1071" max="1071" width="8.6640625" customWidth="1"/>
    <col min="1072" max="1073" width="10.21875" bestFit="1" customWidth="1"/>
    <col min="1074" max="1074" width="8" customWidth="1"/>
    <col min="1075" max="1075" width="8.6640625" customWidth="1"/>
    <col min="1076" max="1077" width="10.21875" bestFit="1" customWidth="1"/>
    <col min="1078" max="1078" width="8" customWidth="1"/>
    <col min="1079" max="1081" width="10.21875" bestFit="1" customWidth="1"/>
    <col min="1082" max="1082" width="8" customWidth="1"/>
    <col min="1083" max="1084" width="10.21875" bestFit="1" customWidth="1"/>
    <col min="1085" max="1085" width="8" customWidth="1"/>
    <col min="1086" max="1086" width="10.21875" bestFit="1" customWidth="1"/>
    <col min="1087" max="1087" width="8.21875" customWidth="1"/>
    <col min="1088" max="1088" width="10.21875" bestFit="1" customWidth="1"/>
    <col min="1089" max="1089" width="8" customWidth="1"/>
    <col min="1090" max="1091" width="10.21875" bestFit="1" customWidth="1"/>
    <col min="1092" max="1092" width="8" customWidth="1"/>
    <col min="1093" max="1093" width="8.6640625" customWidth="1"/>
    <col min="1094" max="1095" width="10.21875" bestFit="1" customWidth="1"/>
    <col min="1096" max="1096" width="8" customWidth="1"/>
    <col min="1097" max="1099" width="10.21875" bestFit="1" customWidth="1"/>
    <col min="1100" max="1100" width="8" customWidth="1"/>
    <col min="1101" max="1102" width="10.21875" bestFit="1" customWidth="1"/>
    <col min="1103" max="1103" width="8.6640625" customWidth="1"/>
    <col min="1104" max="1104" width="8" customWidth="1"/>
    <col min="1105" max="1105" width="8.6640625" customWidth="1"/>
    <col min="1106" max="1107" width="10.21875" bestFit="1" customWidth="1"/>
    <col min="1108" max="1108" width="8" customWidth="1"/>
    <col min="1109" max="1111" width="10.21875" bestFit="1" customWidth="1"/>
    <col min="1112" max="1113" width="8" customWidth="1"/>
    <col min="1114" max="1116" width="10.21875" bestFit="1" customWidth="1"/>
    <col min="1117" max="1117" width="8" customWidth="1"/>
    <col min="1118" max="1120" width="10.21875" bestFit="1" customWidth="1"/>
    <col min="1121" max="1121" width="8" customWidth="1"/>
    <col min="1122" max="1124" width="10.21875" bestFit="1" customWidth="1"/>
    <col min="1125" max="1125" width="8" customWidth="1"/>
    <col min="1126" max="1128" width="10.21875" bestFit="1" customWidth="1"/>
    <col min="1129" max="1129" width="8" customWidth="1"/>
    <col min="1130" max="1131" width="10.21875" bestFit="1" customWidth="1"/>
    <col min="1132" max="1132" width="8.6640625" customWidth="1"/>
    <col min="1133" max="1133" width="8" customWidth="1"/>
    <col min="1134" max="1134" width="8.6640625" customWidth="1"/>
    <col min="1135" max="1136" width="10.21875" bestFit="1" customWidth="1"/>
    <col min="1137" max="1137" width="8" customWidth="1"/>
    <col min="1138" max="1138" width="10.21875" bestFit="1" customWidth="1"/>
    <col min="1139" max="1139" width="8.6640625" customWidth="1"/>
    <col min="1140" max="1140" width="10.21875" bestFit="1" customWidth="1"/>
    <col min="1141" max="1141" width="8" customWidth="1"/>
    <col min="1142" max="1144" width="10.21875" bestFit="1" customWidth="1"/>
    <col min="1145" max="1145" width="8" customWidth="1"/>
    <col min="1146" max="1147" width="10.21875" bestFit="1" customWidth="1"/>
    <col min="1148" max="1148" width="8.6640625" customWidth="1"/>
    <col min="1149" max="1149" width="8" customWidth="1"/>
    <col min="1150" max="1152" width="10.21875" bestFit="1" customWidth="1"/>
    <col min="1153" max="1153" width="8" customWidth="1"/>
    <col min="1154" max="1156" width="10.21875" bestFit="1" customWidth="1"/>
    <col min="1157" max="1157" width="8" customWidth="1"/>
    <col min="1158" max="1159" width="10.21875" bestFit="1" customWidth="1"/>
    <col min="1160" max="1160" width="8" customWidth="1"/>
    <col min="1161" max="1161" width="8.6640625" customWidth="1"/>
    <col min="1162" max="1163" width="10.21875" bestFit="1" customWidth="1"/>
    <col min="1164" max="1164" width="8" customWidth="1"/>
    <col min="1165" max="1166" width="10.21875" bestFit="1" customWidth="1"/>
    <col min="1167" max="1167" width="8" customWidth="1"/>
    <col min="1168" max="1168" width="10.21875" bestFit="1" customWidth="1"/>
    <col min="1169" max="1169" width="8.21875" customWidth="1"/>
    <col min="1170" max="1170" width="10.21875" bestFit="1" customWidth="1"/>
    <col min="1171" max="1171" width="8" customWidth="1"/>
    <col min="1172" max="1174" width="10.21875" bestFit="1" customWidth="1"/>
    <col min="1175" max="1175" width="8" customWidth="1"/>
    <col min="1176" max="1178" width="10.21875" bestFit="1" customWidth="1"/>
    <col min="1179" max="1179" width="8" customWidth="1"/>
    <col min="1180" max="1180" width="10.21875" bestFit="1" customWidth="1"/>
    <col min="1181" max="1181" width="8.6640625" customWidth="1"/>
    <col min="1182" max="1182" width="10.21875" bestFit="1" customWidth="1"/>
    <col min="1183" max="1183" width="8" customWidth="1"/>
    <col min="1184" max="1185" width="10.21875" bestFit="1" customWidth="1"/>
    <col min="1186" max="1186" width="8" customWidth="1"/>
    <col min="1187" max="1189" width="10.21875" bestFit="1" customWidth="1"/>
    <col min="1190" max="1190" width="8" customWidth="1"/>
    <col min="1191" max="1193" width="10.21875" bestFit="1" customWidth="1"/>
    <col min="1194" max="1194" width="8" customWidth="1"/>
    <col min="1195" max="1197" width="10.21875" bestFit="1" customWidth="1"/>
    <col min="1198" max="1198" width="8" customWidth="1"/>
    <col min="1199" max="1199" width="10.21875" bestFit="1" customWidth="1"/>
    <col min="1200" max="1200" width="8.6640625" customWidth="1"/>
    <col min="1201" max="1201" width="10.21875" bestFit="1" customWidth="1"/>
    <col min="1202" max="1202" width="8" customWidth="1"/>
    <col min="1203" max="1204" width="10.21875" bestFit="1" customWidth="1"/>
    <col min="1205" max="1205" width="8.6640625" customWidth="1"/>
    <col min="1206" max="1206" width="8" customWidth="1"/>
    <col min="1207" max="1209" width="10.21875" bestFit="1" customWidth="1"/>
    <col min="1210" max="1210" width="8" customWidth="1"/>
    <col min="1211" max="1213" width="10.21875" bestFit="1" customWidth="1"/>
    <col min="1214" max="1214" width="8" customWidth="1"/>
    <col min="1215" max="1215" width="10.21875" bestFit="1" customWidth="1"/>
    <col min="1216" max="1216" width="8.6640625" customWidth="1"/>
    <col min="1217" max="1217" width="10.21875" bestFit="1" customWidth="1"/>
    <col min="1218" max="1218" width="8" customWidth="1"/>
    <col min="1219" max="1221" width="10.21875" bestFit="1" customWidth="1"/>
    <col min="1222" max="1222" width="8" customWidth="1"/>
    <col min="1223" max="1225" width="10.21875" bestFit="1" customWidth="1"/>
    <col min="1226" max="1226" width="8" customWidth="1"/>
    <col min="1227" max="1229" width="10.21875" bestFit="1" customWidth="1"/>
    <col min="1230" max="1230" width="8" customWidth="1"/>
    <col min="1231" max="1233" width="10.21875" bestFit="1" customWidth="1"/>
    <col min="1234" max="1234" width="8" customWidth="1"/>
    <col min="1235" max="1237" width="10.21875" bestFit="1" customWidth="1"/>
    <col min="1238" max="1238" width="8" customWidth="1"/>
    <col min="1239" max="1241" width="10.21875" bestFit="1" customWidth="1"/>
    <col min="1242" max="1242" width="8" customWidth="1"/>
    <col min="1243" max="1243" width="8.6640625" customWidth="1"/>
    <col min="1244" max="1245" width="10.21875" bestFit="1" customWidth="1"/>
    <col min="1246" max="1246" width="8" customWidth="1"/>
    <col min="1247" max="1249" width="10.21875" bestFit="1" customWidth="1"/>
    <col min="1250" max="1250" width="8" customWidth="1"/>
    <col min="1251" max="1253" width="10.21875" bestFit="1" customWidth="1"/>
    <col min="1254" max="1254" width="8" customWidth="1"/>
    <col min="1255" max="1257" width="10.21875" bestFit="1" customWidth="1"/>
    <col min="1258" max="1258" width="8" customWidth="1"/>
    <col min="1259" max="1261" width="10.21875" bestFit="1" customWidth="1"/>
    <col min="1262" max="1262" width="8" customWidth="1"/>
    <col min="1263" max="1265" width="10.21875" bestFit="1" customWidth="1"/>
    <col min="1266" max="1266" width="8" customWidth="1"/>
    <col min="1267" max="1269" width="10.21875" bestFit="1" customWidth="1"/>
    <col min="1270" max="1270" width="8" customWidth="1"/>
    <col min="1271" max="1273" width="10.21875" bestFit="1" customWidth="1"/>
    <col min="1274" max="1274" width="8" customWidth="1"/>
    <col min="1275" max="1277" width="10.21875" bestFit="1" customWidth="1"/>
    <col min="1278" max="1278" width="8" customWidth="1"/>
    <col min="1279" max="1281" width="10.21875" bestFit="1" customWidth="1"/>
    <col min="1282" max="1282" width="8" customWidth="1"/>
    <col min="1283" max="1283" width="10.21875" bestFit="1" customWidth="1"/>
    <col min="1284" max="1284" width="8.6640625" customWidth="1"/>
    <col min="1285" max="1285" width="10.21875" bestFit="1" customWidth="1"/>
    <col min="1286" max="1286" width="8" customWidth="1"/>
    <col min="1287" max="1289" width="10.21875" bestFit="1" customWidth="1"/>
    <col min="1290" max="1290" width="8" customWidth="1"/>
    <col min="1291" max="1291" width="8.6640625" customWidth="1"/>
    <col min="1292" max="1293" width="10.21875" bestFit="1" customWidth="1"/>
    <col min="1294" max="1294" width="8" customWidth="1"/>
    <col min="1295" max="1296" width="10.21875" bestFit="1" customWidth="1"/>
    <col min="1297" max="1297" width="8" customWidth="1"/>
    <col min="1298" max="1298" width="8.6640625" customWidth="1"/>
    <col min="1299" max="1300" width="10.21875" bestFit="1" customWidth="1"/>
    <col min="1301" max="1301" width="8" customWidth="1"/>
    <col min="1302" max="1304" width="10.21875" bestFit="1" customWidth="1"/>
    <col min="1305" max="1305" width="8" customWidth="1"/>
    <col min="1306" max="1307" width="10.21875" bestFit="1" customWidth="1"/>
    <col min="1308" max="1308" width="8" customWidth="1"/>
    <col min="1309" max="1311" width="10.21875" bestFit="1" customWidth="1"/>
    <col min="1312" max="1312" width="8" customWidth="1"/>
    <col min="1313" max="1314" width="10.21875" bestFit="1" customWidth="1"/>
    <col min="1315" max="1315" width="8.6640625" customWidth="1"/>
    <col min="1316" max="1316" width="8" customWidth="1"/>
    <col min="1317" max="1319" width="10.21875" bestFit="1" customWidth="1"/>
    <col min="1320" max="1320" width="8" customWidth="1"/>
    <col min="1321" max="1323" width="10.21875" bestFit="1" customWidth="1"/>
    <col min="1324" max="1324" width="8" customWidth="1"/>
    <col min="1325" max="1327" width="10.21875" bestFit="1" customWidth="1"/>
    <col min="1328" max="1328" width="8" customWidth="1"/>
    <col min="1329" max="1330" width="10.21875" bestFit="1" customWidth="1"/>
    <col min="1331" max="1331" width="8" customWidth="1"/>
    <col min="1332" max="1334" width="10.21875" bestFit="1" customWidth="1"/>
    <col min="1335" max="1335" width="8" customWidth="1"/>
    <col min="1336" max="1338" width="10.21875" bestFit="1" customWidth="1"/>
    <col min="1339" max="1339" width="5.5546875" customWidth="1"/>
    <col min="1340" max="1342" width="8.21875" customWidth="1"/>
    <col min="1343" max="1343" width="10.77734375" bestFit="1" customWidth="1"/>
  </cols>
  <sheetData>
    <row r="1" spans="1:31" x14ac:dyDescent="0.3">
      <c r="A1" s="5" t="s">
        <v>1</v>
      </c>
      <c r="B1" t="s">
        <v>60</v>
      </c>
      <c r="N1" s="5" t="s">
        <v>1</v>
      </c>
      <c r="O1" t="s">
        <v>60</v>
      </c>
      <c r="Q1" s="5" t="s">
        <v>1</v>
      </c>
      <c r="R1" t="s">
        <v>60</v>
      </c>
      <c r="T1" s="5" t="s">
        <v>1</v>
      </c>
      <c r="U1" t="s">
        <v>60</v>
      </c>
      <c r="W1" s="5" t="s">
        <v>1</v>
      </c>
      <c r="X1" t="s">
        <v>60</v>
      </c>
      <c r="Z1" s="5" t="s">
        <v>1</v>
      </c>
      <c r="AA1" t="s">
        <v>60</v>
      </c>
    </row>
    <row r="2" spans="1:31" x14ac:dyDescent="0.3">
      <c r="A2" s="5" t="s">
        <v>3</v>
      </c>
      <c r="B2" t="s">
        <v>60</v>
      </c>
      <c r="N2" s="5" t="s">
        <v>16</v>
      </c>
      <c r="O2" t="s">
        <v>60</v>
      </c>
      <c r="Q2" s="5" t="s">
        <v>19</v>
      </c>
      <c r="R2" t="s">
        <v>60</v>
      </c>
      <c r="T2" s="5" t="s">
        <v>20</v>
      </c>
      <c r="U2" t="s">
        <v>60</v>
      </c>
      <c r="W2" s="5" t="s">
        <v>21</v>
      </c>
      <c r="X2" t="s">
        <v>60</v>
      </c>
      <c r="Z2" s="5" t="s">
        <v>22</v>
      </c>
      <c r="AA2" t="s">
        <v>60</v>
      </c>
    </row>
    <row r="3" spans="1:31" x14ac:dyDescent="0.3">
      <c r="A3" s="5" t="s">
        <v>9</v>
      </c>
      <c r="B3" t="s">
        <v>60</v>
      </c>
      <c r="N3" s="8" t="s">
        <v>16</v>
      </c>
      <c r="Q3" s="8" t="s">
        <v>19</v>
      </c>
      <c r="T3" s="8" t="s">
        <v>20</v>
      </c>
      <c r="W3" s="8" t="s">
        <v>21</v>
      </c>
      <c r="Z3" s="5" t="s">
        <v>23</v>
      </c>
      <c r="AA3" t="s">
        <v>60</v>
      </c>
    </row>
    <row r="4" spans="1:31" x14ac:dyDescent="0.3">
      <c r="A4" s="5" t="s">
        <v>8</v>
      </c>
      <c r="B4" t="s">
        <v>60</v>
      </c>
      <c r="N4" t="s">
        <v>73</v>
      </c>
      <c r="Q4" t="s">
        <v>74</v>
      </c>
      <c r="T4" t="s">
        <v>75</v>
      </c>
      <c r="W4" t="s">
        <v>76</v>
      </c>
      <c r="Z4" s="5" t="s">
        <v>25</v>
      </c>
      <c r="AA4" t="s">
        <v>60</v>
      </c>
    </row>
    <row r="5" spans="1:31" x14ac:dyDescent="0.3">
      <c r="A5" s="5" t="s">
        <v>5</v>
      </c>
      <c r="B5" t="s">
        <v>60</v>
      </c>
      <c r="N5" s="7">
        <v>56871.200000000012</v>
      </c>
      <c r="Q5" s="7">
        <v>51852.80000000001</v>
      </c>
      <c r="T5" s="7">
        <v>34256.999999999985</v>
      </c>
      <c r="W5" s="7">
        <v>50372.19999999999</v>
      </c>
      <c r="Z5" s="5" t="s">
        <v>24</v>
      </c>
      <c r="AA5" t="s">
        <v>60</v>
      </c>
    </row>
    <row r="6" spans="1:31" x14ac:dyDescent="0.3">
      <c r="A6" s="5" t="s">
        <v>10</v>
      </c>
      <c r="B6" t="s">
        <v>60</v>
      </c>
      <c r="Z6" s="5" t="s">
        <v>26</v>
      </c>
      <c r="AA6" t="s">
        <v>60</v>
      </c>
    </row>
    <row r="7" spans="1:31" x14ac:dyDescent="0.3">
      <c r="A7" s="5" t="s">
        <v>4</v>
      </c>
      <c r="B7" t="s">
        <v>60</v>
      </c>
      <c r="Z7" s="5" t="s">
        <v>27</v>
      </c>
      <c r="AA7" t="s">
        <v>60</v>
      </c>
    </row>
    <row r="8" spans="1:31" x14ac:dyDescent="0.3">
      <c r="A8" s="5" t="s">
        <v>11</v>
      </c>
      <c r="B8" t="s">
        <v>60</v>
      </c>
      <c r="Z8" s="3" t="s">
        <v>38</v>
      </c>
    </row>
    <row r="9" spans="1:31" x14ac:dyDescent="0.3">
      <c r="A9" s="5" t="s">
        <v>7</v>
      </c>
      <c r="B9" t="s">
        <v>60</v>
      </c>
      <c r="Z9" t="s">
        <v>77</v>
      </c>
      <c r="AA9" t="s">
        <v>78</v>
      </c>
      <c r="AB9" t="s">
        <v>79</v>
      </c>
      <c r="AC9" t="s">
        <v>80</v>
      </c>
      <c r="AD9" t="s">
        <v>81</v>
      </c>
      <c r="AE9" t="s">
        <v>82</v>
      </c>
    </row>
    <row r="10" spans="1:31" x14ac:dyDescent="0.3">
      <c r="A10" s="5" t="s">
        <v>13</v>
      </c>
      <c r="B10" t="s">
        <v>60</v>
      </c>
      <c r="Z10" s="7">
        <v>50027.400000000009</v>
      </c>
      <c r="AA10" s="7">
        <v>51112.700000000019</v>
      </c>
      <c r="AB10" s="7">
        <v>46544.399999999965</v>
      </c>
      <c r="AC10" s="7">
        <v>49004.399999999994</v>
      </c>
      <c r="AD10" s="7">
        <v>51654</v>
      </c>
      <c r="AE10" s="7">
        <v>48806.1</v>
      </c>
    </row>
    <row r="11" spans="1:31" x14ac:dyDescent="0.3">
      <c r="A11" s="5" t="s">
        <v>12</v>
      </c>
      <c r="B11" t="s">
        <v>60</v>
      </c>
    </row>
    <row r="12" spans="1:31" x14ac:dyDescent="0.3">
      <c r="A12" s="5" t="s">
        <v>6</v>
      </c>
      <c r="B12" t="s">
        <v>60</v>
      </c>
    </row>
    <row r="13" spans="1:31" x14ac:dyDescent="0.3">
      <c r="A13" s="5" t="s">
        <v>14</v>
      </c>
      <c r="B13" t="s">
        <v>60</v>
      </c>
    </row>
    <row r="14" spans="1:31" x14ac:dyDescent="0.3">
      <c r="A14" s="2" t="s">
        <v>36</v>
      </c>
    </row>
    <row r="15" spans="1:31" x14ac:dyDescent="0.3">
      <c r="A15" t="s">
        <v>61</v>
      </c>
      <c r="B15" t="s">
        <v>62</v>
      </c>
      <c r="C15" t="s">
        <v>63</v>
      </c>
      <c r="D15" t="s">
        <v>64</v>
      </c>
      <c r="E15" t="s">
        <v>65</v>
      </c>
      <c r="F15" t="s">
        <v>66</v>
      </c>
      <c r="G15" t="s">
        <v>67</v>
      </c>
      <c r="H15" t="s">
        <v>68</v>
      </c>
      <c r="I15" t="s">
        <v>69</v>
      </c>
      <c r="J15" t="s">
        <v>70</v>
      </c>
      <c r="K15" t="s">
        <v>71</v>
      </c>
      <c r="L15" t="s">
        <v>72</v>
      </c>
    </row>
    <row r="16" spans="1:31" x14ac:dyDescent="0.3">
      <c r="A16" s="7">
        <v>50437.099999999977</v>
      </c>
      <c r="B16" s="7">
        <v>54565.900000000045</v>
      </c>
      <c r="C16" s="7">
        <v>40931.299999999967</v>
      </c>
      <c r="D16" s="7">
        <v>52188.000000000015</v>
      </c>
      <c r="E16" s="7">
        <v>53328.700000000026</v>
      </c>
      <c r="F16" s="7">
        <v>57472.499999999985</v>
      </c>
      <c r="G16" s="7">
        <v>49480.299999999981</v>
      </c>
      <c r="H16" s="7">
        <v>51970.299999999967</v>
      </c>
      <c r="I16" s="7">
        <v>51780.000000000036</v>
      </c>
      <c r="J16" s="7">
        <v>57192.899999999987</v>
      </c>
      <c r="K16" s="7">
        <v>48754.599999999991</v>
      </c>
      <c r="L16" s="7">
        <v>51954.299999999996</v>
      </c>
    </row>
  </sheetData>
  <pageMargins left="0.7" right="0.7" top="0.75" bottom="0.75" header="0.3" footer="0.3"/>
  <pageSetup paperSize="9" orientation="portrait"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D373"/>
  <sheetViews>
    <sheetView workbookViewId="0">
      <selection activeCell="F9" sqref="F9"/>
    </sheetView>
  </sheetViews>
  <sheetFormatPr defaultRowHeight="14.4" x14ac:dyDescent="0.3"/>
  <cols>
    <col min="1" max="1" width="11.21875" bestFit="1" customWidth="1"/>
    <col min="2" max="2" width="5" bestFit="1" customWidth="1"/>
    <col min="3" max="3" width="10" bestFit="1" customWidth="1"/>
    <col min="4" max="4" width="18.77734375" bestFit="1" customWidth="1"/>
    <col min="5" max="5" width="12.5546875" bestFit="1" customWidth="1"/>
    <col min="6" max="6" width="6" bestFit="1" customWidth="1"/>
    <col min="7" max="7" width="16.33203125" bestFit="1" customWidth="1"/>
    <col min="8" max="8" width="11.21875" bestFit="1" customWidth="1"/>
    <col min="9" max="9" width="6" bestFit="1" customWidth="1"/>
    <col min="10" max="10" width="10.21875" bestFit="1" customWidth="1"/>
    <col min="11" max="11" width="18" bestFit="1" customWidth="1"/>
    <col min="12" max="12" width="22.109375" bestFit="1" customWidth="1"/>
    <col min="13" max="13" width="6.21875" bestFit="1" customWidth="1"/>
    <col min="14" max="14" width="22" bestFit="1" customWidth="1"/>
    <col min="15" max="15" width="31.33203125" bestFit="1" customWidth="1"/>
    <col min="16" max="16" width="18.109375" bestFit="1" customWidth="1"/>
    <col min="17" max="17" width="25.6640625" bestFit="1" customWidth="1"/>
    <col min="18" max="18" width="8" bestFit="1" customWidth="1"/>
    <col min="19" max="19" width="8.88671875" bestFit="1" customWidth="1"/>
    <col min="20" max="20" width="20" bestFit="1" customWidth="1"/>
    <col min="21" max="21" width="7.77734375" bestFit="1" customWidth="1"/>
    <col min="22" max="22" width="12.21875" bestFit="1" customWidth="1"/>
    <col min="23" max="23" width="26.6640625" bestFit="1" customWidth="1"/>
    <col min="24" max="24" width="6.44140625" bestFit="1" customWidth="1"/>
    <col min="25" max="25" width="26.88671875" bestFit="1" customWidth="1"/>
    <col min="26" max="26" width="24.44140625" bestFit="1" customWidth="1"/>
    <col min="27" max="27" width="9.44140625" bestFit="1" customWidth="1"/>
    <col min="28" max="28" width="22.33203125" bestFit="1" customWidth="1"/>
    <col min="29" max="29" width="12.88671875" bestFit="1" customWidth="1"/>
    <col min="30" max="30" width="12.44140625" bestFit="1" customWidth="1"/>
  </cols>
  <sheetData>
    <row r="1" spans="1:30" x14ac:dyDescent="0.3">
      <c r="A1" s="48" t="s">
        <v>0</v>
      </c>
      <c r="B1" s="48" t="s">
        <v>1</v>
      </c>
      <c r="C1" s="48" t="s">
        <v>2</v>
      </c>
      <c r="D1" s="48" t="s">
        <v>3</v>
      </c>
      <c r="E1" s="48" t="s">
        <v>4</v>
      </c>
      <c r="F1" s="48" t="s">
        <v>5</v>
      </c>
      <c r="G1" s="48" t="s">
        <v>6</v>
      </c>
      <c r="H1" s="48" t="s">
        <v>7</v>
      </c>
      <c r="I1" s="48" t="s">
        <v>8</v>
      </c>
      <c r="J1" s="48" t="s">
        <v>9</v>
      </c>
      <c r="K1" s="48" t="s">
        <v>10</v>
      </c>
      <c r="L1" s="48" t="s">
        <v>11</v>
      </c>
      <c r="M1" s="48" t="s">
        <v>12</v>
      </c>
      <c r="N1" s="48" t="s">
        <v>13</v>
      </c>
      <c r="O1" s="48" t="s">
        <v>14</v>
      </c>
      <c r="P1" s="48" t="s">
        <v>15</v>
      </c>
      <c r="Q1" s="48" t="s">
        <v>16</v>
      </c>
      <c r="R1" s="48" t="s">
        <v>17</v>
      </c>
      <c r="S1" s="48" t="s">
        <v>18</v>
      </c>
      <c r="T1" s="48" t="s">
        <v>19</v>
      </c>
      <c r="U1" s="48" t="s">
        <v>20</v>
      </c>
      <c r="V1" s="48" t="s">
        <v>21</v>
      </c>
      <c r="W1" s="48" t="s">
        <v>22</v>
      </c>
      <c r="X1" s="48" t="s">
        <v>23</v>
      </c>
      <c r="Y1" s="48" t="s">
        <v>24</v>
      </c>
      <c r="Z1" s="48" t="s">
        <v>25</v>
      </c>
      <c r="AA1" s="48" t="s">
        <v>26</v>
      </c>
      <c r="AB1" s="48" t="s">
        <v>27</v>
      </c>
      <c r="AC1" s="48" t="s">
        <v>28</v>
      </c>
      <c r="AD1" s="48" t="s">
        <v>29</v>
      </c>
    </row>
    <row r="2" spans="1:30" x14ac:dyDescent="0.3">
      <c r="A2" s="49" t="s">
        <v>41</v>
      </c>
      <c r="B2" s="49">
        <v>2013</v>
      </c>
      <c r="C2" s="49" t="s">
        <v>42</v>
      </c>
      <c r="D2" s="49">
        <v>107.5</v>
      </c>
      <c r="E2" s="49">
        <v>106.3</v>
      </c>
      <c r="F2" s="49">
        <v>108.1</v>
      </c>
      <c r="G2" s="49">
        <v>104.9</v>
      </c>
      <c r="H2" s="49">
        <v>106.1</v>
      </c>
      <c r="I2" s="49">
        <v>103.9</v>
      </c>
      <c r="J2" s="49">
        <v>101.9</v>
      </c>
      <c r="K2" s="49">
        <v>106.1</v>
      </c>
      <c r="L2" s="49">
        <v>106.8</v>
      </c>
      <c r="M2" s="49">
        <v>103.1</v>
      </c>
      <c r="N2" s="49">
        <v>104.8</v>
      </c>
      <c r="O2" s="49">
        <v>106.7</v>
      </c>
      <c r="P2" s="49">
        <v>105.5</v>
      </c>
      <c r="Q2" s="49">
        <v>105.1</v>
      </c>
      <c r="R2" s="49">
        <v>106.5</v>
      </c>
      <c r="S2" s="49">
        <v>105.8</v>
      </c>
      <c r="T2" s="49">
        <v>106.4</v>
      </c>
      <c r="U2" s="49" t="s">
        <v>43</v>
      </c>
      <c r="V2" s="49">
        <v>105.5</v>
      </c>
      <c r="W2" s="49">
        <v>104.8</v>
      </c>
      <c r="X2" s="49">
        <v>104</v>
      </c>
      <c r="Y2" s="49">
        <v>103.3</v>
      </c>
      <c r="Z2" s="49">
        <v>103.4</v>
      </c>
      <c r="AA2" s="49">
        <v>103.8</v>
      </c>
      <c r="AB2" s="49">
        <v>104.7</v>
      </c>
      <c r="AC2" s="49">
        <v>104</v>
      </c>
      <c r="AD2" s="49">
        <v>105.1</v>
      </c>
    </row>
    <row r="3" spans="1:30" x14ac:dyDescent="0.3">
      <c r="A3" s="49" t="s">
        <v>44</v>
      </c>
      <c r="B3" s="49">
        <v>2013</v>
      </c>
      <c r="C3" s="49" t="s">
        <v>42</v>
      </c>
      <c r="D3" s="49">
        <v>110.5</v>
      </c>
      <c r="E3" s="49">
        <v>109.1</v>
      </c>
      <c r="F3" s="49">
        <v>113</v>
      </c>
      <c r="G3" s="49">
        <v>103.6</v>
      </c>
      <c r="H3" s="49">
        <v>103.4</v>
      </c>
      <c r="I3" s="49">
        <v>102.3</v>
      </c>
      <c r="J3" s="49">
        <v>102.9</v>
      </c>
      <c r="K3" s="49">
        <v>105.8</v>
      </c>
      <c r="L3" s="49">
        <v>105.1</v>
      </c>
      <c r="M3" s="49">
        <v>101.8</v>
      </c>
      <c r="N3" s="49">
        <v>105.1</v>
      </c>
      <c r="O3" s="49">
        <v>107.9</v>
      </c>
      <c r="P3" s="49">
        <v>105.9</v>
      </c>
      <c r="Q3" s="49">
        <v>105.2</v>
      </c>
      <c r="R3" s="49">
        <v>105.9</v>
      </c>
      <c r="S3" s="49">
        <v>105</v>
      </c>
      <c r="T3" s="49">
        <v>105.8</v>
      </c>
      <c r="U3" s="49">
        <v>100.3</v>
      </c>
      <c r="V3" s="49">
        <v>105.4</v>
      </c>
      <c r="W3" s="49">
        <v>104.8</v>
      </c>
      <c r="X3" s="49">
        <v>104.1</v>
      </c>
      <c r="Y3" s="49">
        <v>103.2</v>
      </c>
      <c r="Z3" s="49">
        <v>102.9</v>
      </c>
      <c r="AA3" s="49">
        <v>103.5</v>
      </c>
      <c r="AB3" s="49">
        <v>104.3</v>
      </c>
      <c r="AC3" s="49">
        <v>103.7</v>
      </c>
      <c r="AD3" s="49">
        <v>104</v>
      </c>
    </row>
    <row r="4" spans="1:30" x14ac:dyDescent="0.3">
      <c r="A4" s="49" t="s">
        <v>30</v>
      </c>
      <c r="B4" s="49">
        <v>2013</v>
      </c>
      <c r="C4" s="49" t="s">
        <v>42</v>
      </c>
      <c r="D4" s="49">
        <v>108.4</v>
      </c>
      <c r="E4" s="49">
        <v>107.3</v>
      </c>
      <c r="F4" s="49">
        <v>110</v>
      </c>
      <c r="G4" s="49">
        <v>104.4</v>
      </c>
      <c r="H4" s="49">
        <v>105.1</v>
      </c>
      <c r="I4" s="49">
        <v>103.2</v>
      </c>
      <c r="J4" s="49">
        <v>102.2</v>
      </c>
      <c r="K4" s="49">
        <v>106</v>
      </c>
      <c r="L4" s="49">
        <v>106.2</v>
      </c>
      <c r="M4" s="49">
        <v>102.7</v>
      </c>
      <c r="N4" s="49">
        <v>104.9</v>
      </c>
      <c r="O4" s="49">
        <v>107.3</v>
      </c>
      <c r="P4" s="49">
        <v>105.6</v>
      </c>
      <c r="Q4" s="49">
        <v>105.1</v>
      </c>
      <c r="R4" s="49">
        <v>106.3</v>
      </c>
      <c r="S4" s="49">
        <v>105.5</v>
      </c>
      <c r="T4" s="49">
        <v>106.2</v>
      </c>
      <c r="U4" s="49">
        <v>100.3</v>
      </c>
      <c r="V4" s="49">
        <v>105.5</v>
      </c>
      <c r="W4" s="49">
        <v>104.8</v>
      </c>
      <c r="X4" s="49">
        <v>104</v>
      </c>
      <c r="Y4" s="49">
        <v>103.2</v>
      </c>
      <c r="Z4" s="49">
        <v>103.1</v>
      </c>
      <c r="AA4" s="49">
        <v>103.6</v>
      </c>
      <c r="AB4" s="49">
        <v>104.5</v>
      </c>
      <c r="AC4" s="49">
        <v>103.9</v>
      </c>
      <c r="AD4" s="49">
        <v>104.6</v>
      </c>
    </row>
    <row r="5" spans="1:30" x14ac:dyDescent="0.3">
      <c r="A5" s="49" t="s">
        <v>41</v>
      </c>
      <c r="B5" s="49">
        <v>2013</v>
      </c>
      <c r="C5" s="49" t="s">
        <v>45</v>
      </c>
      <c r="D5" s="49">
        <v>109.2</v>
      </c>
      <c r="E5" s="49">
        <v>108.7</v>
      </c>
      <c r="F5" s="49">
        <v>110.2</v>
      </c>
      <c r="G5" s="49">
        <v>105.4</v>
      </c>
      <c r="H5" s="49">
        <v>106.7</v>
      </c>
      <c r="I5" s="49">
        <v>104</v>
      </c>
      <c r="J5" s="49">
        <v>102.4</v>
      </c>
      <c r="K5" s="49">
        <v>105.9</v>
      </c>
      <c r="L5" s="49">
        <v>105.7</v>
      </c>
      <c r="M5" s="49">
        <v>103.1</v>
      </c>
      <c r="N5" s="49">
        <v>105.1</v>
      </c>
      <c r="O5" s="49">
        <v>107.7</v>
      </c>
      <c r="P5" s="49">
        <v>106.3</v>
      </c>
      <c r="Q5" s="49">
        <v>105.6</v>
      </c>
      <c r="R5" s="49">
        <v>107.1</v>
      </c>
      <c r="S5" s="49">
        <v>106.3</v>
      </c>
      <c r="T5" s="49">
        <v>107</v>
      </c>
      <c r="U5" s="49" t="s">
        <v>43</v>
      </c>
      <c r="V5" s="49">
        <v>106.2</v>
      </c>
      <c r="W5" s="49">
        <v>105.2</v>
      </c>
      <c r="X5" s="49">
        <v>104.4</v>
      </c>
      <c r="Y5" s="49">
        <v>103.9</v>
      </c>
      <c r="Z5" s="49">
        <v>104</v>
      </c>
      <c r="AA5" s="49">
        <v>104.1</v>
      </c>
      <c r="AB5" s="49">
        <v>104.6</v>
      </c>
      <c r="AC5" s="49">
        <v>104.4</v>
      </c>
      <c r="AD5" s="49">
        <v>105.8</v>
      </c>
    </row>
    <row r="6" spans="1:30" x14ac:dyDescent="0.3">
      <c r="A6" s="49" t="s">
        <v>44</v>
      </c>
      <c r="B6" s="49">
        <v>2013</v>
      </c>
      <c r="C6" s="49" t="s">
        <v>45</v>
      </c>
      <c r="D6" s="49">
        <v>112.9</v>
      </c>
      <c r="E6" s="49">
        <v>112.9</v>
      </c>
      <c r="F6" s="49">
        <v>116.9</v>
      </c>
      <c r="G6" s="49">
        <v>104</v>
      </c>
      <c r="H6" s="49">
        <v>103.5</v>
      </c>
      <c r="I6" s="49">
        <v>103.1</v>
      </c>
      <c r="J6" s="49">
        <v>104.9</v>
      </c>
      <c r="K6" s="49">
        <v>104.1</v>
      </c>
      <c r="L6" s="49">
        <v>103.8</v>
      </c>
      <c r="M6" s="49">
        <v>102.3</v>
      </c>
      <c r="N6" s="49">
        <v>106</v>
      </c>
      <c r="O6" s="49">
        <v>109</v>
      </c>
      <c r="P6" s="49">
        <v>107.2</v>
      </c>
      <c r="Q6" s="49">
        <v>106</v>
      </c>
      <c r="R6" s="49">
        <v>106.6</v>
      </c>
      <c r="S6" s="49">
        <v>105.5</v>
      </c>
      <c r="T6" s="49">
        <v>106.4</v>
      </c>
      <c r="U6" s="49">
        <v>100.4</v>
      </c>
      <c r="V6" s="49">
        <v>105.7</v>
      </c>
      <c r="W6" s="49">
        <v>105.2</v>
      </c>
      <c r="X6" s="49">
        <v>104.7</v>
      </c>
      <c r="Y6" s="49">
        <v>104.4</v>
      </c>
      <c r="Z6" s="49">
        <v>103.3</v>
      </c>
      <c r="AA6" s="49">
        <v>103.7</v>
      </c>
      <c r="AB6" s="49">
        <v>104.3</v>
      </c>
      <c r="AC6" s="49">
        <v>104.3</v>
      </c>
      <c r="AD6" s="49">
        <v>104.7</v>
      </c>
    </row>
    <row r="7" spans="1:30" x14ac:dyDescent="0.3">
      <c r="A7" s="49" t="s">
        <v>30</v>
      </c>
      <c r="B7" s="49">
        <v>2013</v>
      </c>
      <c r="C7" s="49" t="s">
        <v>45</v>
      </c>
      <c r="D7" s="49">
        <v>110.4</v>
      </c>
      <c r="E7" s="49">
        <v>110.2</v>
      </c>
      <c r="F7" s="49">
        <v>112.8</v>
      </c>
      <c r="G7" s="49">
        <v>104.9</v>
      </c>
      <c r="H7" s="49">
        <v>105.5</v>
      </c>
      <c r="I7" s="49">
        <v>103.6</v>
      </c>
      <c r="J7" s="49">
        <v>103.2</v>
      </c>
      <c r="K7" s="49">
        <v>105.3</v>
      </c>
      <c r="L7" s="49">
        <v>105.1</v>
      </c>
      <c r="M7" s="49">
        <v>102.8</v>
      </c>
      <c r="N7" s="49">
        <v>105.5</v>
      </c>
      <c r="O7" s="49">
        <v>108.3</v>
      </c>
      <c r="P7" s="49">
        <v>106.6</v>
      </c>
      <c r="Q7" s="49">
        <v>105.7</v>
      </c>
      <c r="R7" s="49">
        <v>106.9</v>
      </c>
      <c r="S7" s="49">
        <v>106</v>
      </c>
      <c r="T7" s="49">
        <v>106.8</v>
      </c>
      <c r="U7" s="49">
        <v>100.4</v>
      </c>
      <c r="V7" s="49">
        <v>106</v>
      </c>
      <c r="W7" s="49">
        <v>105.2</v>
      </c>
      <c r="X7" s="49">
        <v>104.5</v>
      </c>
      <c r="Y7" s="49">
        <v>104.2</v>
      </c>
      <c r="Z7" s="49">
        <v>103.6</v>
      </c>
      <c r="AA7" s="49">
        <v>103.9</v>
      </c>
      <c r="AB7" s="49">
        <v>104.5</v>
      </c>
      <c r="AC7" s="49">
        <v>104.4</v>
      </c>
      <c r="AD7" s="49">
        <v>105.3</v>
      </c>
    </row>
    <row r="8" spans="1:30" x14ac:dyDescent="0.3">
      <c r="A8" s="49" t="s">
        <v>41</v>
      </c>
      <c r="B8" s="49">
        <v>2013</v>
      </c>
      <c r="C8" s="49" t="s">
        <v>46</v>
      </c>
      <c r="D8" s="49">
        <v>110.2</v>
      </c>
      <c r="E8" s="49">
        <v>108.8</v>
      </c>
      <c r="F8" s="49">
        <v>109.9</v>
      </c>
      <c r="G8" s="49">
        <v>105.6</v>
      </c>
      <c r="H8" s="49">
        <v>106.2</v>
      </c>
      <c r="I8" s="49">
        <v>105.7</v>
      </c>
      <c r="J8" s="49">
        <v>101.4</v>
      </c>
      <c r="K8" s="49">
        <v>105.7</v>
      </c>
      <c r="L8" s="49">
        <v>105</v>
      </c>
      <c r="M8" s="49">
        <v>103.3</v>
      </c>
      <c r="N8" s="49">
        <v>105.6</v>
      </c>
      <c r="O8" s="49">
        <v>108.2</v>
      </c>
      <c r="P8" s="49">
        <v>106.6</v>
      </c>
      <c r="Q8" s="49">
        <v>106.5</v>
      </c>
      <c r="R8" s="49">
        <v>107.6</v>
      </c>
      <c r="S8" s="49">
        <v>106.8</v>
      </c>
      <c r="T8" s="49">
        <v>107.5</v>
      </c>
      <c r="U8" s="49" t="s">
        <v>43</v>
      </c>
      <c r="V8" s="49">
        <v>106.1</v>
      </c>
      <c r="W8" s="49">
        <v>105.6</v>
      </c>
      <c r="X8" s="49">
        <v>104.7</v>
      </c>
      <c r="Y8" s="49">
        <v>104.6</v>
      </c>
      <c r="Z8" s="49">
        <v>104</v>
      </c>
      <c r="AA8" s="49">
        <v>104.3</v>
      </c>
      <c r="AB8" s="49">
        <v>104.3</v>
      </c>
      <c r="AC8" s="49">
        <v>104.6</v>
      </c>
      <c r="AD8" s="49">
        <v>106</v>
      </c>
    </row>
    <row r="9" spans="1:30" x14ac:dyDescent="0.3">
      <c r="A9" s="49" t="s">
        <v>44</v>
      </c>
      <c r="B9" s="49">
        <v>2013</v>
      </c>
      <c r="C9" s="49" t="s">
        <v>46</v>
      </c>
      <c r="D9" s="49">
        <v>113.9</v>
      </c>
      <c r="E9" s="49">
        <v>111.4</v>
      </c>
      <c r="F9" s="49">
        <v>113.2</v>
      </c>
      <c r="G9" s="49">
        <v>104.3</v>
      </c>
      <c r="H9" s="49">
        <v>102.7</v>
      </c>
      <c r="I9" s="49">
        <v>104.9</v>
      </c>
      <c r="J9" s="49">
        <v>103.8</v>
      </c>
      <c r="K9" s="49">
        <v>103.5</v>
      </c>
      <c r="L9" s="49">
        <v>102.6</v>
      </c>
      <c r="M9" s="49">
        <v>102.4</v>
      </c>
      <c r="N9" s="49">
        <v>107</v>
      </c>
      <c r="O9" s="49">
        <v>109.8</v>
      </c>
      <c r="P9" s="49">
        <v>107.3</v>
      </c>
      <c r="Q9" s="49">
        <v>106.8</v>
      </c>
      <c r="R9" s="49">
        <v>107.2</v>
      </c>
      <c r="S9" s="49">
        <v>106</v>
      </c>
      <c r="T9" s="49">
        <v>107</v>
      </c>
      <c r="U9" s="49">
        <v>100.4</v>
      </c>
      <c r="V9" s="49">
        <v>106</v>
      </c>
      <c r="W9" s="49">
        <v>105.7</v>
      </c>
      <c r="X9" s="49">
        <v>105.2</v>
      </c>
      <c r="Y9" s="49">
        <v>105.5</v>
      </c>
      <c r="Z9" s="49">
        <v>103.5</v>
      </c>
      <c r="AA9" s="49">
        <v>103.8</v>
      </c>
      <c r="AB9" s="49">
        <v>104.2</v>
      </c>
      <c r="AC9" s="49">
        <v>104.9</v>
      </c>
      <c r="AD9" s="49">
        <v>105</v>
      </c>
    </row>
    <row r="10" spans="1:30" x14ac:dyDescent="0.3">
      <c r="A10" s="49" t="s">
        <v>30</v>
      </c>
      <c r="B10" s="49">
        <v>2013</v>
      </c>
      <c r="C10" s="49" t="s">
        <v>46</v>
      </c>
      <c r="D10" s="49">
        <v>111.4</v>
      </c>
      <c r="E10" s="49">
        <v>109.7</v>
      </c>
      <c r="F10" s="49">
        <v>111.2</v>
      </c>
      <c r="G10" s="49">
        <v>105.1</v>
      </c>
      <c r="H10" s="49">
        <v>104.9</v>
      </c>
      <c r="I10" s="49">
        <v>105.3</v>
      </c>
      <c r="J10" s="49">
        <v>102.2</v>
      </c>
      <c r="K10" s="49">
        <v>105</v>
      </c>
      <c r="L10" s="49">
        <v>104.2</v>
      </c>
      <c r="M10" s="49">
        <v>103</v>
      </c>
      <c r="N10" s="49">
        <v>106.2</v>
      </c>
      <c r="O10" s="49">
        <v>108.9</v>
      </c>
      <c r="P10" s="49">
        <v>106.9</v>
      </c>
      <c r="Q10" s="49">
        <v>106.6</v>
      </c>
      <c r="R10" s="49">
        <v>107.4</v>
      </c>
      <c r="S10" s="49">
        <v>106.5</v>
      </c>
      <c r="T10" s="49">
        <v>107.3</v>
      </c>
      <c r="U10" s="49">
        <v>100.4</v>
      </c>
      <c r="V10" s="49">
        <v>106.1</v>
      </c>
      <c r="W10" s="49">
        <v>105.6</v>
      </c>
      <c r="X10" s="49">
        <v>104.9</v>
      </c>
      <c r="Y10" s="49">
        <v>105.1</v>
      </c>
      <c r="Z10" s="49">
        <v>103.7</v>
      </c>
      <c r="AA10" s="49">
        <v>104</v>
      </c>
      <c r="AB10" s="49">
        <v>104.3</v>
      </c>
      <c r="AC10" s="49">
        <v>104.7</v>
      </c>
      <c r="AD10" s="49">
        <v>105.5</v>
      </c>
    </row>
    <row r="11" spans="1:30" x14ac:dyDescent="0.3">
      <c r="A11" s="49" t="s">
        <v>41</v>
      </c>
      <c r="B11" s="49">
        <v>2013</v>
      </c>
      <c r="C11" s="49" t="s">
        <v>47</v>
      </c>
      <c r="D11" s="49">
        <v>110.2</v>
      </c>
      <c r="E11" s="49">
        <v>109.5</v>
      </c>
      <c r="F11" s="49">
        <v>106.9</v>
      </c>
      <c r="G11" s="49">
        <v>106.3</v>
      </c>
      <c r="H11" s="49">
        <v>105.7</v>
      </c>
      <c r="I11" s="49">
        <v>108.3</v>
      </c>
      <c r="J11" s="49">
        <v>103.4</v>
      </c>
      <c r="K11" s="49">
        <v>105.7</v>
      </c>
      <c r="L11" s="49">
        <v>104.2</v>
      </c>
      <c r="M11" s="49">
        <v>103.2</v>
      </c>
      <c r="N11" s="49">
        <v>106.5</v>
      </c>
      <c r="O11" s="49">
        <v>108.8</v>
      </c>
      <c r="P11" s="49">
        <v>107.1</v>
      </c>
      <c r="Q11" s="49">
        <v>107.1</v>
      </c>
      <c r="R11" s="49">
        <v>108.1</v>
      </c>
      <c r="S11" s="49">
        <v>107.4</v>
      </c>
      <c r="T11" s="49">
        <v>108</v>
      </c>
      <c r="U11" s="49" t="s">
        <v>43</v>
      </c>
      <c r="V11" s="49">
        <v>106.5</v>
      </c>
      <c r="W11" s="49">
        <v>106.1</v>
      </c>
      <c r="X11" s="49">
        <v>105.1</v>
      </c>
      <c r="Y11" s="49">
        <v>104.4</v>
      </c>
      <c r="Z11" s="49">
        <v>104.5</v>
      </c>
      <c r="AA11" s="49">
        <v>104.8</v>
      </c>
      <c r="AB11" s="49">
        <v>102.7</v>
      </c>
      <c r="AC11" s="49">
        <v>104.6</v>
      </c>
      <c r="AD11" s="49">
        <v>106.4</v>
      </c>
    </row>
    <row r="12" spans="1:30" x14ac:dyDescent="0.3">
      <c r="A12" s="49" t="s">
        <v>44</v>
      </c>
      <c r="B12" s="49">
        <v>2013</v>
      </c>
      <c r="C12" s="49" t="s">
        <v>47</v>
      </c>
      <c r="D12" s="49">
        <v>114.6</v>
      </c>
      <c r="E12" s="49">
        <v>113.4</v>
      </c>
      <c r="F12" s="49">
        <v>106</v>
      </c>
      <c r="G12" s="49">
        <v>104.7</v>
      </c>
      <c r="H12" s="49">
        <v>102.1</v>
      </c>
      <c r="I12" s="49">
        <v>109.5</v>
      </c>
      <c r="J12" s="49">
        <v>109.7</v>
      </c>
      <c r="K12" s="49">
        <v>104.6</v>
      </c>
      <c r="L12" s="49">
        <v>102</v>
      </c>
      <c r="M12" s="49">
        <v>103.5</v>
      </c>
      <c r="N12" s="49">
        <v>108.2</v>
      </c>
      <c r="O12" s="49">
        <v>110.6</v>
      </c>
      <c r="P12" s="49">
        <v>108.8</v>
      </c>
      <c r="Q12" s="49">
        <v>108.5</v>
      </c>
      <c r="R12" s="49">
        <v>107.9</v>
      </c>
      <c r="S12" s="49">
        <v>106.4</v>
      </c>
      <c r="T12" s="49">
        <v>107.7</v>
      </c>
      <c r="U12" s="49">
        <v>100.5</v>
      </c>
      <c r="V12" s="49">
        <v>106.4</v>
      </c>
      <c r="W12" s="49">
        <v>106.5</v>
      </c>
      <c r="X12" s="49">
        <v>105.7</v>
      </c>
      <c r="Y12" s="49">
        <v>105</v>
      </c>
      <c r="Z12" s="49">
        <v>104</v>
      </c>
      <c r="AA12" s="49">
        <v>105.2</v>
      </c>
      <c r="AB12" s="49">
        <v>103.2</v>
      </c>
      <c r="AC12" s="49">
        <v>105.1</v>
      </c>
      <c r="AD12" s="49">
        <v>105.7</v>
      </c>
    </row>
    <row r="13" spans="1:30" x14ac:dyDescent="0.3">
      <c r="A13" s="49" t="s">
        <v>30</v>
      </c>
      <c r="B13" s="49">
        <v>2013</v>
      </c>
      <c r="C13" s="49" t="s">
        <v>47</v>
      </c>
      <c r="D13" s="49">
        <v>111.6</v>
      </c>
      <c r="E13" s="49">
        <v>110.9</v>
      </c>
      <c r="F13" s="49">
        <v>106.6</v>
      </c>
      <c r="G13" s="49">
        <v>105.7</v>
      </c>
      <c r="H13" s="49">
        <v>104.4</v>
      </c>
      <c r="I13" s="49">
        <v>108.9</v>
      </c>
      <c r="J13" s="49">
        <v>105.5</v>
      </c>
      <c r="K13" s="49">
        <v>105.3</v>
      </c>
      <c r="L13" s="49">
        <v>103.5</v>
      </c>
      <c r="M13" s="49">
        <v>103.3</v>
      </c>
      <c r="N13" s="49">
        <v>107.2</v>
      </c>
      <c r="O13" s="49">
        <v>109.6</v>
      </c>
      <c r="P13" s="49">
        <v>107.7</v>
      </c>
      <c r="Q13" s="49">
        <v>107.5</v>
      </c>
      <c r="R13" s="49">
        <v>108</v>
      </c>
      <c r="S13" s="49">
        <v>107</v>
      </c>
      <c r="T13" s="49">
        <v>107.9</v>
      </c>
      <c r="U13" s="49">
        <v>100.5</v>
      </c>
      <c r="V13" s="49">
        <v>106.5</v>
      </c>
      <c r="W13" s="49">
        <v>106.3</v>
      </c>
      <c r="X13" s="49">
        <v>105.3</v>
      </c>
      <c r="Y13" s="49">
        <v>104.7</v>
      </c>
      <c r="Z13" s="49">
        <v>104.2</v>
      </c>
      <c r="AA13" s="49">
        <v>105</v>
      </c>
      <c r="AB13" s="49">
        <v>102.9</v>
      </c>
      <c r="AC13" s="49">
        <v>104.8</v>
      </c>
      <c r="AD13" s="49">
        <v>106.1</v>
      </c>
    </row>
    <row r="14" spans="1:30" x14ac:dyDescent="0.3">
      <c r="A14" s="49" t="s">
        <v>41</v>
      </c>
      <c r="B14" s="49">
        <v>2013</v>
      </c>
      <c r="C14" s="49" t="s">
        <v>31</v>
      </c>
      <c r="D14" s="49">
        <v>110.9</v>
      </c>
      <c r="E14" s="49">
        <v>109.8</v>
      </c>
      <c r="F14" s="49">
        <v>105.9</v>
      </c>
      <c r="G14" s="49">
        <v>107.5</v>
      </c>
      <c r="H14" s="49">
        <v>105.3</v>
      </c>
      <c r="I14" s="49">
        <v>108.1</v>
      </c>
      <c r="J14" s="49">
        <v>107.3</v>
      </c>
      <c r="K14" s="49">
        <v>106.1</v>
      </c>
      <c r="L14" s="49">
        <v>103.7</v>
      </c>
      <c r="M14" s="49">
        <v>104</v>
      </c>
      <c r="N14" s="49">
        <v>107.4</v>
      </c>
      <c r="O14" s="49">
        <v>109.9</v>
      </c>
      <c r="P14" s="49">
        <v>108.1</v>
      </c>
      <c r="Q14" s="49">
        <v>108.1</v>
      </c>
      <c r="R14" s="49">
        <v>108.8</v>
      </c>
      <c r="S14" s="49">
        <v>107.9</v>
      </c>
      <c r="T14" s="49">
        <v>108.6</v>
      </c>
      <c r="U14" s="49" t="s">
        <v>43</v>
      </c>
      <c r="V14" s="49">
        <v>107.5</v>
      </c>
      <c r="W14" s="49">
        <v>106.8</v>
      </c>
      <c r="X14" s="49">
        <v>105.7</v>
      </c>
      <c r="Y14" s="49">
        <v>104.1</v>
      </c>
      <c r="Z14" s="49">
        <v>105</v>
      </c>
      <c r="AA14" s="49">
        <v>105.5</v>
      </c>
      <c r="AB14" s="49">
        <v>102.1</v>
      </c>
      <c r="AC14" s="49">
        <v>104.8</v>
      </c>
      <c r="AD14" s="49">
        <v>107.2</v>
      </c>
    </row>
    <row r="15" spans="1:30" x14ac:dyDescent="0.3">
      <c r="A15" s="49" t="s">
        <v>44</v>
      </c>
      <c r="B15" s="49">
        <v>2013</v>
      </c>
      <c r="C15" s="49" t="s">
        <v>31</v>
      </c>
      <c r="D15" s="49">
        <v>115.4</v>
      </c>
      <c r="E15" s="49">
        <v>114.2</v>
      </c>
      <c r="F15" s="49">
        <v>102.7</v>
      </c>
      <c r="G15" s="49">
        <v>105.5</v>
      </c>
      <c r="H15" s="49">
        <v>101.5</v>
      </c>
      <c r="I15" s="49">
        <v>110.6</v>
      </c>
      <c r="J15" s="49">
        <v>123.7</v>
      </c>
      <c r="K15" s="49">
        <v>105.2</v>
      </c>
      <c r="L15" s="49">
        <v>101.9</v>
      </c>
      <c r="M15" s="49">
        <v>105</v>
      </c>
      <c r="N15" s="49">
        <v>109.1</v>
      </c>
      <c r="O15" s="49">
        <v>111.3</v>
      </c>
      <c r="P15" s="49">
        <v>111.1</v>
      </c>
      <c r="Q15" s="49">
        <v>109.8</v>
      </c>
      <c r="R15" s="49">
        <v>108.5</v>
      </c>
      <c r="S15" s="49">
        <v>106.7</v>
      </c>
      <c r="T15" s="49">
        <v>108.3</v>
      </c>
      <c r="U15" s="49">
        <v>100.5</v>
      </c>
      <c r="V15" s="49">
        <v>107.2</v>
      </c>
      <c r="W15" s="49">
        <v>107.1</v>
      </c>
      <c r="X15" s="49">
        <v>106.2</v>
      </c>
      <c r="Y15" s="49">
        <v>103.9</v>
      </c>
      <c r="Z15" s="49">
        <v>104.6</v>
      </c>
      <c r="AA15" s="49">
        <v>105.7</v>
      </c>
      <c r="AB15" s="49">
        <v>102.6</v>
      </c>
      <c r="AC15" s="49">
        <v>104.9</v>
      </c>
      <c r="AD15" s="49">
        <v>106.6</v>
      </c>
    </row>
    <row r="16" spans="1:30" x14ac:dyDescent="0.3">
      <c r="A16" s="49" t="s">
        <v>30</v>
      </c>
      <c r="B16" s="49">
        <v>2013</v>
      </c>
      <c r="C16" s="49" t="s">
        <v>31</v>
      </c>
      <c r="D16" s="49">
        <v>112.3</v>
      </c>
      <c r="E16" s="49">
        <v>111.3</v>
      </c>
      <c r="F16" s="49">
        <v>104.7</v>
      </c>
      <c r="G16" s="49">
        <v>106.8</v>
      </c>
      <c r="H16" s="49">
        <v>103.9</v>
      </c>
      <c r="I16" s="49">
        <v>109.3</v>
      </c>
      <c r="J16" s="49">
        <v>112.9</v>
      </c>
      <c r="K16" s="49">
        <v>105.8</v>
      </c>
      <c r="L16" s="49">
        <v>103.1</v>
      </c>
      <c r="M16" s="49">
        <v>104.3</v>
      </c>
      <c r="N16" s="49">
        <v>108.1</v>
      </c>
      <c r="O16" s="49">
        <v>110.5</v>
      </c>
      <c r="P16" s="49">
        <v>109.2</v>
      </c>
      <c r="Q16" s="49">
        <v>108.6</v>
      </c>
      <c r="R16" s="49">
        <v>108.7</v>
      </c>
      <c r="S16" s="49">
        <v>107.4</v>
      </c>
      <c r="T16" s="49">
        <v>108.5</v>
      </c>
      <c r="U16" s="49">
        <v>100.5</v>
      </c>
      <c r="V16" s="49">
        <v>107.4</v>
      </c>
      <c r="W16" s="49">
        <v>106.9</v>
      </c>
      <c r="X16" s="49">
        <v>105.9</v>
      </c>
      <c r="Y16" s="49">
        <v>104</v>
      </c>
      <c r="Z16" s="49">
        <v>104.8</v>
      </c>
      <c r="AA16" s="49">
        <v>105.6</v>
      </c>
      <c r="AB16" s="49">
        <v>102.3</v>
      </c>
      <c r="AC16" s="49">
        <v>104.8</v>
      </c>
      <c r="AD16" s="49">
        <v>106.9</v>
      </c>
    </row>
    <row r="17" spans="1:30" x14ac:dyDescent="0.3">
      <c r="A17" s="49" t="s">
        <v>41</v>
      </c>
      <c r="B17" s="49">
        <v>2013</v>
      </c>
      <c r="C17" s="49" t="s">
        <v>48</v>
      </c>
      <c r="D17" s="49">
        <v>112.3</v>
      </c>
      <c r="E17" s="49">
        <v>112.1</v>
      </c>
      <c r="F17" s="49">
        <v>108.1</v>
      </c>
      <c r="G17" s="49">
        <v>108.3</v>
      </c>
      <c r="H17" s="49">
        <v>105.9</v>
      </c>
      <c r="I17" s="49">
        <v>109.2</v>
      </c>
      <c r="J17" s="49">
        <v>118</v>
      </c>
      <c r="K17" s="49">
        <v>106.8</v>
      </c>
      <c r="L17" s="49">
        <v>104.1</v>
      </c>
      <c r="M17" s="49">
        <v>105.4</v>
      </c>
      <c r="N17" s="49">
        <v>108.2</v>
      </c>
      <c r="O17" s="49">
        <v>111</v>
      </c>
      <c r="P17" s="49">
        <v>110.6</v>
      </c>
      <c r="Q17" s="49">
        <v>109</v>
      </c>
      <c r="R17" s="49">
        <v>109.7</v>
      </c>
      <c r="S17" s="49">
        <v>108.8</v>
      </c>
      <c r="T17" s="49">
        <v>109.5</v>
      </c>
      <c r="U17" s="49" t="s">
        <v>43</v>
      </c>
      <c r="V17" s="49">
        <v>108.5</v>
      </c>
      <c r="W17" s="49">
        <v>107.5</v>
      </c>
      <c r="X17" s="49">
        <v>106.3</v>
      </c>
      <c r="Y17" s="49">
        <v>105</v>
      </c>
      <c r="Z17" s="49">
        <v>105.6</v>
      </c>
      <c r="AA17" s="49">
        <v>106.5</v>
      </c>
      <c r="AB17" s="49">
        <v>102.5</v>
      </c>
      <c r="AC17" s="49">
        <v>105.5</v>
      </c>
      <c r="AD17" s="49">
        <v>108.9</v>
      </c>
    </row>
    <row r="18" spans="1:30" x14ac:dyDescent="0.3">
      <c r="A18" s="49" t="s">
        <v>44</v>
      </c>
      <c r="B18" s="49">
        <v>2013</v>
      </c>
      <c r="C18" s="49" t="s">
        <v>48</v>
      </c>
      <c r="D18" s="49">
        <v>117</v>
      </c>
      <c r="E18" s="49">
        <v>120.1</v>
      </c>
      <c r="F18" s="49">
        <v>112.5</v>
      </c>
      <c r="G18" s="49">
        <v>107.3</v>
      </c>
      <c r="H18" s="49">
        <v>101.3</v>
      </c>
      <c r="I18" s="49">
        <v>112.4</v>
      </c>
      <c r="J18" s="49">
        <v>143.6</v>
      </c>
      <c r="K18" s="49">
        <v>105.4</v>
      </c>
      <c r="L18" s="49">
        <v>101.4</v>
      </c>
      <c r="M18" s="49">
        <v>106.4</v>
      </c>
      <c r="N18" s="49">
        <v>110</v>
      </c>
      <c r="O18" s="49">
        <v>112.2</v>
      </c>
      <c r="P18" s="49">
        <v>115</v>
      </c>
      <c r="Q18" s="49">
        <v>110.9</v>
      </c>
      <c r="R18" s="49">
        <v>109.2</v>
      </c>
      <c r="S18" s="49">
        <v>107.2</v>
      </c>
      <c r="T18" s="49">
        <v>108.9</v>
      </c>
      <c r="U18" s="49">
        <v>106.6</v>
      </c>
      <c r="V18" s="49">
        <v>108</v>
      </c>
      <c r="W18" s="49">
        <v>107.7</v>
      </c>
      <c r="X18" s="49">
        <v>106.5</v>
      </c>
      <c r="Y18" s="49">
        <v>105.2</v>
      </c>
      <c r="Z18" s="49">
        <v>105.2</v>
      </c>
      <c r="AA18" s="49">
        <v>108.1</v>
      </c>
      <c r="AB18" s="49">
        <v>103.3</v>
      </c>
      <c r="AC18" s="49">
        <v>106.1</v>
      </c>
      <c r="AD18" s="49">
        <v>109.7</v>
      </c>
    </row>
    <row r="19" spans="1:30" x14ac:dyDescent="0.3">
      <c r="A19" s="49" t="s">
        <v>30</v>
      </c>
      <c r="B19" s="49">
        <v>2013</v>
      </c>
      <c r="C19" s="49" t="s">
        <v>48</v>
      </c>
      <c r="D19" s="49">
        <v>113.8</v>
      </c>
      <c r="E19" s="49">
        <v>114.9</v>
      </c>
      <c r="F19" s="49">
        <v>109.8</v>
      </c>
      <c r="G19" s="49">
        <v>107.9</v>
      </c>
      <c r="H19" s="49">
        <v>104.2</v>
      </c>
      <c r="I19" s="49">
        <v>110.7</v>
      </c>
      <c r="J19" s="49">
        <v>126.7</v>
      </c>
      <c r="K19" s="49">
        <v>106.3</v>
      </c>
      <c r="L19" s="49">
        <v>103.2</v>
      </c>
      <c r="M19" s="49">
        <v>105.7</v>
      </c>
      <c r="N19" s="49">
        <v>109</v>
      </c>
      <c r="O19" s="49">
        <v>111.6</v>
      </c>
      <c r="P19" s="49">
        <v>112.2</v>
      </c>
      <c r="Q19" s="49">
        <v>109.5</v>
      </c>
      <c r="R19" s="49">
        <v>109.5</v>
      </c>
      <c r="S19" s="49">
        <v>108.1</v>
      </c>
      <c r="T19" s="49">
        <v>109.3</v>
      </c>
      <c r="U19" s="49">
        <v>106.6</v>
      </c>
      <c r="V19" s="49">
        <v>108.3</v>
      </c>
      <c r="W19" s="49">
        <v>107.6</v>
      </c>
      <c r="X19" s="49">
        <v>106.4</v>
      </c>
      <c r="Y19" s="49">
        <v>105.1</v>
      </c>
      <c r="Z19" s="49">
        <v>105.4</v>
      </c>
      <c r="AA19" s="49">
        <v>107.4</v>
      </c>
      <c r="AB19" s="49">
        <v>102.8</v>
      </c>
      <c r="AC19" s="49">
        <v>105.8</v>
      </c>
      <c r="AD19" s="49">
        <v>109.3</v>
      </c>
    </row>
    <row r="20" spans="1:30" x14ac:dyDescent="0.3">
      <c r="A20" s="49" t="s">
        <v>41</v>
      </c>
      <c r="B20" s="49">
        <v>2013</v>
      </c>
      <c r="C20" s="49" t="s">
        <v>49</v>
      </c>
      <c r="D20" s="49">
        <v>113.4</v>
      </c>
      <c r="E20" s="49">
        <v>114.9</v>
      </c>
      <c r="F20" s="49">
        <v>110.5</v>
      </c>
      <c r="G20" s="49">
        <v>109.3</v>
      </c>
      <c r="H20" s="49">
        <v>106.2</v>
      </c>
      <c r="I20" s="49">
        <v>110.3</v>
      </c>
      <c r="J20" s="49">
        <v>129.19999999999999</v>
      </c>
      <c r="K20" s="49">
        <v>107.1</v>
      </c>
      <c r="L20" s="49">
        <v>104.3</v>
      </c>
      <c r="M20" s="49">
        <v>106.4</v>
      </c>
      <c r="N20" s="49">
        <v>109.1</v>
      </c>
      <c r="O20" s="49">
        <v>112.1</v>
      </c>
      <c r="P20" s="49">
        <v>113.1</v>
      </c>
      <c r="Q20" s="49">
        <v>109.8</v>
      </c>
      <c r="R20" s="49">
        <v>110.5</v>
      </c>
      <c r="S20" s="49">
        <v>109.5</v>
      </c>
      <c r="T20" s="49">
        <v>110.3</v>
      </c>
      <c r="U20" s="49" t="s">
        <v>43</v>
      </c>
      <c r="V20" s="49">
        <v>109.5</v>
      </c>
      <c r="W20" s="49">
        <v>108.3</v>
      </c>
      <c r="X20" s="49">
        <v>106.9</v>
      </c>
      <c r="Y20" s="49">
        <v>106.8</v>
      </c>
      <c r="Z20" s="49">
        <v>106.4</v>
      </c>
      <c r="AA20" s="49">
        <v>107.8</v>
      </c>
      <c r="AB20" s="49">
        <v>102.5</v>
      </c>
      <c r="AC20" s="49">
        <v>106.5</v>
      </c>
      <c r="AD20" s="49">
        <v>110.7</v>
      </c>
    </row>
    <row r="21" spans="1:30" x14ac:dyDescent="0.3">
      <c r="A21" s="49" t="s">
        <v>44</v>
      </c>
      <c r="B21" s="49">
        <v>2013</v>
      </c>
      <c r="C21" s="49" t="s">
        <v>49</v>
      </c>
      <c r="D21" s="49">
        <v>117.8</v>
      </c>
      <c r="E21" s="49">
        <v>119.2</v>
      </c>
      <c r="F21" s="49">
        <v>114</v>
      </c>
      <c r="G21" s="49">
        <v>108.3</v>
      </c>
      <c r="H21" s="49">
        <v>101.1</v>
      </c>
      <c r="I21" s="49">
        <v>113.2</v>
      </c>
      <c r="J21" s="49">
        <v>160.9</v>
      </c>
      <c r="K21" s="49">
        <v>105.1</v>
      </c>
      <c r="L21" s="49">
        <v>101.3</v>
      </c>
      <c r="M21" s="49">
        <v>107.5</v>
      </c>
      <c r="N21" s="49">
        <v>110.4</v>
      </c>
      <c r="O21" s="49">
        <v>113.1</v>
      </c>
      <c r="P21" s="49">
        <v>117.5</v>
      </c>
      <c r="Q21" s="49">
        <v>111.7</v>
      </c>
      <c r="R21" s="49">
        <v>109.8</v>
      </c>
      <c r="S21" s="49">
        <v>107.8</v>
      </c>
      <c r="T21" s="49">
        <v>109.5</v>
      </c>
      <c r="U21" s="49">
        <v>107.7</v>
      </c>
      <c r="V21" s="49">
        <v>108.6</v>
      </c>
      <c r="W21" s="49">
        <v>108.1</v>
      </c>
      <c r="X21" s="49">
        <v>107.1</v>
      </c>
      <c r="Y21" s="49">
        <v>107.3</v>
      </c>
      <c r="Z21" s="49">
        <v>105.9</v>
      </c>
      <c r="AA21" s="49">
        <v>110.1</v>
      </c>
      <c r="AB21" s="49">
        <v>103.2</v>
      </c>
      <c r="AC21" s="49">
        <v>107.3</v>
      </c>
      <c r="AD21" s="49">
        <v>111.4</v>
      </c>
    </row>
    <row r="22" spans="1:30" x14ac:dyDescent="0.3">
      <c r="A22" s="49" t="s">
        <v>30</v>
      </c>
      <c r="B22" s="49">
        <v>2013</v>
      </c>
      <c r="C22" s="49" t="s">
        <v>49</v>
      </c>
      <c r="D22" s="49">
        <v>114.8</v>
      </c>
      <c r="E22" s="49">
        <v>116.4</v>
      </c>
      <c r="F22" s="49">
        <v>111.9</v>
      </c>
      <c r="G22" s="49">
        <v>108.9</v>
      </c>
      <c r="H22" s="49">
        <v>104.3</v>
      </c>
      <c r="I22" s="49">
        <v>111.7</v>
      </c>
      <c r="J22" s="49">
        <v>140</v>
      </c>
      <c r="K22" s="49">
        <v>106.4</v>
      </c>
      <c r="L22" s="49">
        <v>103.3</v>
      </c>
      <c r="M22" s="49">
        <v>106.8</v>
      </c>
      <c r="N22" s="49">
        <v>109.6</v>
      </c>
      <c r="O22" s="49">
        <v>112.6</v>
      </c>
      <c r="P22" s="49">
        <v>114.7</v>
      </c>
      <c r="Q22" s="49">
        <v>110.3</v>
      </c>
      <c r="R22" s="49">
        <v>110.2</v>
      </c>
      <c r="S22" s="49">
        <v>108.8</v>
      </c>
      <c r="T22" s="49">
        <v>110</v>
      </c>
      <c r="U22" s="49">
        <v>107.7</v>
      </c>
      <c r="V22" s="49">
        <v>109.2</v>
      </c>
      <c r="W22" s="49">
        <v>108.2</v>
      </c>
      <c r="X22" s="49">
        <v>107</v>
      </c>
      <c r="Y22" s="49">
        <v>107.1</v>
      </c>
      <c r="Z22" s="49">
        <v>106.1</v>
      </c>
      <c r="AA22" s="49">
        <v>109.1</v>
      </c>
      <c r="AB22" s="49">
        <v>102.8</v>
      </c>
      <c r="AC22" s="49">
        <v>106.9</v>
      </c>
      <c r="AD22" s="49">
        <v>111</v>
      </c>
    </row>
    <row r="23" spans="1:30" x14ac:dyDescent="0.3">
      <c r="A23" s="49" t="s">
        <v>41</v>
      </c>
      <c r="B23" s="49">
        <v>2013</v>
      </c>
      <c r="C23" s="49" t="s">
        <v>50</v>
      </c>
      <c r="D23" s="49">
        <v>114.3</v>
      </c>
      <c r="E23" s="49">
        <v>115.4</v>
      </c>
      <c r="F23" s="49">
        <v>111.1</v>
      </c>
      <c r="G23" s="49">
        <v>110</v>
      </c>
      <c r="H23" s="49">
        <v>106.4</v>
      </c>
      <c r="I23" s="49">
        <v>110.8</v>
      </c>
      <c r="J23" s="49">
        <v>138.9</v>
      </c>
      <c r="K23" s="49">
        <v>107.4</v>
      </c>
      <c r="L23" s="49">
        <v>104.1</v>
      </c>
      <c r="M23" s="49">
        <v>106.9</v>
      </c>
      <c r="N23" s="49">
        <v>109.7</v>
      </c>
      <c r="O23" s="49">
        <v>112.6</v>
      </c>
      <c r="P23" s="49">
        <v>114.9</v>
      </c>
      <c r="Q23" s="49">
        <v>110.7</v>
      </c>
      <c r="R23" s="49">
        <v>111.3</v>
      </c>
      <c r="S23" s="49">
        <v>110.2</v>
      </c>
      <c r="T23" s="49">
        <v>111.1</v>
      </c>
      <c r="U23" s="49" t="s">
        <v>43</v>
      </c>
      <c r="V23" s="49">
        <v>109.9</v>
      </c>
      <c r="W23" s="49">
        <v>108.7</v>
      </c>
      <c r="X23" s="49">
        <v>107.5</v>
      </c>
      <c r="Y23" s="49">
        <v>107.8</v>
      </c>
      <c r="Z23" s="49">
        <v>106.8</v>
      </c>
      <c r="AA23" s="49">
        <v>108.7</v>
      </c>
      <c r="AB23" s="49">
        <v>105</v>
      </c>
      <c r="AC23" s="49">
        <v>107.5</v>
      </c>
      <c r="AD23" s="49">
        <v>112.1</v>
      </c>
    </row>
    <row r="24" spans="1:30" x14ac:dyDescent="0.3">
      <c r="A24" s="49" t="s">
        <v>44</v>
      </c>
      <c r="B24" s="49">
        <v>2013</v>
      </c>
      <c r="C24" s="49" t="s">
        <v>50</v>
      </c>
      <c r="D24" s="49">
        <v>118.3</v>
      </c>
      <c r="E24" s="49">
        <v>120.4</v>
      </c>
      <c r="F24" s="49">
        <v>112.7</v>
      </c>
      <c r="G24" s="49">
        <v>108.9</v>
      </c>
      <c r="H24" s="49">
        <v>101.1</v>
      </c>
      <c r="I24" s="49">
        <v>108.7</v>
      </c>
      <c r="J24" s="49">
        <v>177</v>
      </c>
      <c r="K24" s="49">
        <v>104.7</v>
      </c>
      <c r="L24" s="49">
        <v>101</v>
      </c>
      <c r="M24" s="49">
        <v>108.5</v>
      </c>
      <c r="N24" s="49">
        <v>110.9</v>
      </c>
      <c r="O24" s="49">
        <v>114.3</v>
      </c>
      <c r="P24" s="49">
        <v>119.6</v>
      </c>
      <c r="Q24" s="49">
        <v>112.4</v>
      </c>
      <c r="R24" s="49">
        <v>110.6</v>
      </c>
      <c r="S24" s="49">
        <v>108.3</v>
      </c>
      <c r="T24" s="49">
        <v>110.2</v>
      </c>
      <c r="U24" s="49">
        <v>108.9</v>
      </c>
      <c r="V24" s="49">
        <v>109.3</v>
      </c>
      <c r="W24" s="49">
        <v>108.7</v>
      </c>
      <c r="X24" s="49">
        <v>107.6</v>
      </c>
      <c r="Y24" s="49">
        <v>108.1</v>
      </c>
      <c r="Z24" s="49">
        <v>106.5</v>
      </c>
      <c r="AA24" s="49">
        <v>110.8</v>
      </c>
      <c r="AB24" s="49">
        <v>106</v>
      </c>
      <c r="AC24" s="49">
        <v>108.3</v>
      </c>
      <c r="AD24" s="49">
        <v>112.7</v>
      </c>
    </row>
    <row r="25" spans="1:30" x14ac:dyDescent="0.3">
      <c r="A25" s="49" t="s">
        <v>30</v>
      </c>
      <c r="B25" s="49">
        <v>2013</v>
      </c>
      <c r="C25" s="49" t="s">
        <v>50</v>
      </c>
      <c r="D25" s="49">
        <v>115.6</v>
      </c>
      <c r="E25" s="49">
        <v>117.2</v>
      </c>
      <c r="F25" s="49">
        <v>111.7</v>
      </c>
      <c r="G25" s="49">
        <v>109.6</v>
      </c>
      <c r="H25" s="49">
        <v>104.5</v>
      </c>
      <c r="I25" s="49">
        <v>109.8</v>
      </c>
      <c r="J25" s="49">
        <v>151.80000000000001</v>
      </c>
      <c r="K25" s="49">
        <v>106.5</v>
      </c>
      <c r="L25" s="49">
        <v>103.1</v>
      </c>
      <c r="M25" s="49">
        <v>107.4</v>
      </c>
      <c r="N25" s="49">
        <v>110.2</v>
      </c>
      <c r="O25" s="49">
        <v>113.4</v>
      </c>
      <c r="P25" s="49">
        <v>116.6</v>
      </c>
      <c r="Q25" s="49">
        <v>111.2</v>
      </c>
      <c r="R25" s="49">
        <v>111</v>
      </c>
      <c r="S25" s="49">
        <v>109.4</v>
      </c>
      <c r="T25" s="49">
        <v>110.7</v>
      </c>
      <c r="U25" s="49">
        <v>108.9</v>
      </c>
      <c r="V25" s="49">
        <v>109.7</v>
      </c>
      <c r="W25" s="49">
        <v>108.7</v>
      </c>
      <c r="X25" s="49">
        <v>107.5</v>
      </c>
      <c r="Y25" s="49">
        <v>108</v>
      </c>
      <c r="Z25" s="49">
        <v>106.6</v>
      </c>
      <c r="AA25" s="49">
        <v>109.9</v>
      </c>
      <c r="AB25" s="49">
        <v>105.4</v>
      </c>
      <c r="AC25" s="49">
        <v>107.9</v>
      </c>
      <c r="AD25" s="49">
        <v>112.4</v>
      </c>
    </row>
    <row r="26" spans="1:30" x14ac:dyDescent="0.3">
      <c r="A26" s="49" t="s">
        <v>41</v>
      </c>
      <c r="B26" s="49">
        <v>2013</v>
      </c>
      <c r="C26" s="49" t="s">
        <v>51</v>
      </c>
      <c r="D26" s="49">
        <v>115.4</v>
      </c>
      <c r="E26" s="49">
        <v>115.7</v>
      </c>
      <c r="F26" s="49">
        <v>111.7</v>
      </c>
      <c r="G26" s="49">
        <v>111</v>
      </c>
      <c r="H26" s="49">
        <v>107.4</v>
      </c>
      <c r="I26" s="49">
        <v>110.9</v>
      </c>
      <c r="J26" s="49">
        <v>154</v>
      </c>
      <c r="K26" s="49">
        <v>108.1</v>
      </c>
      <c r="L26" s="49">
        <v>104.2</v>
      </c>
      <c r="M26" s="49">
        <v>107.9</v>
      </c>
      <c r="N26" s="49">
        <v>110.4</v>
      </c>
      <c r="O26" s="49">
        <v>114</v>
      </c>
      <c r="P26" s="49">
        <v>117.8</v>
      </c>
      <c r="Q26" s="49">
        <v>111.7</v>
      </c>
      <c r="R26" s="49">
        <v>112.7</v>
      </c>
      <c r="S26" s="49">
        <v>111.4</v>
      </c>
      <c r="T26" s="49">
        <v>112.5</v>
      </c>
      <c r="U26" s="49" t="s">
        <v>43</v>
      </c>
      <c r="V26" s="49">
        <v>111.1</v>
      </c>
      <c r="W26" s="49">
        <v>109.6</v>
      </c>
      <c r="X26" s="49">
        <v>108.3</v>
      </c>
      <c r="Y26" s="49">
        <v>109.3</v>
      </c>
      <c r="Z26" s="49">
        <v>107.7</v>
      </c>
      <c r="AA26" s="49">
        <v>109.8</v>
      </c>
      <c r="AB26" s="49">
        <v>106.7</v>
      </c>
      <c r="AC26" s="49">
        <v>108.7</v>
      </c>
      <c r="AD26" s="49">
        <v>114.2</v>
      </c>
    </row>
    <row r="27" spans="1:30" x14ac:dyDescent="0.3">
      <c r="A27" s="49" t="s">
        <v>44</v>
      </c>
      <c r="B27" s="49">
        <v>2013</v>
      </c>
      <c r="C27" s="49" t="s">
        <v>51</v>
      </c>
      <c r="D27" s="49">
        <v>118.6</v>
      </c>
      <c r="E27" s="49">
        <v>119.1</v>
      </c>
      <c r="F27" s="49">
        <v>113.2</v>
      </c>
      <c r="G27" s="49">
        <v>109.6</v>
      </c>
      <c r="H27" s="49">
        <v>101.7</v>
      </c>
      <c r="I27" s="49">
        <v>103.2</v>
      </c>
      <c r="J27" s="49">
        <v>174.3</v>
      </c>
      <c r="K27" s="49">
        <v>105.1</v>
      </c>
      <c r="L27" s="49">
        <v>100.8</v>
      </c>
      <c r="M27" s="49">
        <v>109.1</v>
      </c>
      <c r="N27" s="49">
        <v>111.1</v>
      </c>
      <c r="O27" s="49">
        <v>115.4</v>
      </c>
      <c r="P27" s="49">
        <v>119.2</v>
      </c>
      <c r="Q27" s="49">
        <v>112.9</v>
      </c>
      <c r="R27" s="49">
        <v>111.4</v>
      </c>
      <c r="S27" s="49">
        <v>109</v>
      </c>
      <c r="T27" s="49">
        <v>111.1</v>
      </c>
      <c r="U27" s="49">
        <v>109.7</v>
      </c>
      <c r="V27" s="49">
        <v>109.5</v>
      </c>
      <c r="W27" s="49">
        <v>109.6</v>
      </c>
      <c r="X27" s="49">
        <v>107.9</v>
      </c>
      <c r="Y27" s="49">
        <v>110.4</v>
      </c>
      <c r="Z27" s="49">
        <v>107.4</v>
      </c>
      <c r="AA27" s="49">
        <v>111.2</v>
      </c>
      <c r="AB27" s="49">
        <v>106.9</v>
      </c>
      <c r="AC27" s="49">
        <v>109.4</v>
      </c>
      <c r="AD27" s="49">
        <v>113.2</v>
      </c>
    </row>
    <row r="28" spans="1:30" x14ac:dyDescent="0.3">
      <c r="A28" s="49" t="s">
        <v>30</v>
      </c>
      <c r="B28" s="49">
        <v>2013</v>
      </c>
      <c r="C28" s="49" t="s">
        <v>51</v>
      </c>
      <c r="D28" s="49">
        <v>116.4</v>
      </c>
      <c r="E28" s="49">
        <v>116.9</v>
      </c>
      <c r="F28" s="49">
        <v>112.3</v>
      </c>
      <c r="G28" s="49">
        <v>110.5</v>
      </c>
      <c r="H28" s="49">
        <v>105.3</v>
      </c>
      <c r="I28" s="49">
        <v>107.3</v>
      </c>
      <c r="J28" s="49">
        <v>160.9</v>
      </c>
      <c r="K28" s="49">
        <v>107.1</v>
      </c>
      <c r="L28" s="49">
        <v>103.1</v>
      </c>
      <c r="M28" s="49">
        <v>108.3</v>
      </c>
      <c r="N28" s="49">
        <v>110.7</v>
      </c>
      <c r="O28" s="49">
        <v>114.6</v>
      </c>
      <c r="P28" s="49">
        <v>118.3</v>
      </c>
      <c r="Q28" s="49">
        <v>112</v>
      </c>
      <c r="R28" s="49">
        <v>112.2</v>
      </c>
      <c r="S28" s="49">
        <v>110.4</v>
      </c>
      <c r="T28" s="49">
        <v>111.9</v>
      </c>
      <c r="U28" s="49">
        <v>109.7</v>
      </c>
      <c r="V28" s="49">
        <v>110.5</v>
      </c>
      <c r="W28" s="49">
        <v>109.6</v>
      </c>
      <c r="X28" s="49">
        <v>108.1</v>
      </c>
      <c r="Y28" s="49">
        <v>109.9</v>
      </c>
      <c r="Z28" s="49">
        <v>107.5</v>
      </c>
      <c r="AA28" s="49">
        <v>110.6</v>
      </c>
      <c r="AB28" s="49">
        <v>106.8</v>
      </c>
      <c r="AC28" s="49">
        <v>109</v>
      </c>
      <c r="AD28" s="49">
        <v>113.7</v>
      </c>
    </row>
    <row r="29" spans="1:30" x14ac:dyDescent="0.3">
      <c r="A29" s="49" t="s">
        <v>41</v>
      </c>
      <c r="B29" s="49">
        <v>2013</v>
      </c>
      <c r="C29" s="49" t="s">
        <v>52</v>
      </c>
      <c r="D29" s="49">
        <v>116.3</v>
      </c>
      <c r="E29" s="49">
        <v>115.4</v>
      </c>
      <c r="F29" s="49">
        <v>112.6</v>
      </c>
      <c r="G29" s="49">
        <v>111.7</v>
      </c>
      <c r="H29" s="49">
        <v>107.7</v>
      </c>
      <c r="I29" s="49">
        <v>113.2</v>
      </c>
      <c r="J29" s="49">
        <v>164.9</v>
      </c>
      <c r="K29" s="49">
        <v>108.3</v>
      </c>
      <c r="L29" s="49">
        <v>103.9</v>
      </c>
      <c r="M29" s="49">
        <v>108.2</v>
      </c>
      <c r="N29" s="49">
        <v>111.1</v>
      </c>
      <c r="O29" s="49">
        <v>114.9</v>
      </c>
      <c r="P29" s="49">
        <v>119.8</v>
      </c>
      <c r="Q29" s="49">
        <v>112.2</v>
      </c>
      <c r="R29" s="49">
        <v>113.6</v>
      </c>
      <c r="S29" s="49">
        <v>112.3</v>
      </c>
      <c r="T29" s="49">
        <v>113.4</v>
      </c>
      <c r="U29" s="49" t="s">
        <v>43</v>
      </c>
      <c r="V29" s="49">
        <v>111.6</v>
      </c>
      <c r="W29" s="49">
        <v>110.4</v>
      </c>
      <c r="X29" s="49">
        <v>108.9</v>
      </c>
      <c r="Y29" s="49">
        <v>109.3</v>
      </c>
      <c r="Z29" s="49">
        <v>108.3</v>
      </c>
      <c r="AA29" s="49">
        <v>110.2</v>
      </c>
      <c r="AB29" s="49">
        <v>107.5</v>
      </c>
      <c r="AC29" s="49">
        <v>109.1</v>
      </c>
      <c r="AD29" s="49">
        <v>115.5</v>
      </c>
    </row>
    <row r="30" spans="1:30" x14ac:dyDescent="0.3">
      <c r="A30" s="49" t="s">
        <v>44</v>
      </c>
      <c r="B30" s="49">
        <v>2013</v>
      </c>
      <c r="C30" s="49" t="s">
        <v>52</v>
      </c>
      <c r="D30" s="49">
        <v>118.9</v>
      </c>
      <c r="E30" s="49">
        <v>118.1</v>
      </c>
      <c r="F30" s="49">
        <v>114.5</v>
      </c>
      <c r="G30" s="49">
        <v>110.4</v>
      </c>
      <c r="H30" s="49">
        <v>102.3</v>
      </c>
      <c r="I30" s="49">
        <v>106.2</v>
      </c>
      <c r="J30" s="49">
        <v>183.5</v>
      </c>
      <c r="K30" s="49">
        <v>105.3</v>
      </c>
      <c r="L30" s="49">
        <v>100.2</v>
      </c>
      <c r="M30" s="49">
        <v>109.6</v>
      </c>
      <c r="N30" s="49">
        <v>111.4</v>
      </c>
      <c r="O30" s="49">
        <v>116</v>
      </c>
      <c r="P30" s="49">
        <v>120.8</v>
      </c>
      <c r="Q30" s="49">
        <v>113.5</v>
      </c>
      <c r="R30" s="49">
        <v>112.5</v>
      </c>
      <c r="S30" s="49">
        <v>109.7</v>
      </c>
      <c r="T30" s="49">
        <v>112</v>
      </c>
      <c r="U30" s="49">
        <v>110.5</v>
      </c>
      <c r="V30" s="49">
        <v>109.7</v>
      </c>
      <c r="W30" s="49">
        <v>110.2</v>
      </c>
      <c r="X30" s="49">
        <v>108.2</v>
      </c>
      <c r="Y30" s="49">
        <v>109.7</v>
      </c>
      <c r="Z30" s="49">
        <v>108</v>
      </c>
      <c r="AA30" s="49">
        <v>111.3</v>
      </c>
      <c r="AB30" s="49">
        <v>107.3</v>
      </c>
      <c r="AC30" s="49">
        <v>109.4</v>
      </c>
      <c r="AD30" s="49">
        <v>114</v>
      </c>
    </row>
    <row r="31" spans="1:30" x14ac:dyDescent="0.3">
      <c r="A31" s="49" t="s">
        <v>30</v>
      </c>
      <c r="B31" s="49">
        <v>2013</v>
      </c>
      <c r="C31" s="49" t="s">
        <v>52</v>
      </c>
      <c r="D31" s="49">
        <v>117.1</v>
      </c>
      <c r="E31" s="49">
        <v>116.3</v>
      </c>
      <c r="F31" s="49">
        <v>113.3</v>
      </c>
      <c r="G31" s="49">
        <v>111.2</v>
      </c>
      <c r="H31" s="49">
        <v>105.7</v>
      </c>
      <c r="I31" s="49">
        <v>109.9</v>
      </c>
      <c r="J31" s="49">
        <v>171.2</v>
      </c>
      <c r="K31" s="49">
        <v>107.3</v>
      </c>
      <c r="L31" s="49">
        <v>102.7</v>
      </c>
      <c r="M31" s="49">
        <v>108.7</v>
      </c>
      <c r="N31" s="49">
        <v>111.2</v>
      </c>
      <c r="O31" s="49">
        <v>115.4</v>
      </c>
      <c r="P31" s="49">
        <v>120.2</v>
      </c>
      <c r="Q31" s="49">
        <v>112.5</v>
      </c>
      <c r="R31" s="49">
        <v>113.2</v>
      </c>
      <c r="S31" s="49">
        <v>111.2</v>
      </c>
      <c r="T31" s="49">
        <v>112.8</v>
      </c>
      <c r="U31" s="49">
        <v>110.5</v>
      </c>
      <c r="V31" s="49">
        <v>110.9</v>
      </c>
      <c r="W31" s="49">
        <v>110.3</v>
      </c>
      <c r="X31" s="49">
        <v>108.6</v>
      </c>
      <c r="Y31" s="49">
        <v>109.5</v>
      </c>
      <c r="Z31" s="49">
        <v>108.1</v>
      </c>
      <c r="AA31" s="49">
        <v>110.8</v>
      </c>
      <c r="AB31" s="49">
        <v>107.4</v>
      </c>
      <c r="AC31" s="49">
        <v>109.2</v>
      </c>
      <c r="AD31" s="49">
        <v>114.8</v>
      </c>
    </row>
    <row r="32" spans="1:30" x14ac:dyDescent="0.3">
      <c r="A32" s="49" t="s">
        <v>41</v>
      </c>
      <c r="B32" s="49">
        <v>2013</v>
      </c>
      <c r="C32" s="49" t="s">
        <v>53</v>
      </c>
      <c r="D32" s="49">
        <v>117.3</v>
      </c>
      <c r="E32" s="49">
        <v>114.9</v>
      </c>
      <c r="F32" s="49">
        <v>116.2</v>
      </c>
      <c r="G32" s="49">
        <v>112.8</v>
      </c>
      <c r="H32" s="49">
        <v>108.9</v>
      </c>
      <c r="I32" s="49">
        <v>116.6</v>
      </c>
      <c r="J32" s="49">
        <v>178.1</v>
      </c>
      <c r="K32" s="49">
        <v>109.1</v>
      </c>
      <c r="L32" s="49">
        <v>103.6</v>
      </c>
      <c r="M32" s="49">
        <v>109</v>
      </c>
      <c r="N32" s="49">
        <v>111.8</v>
      </c>
      <c r="O32" s="49">
        <v>116</v>
      </c>
      <c r="P32" s="49">
        <v>122.5</v>
      </c>
      <c r="Q32" s="49">
        <v>112.8</v>
      </c>
      <c r="R32" s="49">
        <v>114.6</v>
      </c>
      <c r="S32" s="49">
        <v>113.1</v>
      </c>
      <c r="T32" s="49">
        <v>114.4</v>
      </c>
      <c r="U32" s="49" t="s">
        <v>43</v>
      </c>
      <c r="V32" s="49">
        <v>112.6</v>
      </c>
      <c r="W32" s="49">
        <v>111.3</v>
      </c>
      <c r="X32" s="49">
        <v>109.7</v>
      </c>
      <c r="Y32" s="49">
        <v>109.6</v>
      </c>
      <c r="Z32" s="49">
        <v>108.7</v>
      </c>
      <c r="AA32" s="49">
        <v>111</v>
      </c>
      <c r="AB32" s="49">
        <v>108.2</v>
      </c>
      <c r="AC32" s="49">
        <v>109.8</v>
      </c>
      <c r="AD32" s="49">
        <v>117.4</v>
      </c>
    </row>
    <row r="33" spans="1:30" x14ac:dyDescent="0.3">
      <c r="A33" s="49" t="s">
        <v>44</v>
      </c>
      <c r="B33" s="49">
        <v>2013</v>
      </c>
      <c r="C33" s="49" t="s">
        <v>54</v>
      </c>
      <c r="D33" s="49">
        <v>119.8</v>
      </c>
      <c r="E33" s="49">
        <v>116.3</v>
      </c>
      <c r="F33" s="49">
        <v>122.6</v>
      </c>
      <c r="G33" s="49">
        <v>112</v>
      </c>
      <c r="H33" s="49">
        <v>103.2</v>
      </c>
      <c r="I33" s="49">
        <v>110</v>
      </c>
      <c r="J33" s="49">
        <v>192.8</v>
      </c>
      <c r="K33" s="49">
        <v>106.3</v>
      </c>
      <c r="L33" s="49">
        <v>99.5</v>
      </c>
      <c r="M33" s="49">
        <v>110.3</v>
      </c>
      <c r="N33" s="49">
        <v>111.8</v>
      </c>
      <c r="O33" s="49">
        <v>117.1</v>
      </c>
      <c r="P33" s="49">
        <v>122.9</v>
      </c>
      <c r="Q33" s="49">
        <v>114.1</v>
      </c>
      <c r="R33" s="49">
        <v>113.5</v>
      </c>
      <c r="S33" s="49">
        <v>110.3</v>
      </c>
      <c r="T33" s="49">
        <v>113</v>
      </c>
      <c r="U33" s="49">
        <v>111.1</v>
      </c>
      <c r="V33" s="49">
        <v>110</v>
      </c>
      <c r="W33" s="49">
        <v>110.9</v>
      </c>
      <c r="X33" s="49">
        <v>108.6</v>
      </c>
      <c r="Y33" s="49">
        <v>109.5</v>
      </c>
      <c r="Z33" s="49">
        <v>108.5</v>
      </c>
      <c r="AA33" s="49">
        <v>111.3</v>
      </c>
      <c r="AB33" s="49">
        <v>107.9</v>
      </c>
      <c r="AC33" s="49">
        <v>109.6</v>
      </c>
      <c r="AD33" s="49">
        <v>115</v>
      </c>
    </row>
    <row r="34" spans="1:30" x14ac:dyDescent="0.3">
      <c r="A34" s="49" t="s">
        <v>30</v>
      </c>
      <c r="B34" s="49">
        <v>2013</v>
      </c>
      <c r="C34" s="49" t="s">
        <v>54</v>
      </c>
      <c r="D34" s="49">
        <v>118.1</v>
      </c>
      <c r="E34" s="49">
        <v>115.4</v>
      </c>
      <c r="F34" s="49">
        <v>118.7</v>
      </c>
      <c r="G34" s="49">
        <v>112.5</v>
      </c>
      <c r="H34" s="49">
        <v>106.8</v>
      </c>
      <c r="I34" s="49">
        <v>113.5</v>
      </c>
      <c r="J34" s="49">
        <v>183.1</v>
      </c>
      <c r="K34" s="49">
        <v>108.2</v>
      </c>
      <c r="L34" s="49">
        <v>102.2</v>
      </c>
      <c r="M34" s="49">
        <v>109.4</v>
      </c>
      <c r="N34" s="49">
        <v>111.8</v>
      </c>
      <c r="O34" s="49">
        <v>116.5</v>
      </c>
      <c r="P34" s="49">
        <v>122.6</v>
      </c>
      <c r="Q34" s="49">
        <v>113.1</v>
      </c>
      <c r="R34" s="49">
        <v>114.2</v>
      </c>
      <c r="S34" s="49">
        <v>111.9</v>
      </c>
      <c r="T34" s="49">
        <v>113.8</v>
      </c>
      <c r="U34" s="49">
        <v>111.1</v>
      </c>
      <c r="V34" s="49">
        <v>111.6</v>
      </c>
      <c r="W34" s="49">
        <v>111.1</v>
      </c>
      <c r="X34" s="49">
        <v>109.3</v>
      </c>
      <c r="Y34" s="49">
        <v>109.5</v>
      </c>
      <c r="Z34" s="49">
        <v>108.6</v>
      </c>
      <c r="AA34" s="49">
        <v>111.2</v>
      </c>
      <c r="AB34" s="49">
        <v>108.1</v>
      </c>
      <c r="AC34" s="49">
        <v>109.7</v>
      </c>
      <c r="AD34" s="49">
        <v>116.3</v>
      </c>
    </row>
    <row r="35" spans="1:30" x14ac:dyDescent="0.3">
      <c r="A35" s="49" t="s">
        <v>41</v>
      </c>
      <c r="B35" s="49">
        <v>2013</v>
      </c>
      <c r="C35" s="49" t="s">
        <v>55</v>
      </c>
      <c r="D35" s="49">
        <v>118.4</v>
      </c>
      <c r="E35" s="49">
        <v>115.9</v>
      </c>
      <c r="F35" s="49">
        <v>120.4</v>
      </c>
      <c r="G35" s="49">
        <v>113.8</v>
      </c>
      <c r="H35" s="49">
        <v>109.5</v>
      </c>
      <c r="I35" s="49">
        <v>115.5</v>
      </c>
      <c r="J35" s="49">
        <v>145.69999999999999</v>
      </c>
      <c r="K35" s="49">
        <v>109.5</v>
      </c>
      <c r="L35" s="49">
        <v>102.9</v>
      </c>
      <c r="M35" s="49">
        <v>109.8</v>
      </c>
      <c r="N35" s="49">
        <v>112.1</v>
      </c>
      <c r="O35" s="49">
        <v>116.8</v>
      </c>
      <c r="P35" s="49">
        <v>118.7</v>
      </c>
      <c r="Q35" s="49">
        <v>113.6</v>
      </c>
      <c r="R35" s="49">
        <v>115.8</v>
      </c>
      <c r="S35" s="49">
        <v>114</v>
      </c>
      <c r="T35" s="49">
        <v>115.5</v>
      </c>
      <c r="U35" s="49" t="s">
        <v>43</v>
      </c>
      <c r="V35" s="49">
        <v>112.8</v>
      </c>
      <c r="W35" s="49">
        <v>112.1</v>
      </c>
      <c r="X35" s="49">
        <v>110.1</v>
      </c>
      <c r="Y35" s="49">
        <v>109.9</v>
      </c>
      <c r="Z35" s="49">
        <v>109.2</v>
      </c>
      <c r="AA35" s="49">
        <v>111.6</v>
      </c>
      <c r="AB35" s="49">
        <v>108.1</v>
      </c>
      <c r="AC35" s="49">
        <v>110.1</v>
      </c>
      <c r="AD35" s="49">
        <v>115.5</v>
      </c>
    </row>
    <row r="36" spans="1:30" x14ac:dyDescent="0.3">
      <c r="A36" s="49" t="s">
        <v>44</v>
      </c>
      <c r="B36" s="49">
        <v>2013</v>
      </c>
      <c r="C36" s="49" t="s">
        <v>55</v>
      </c>
      <c r="D36" s="49">
        <v>120.5</v>
      </c>
      <c r="E36" s="49">
        <v>118.1</v>
      </c>
      <c r="F36" s="49">
        <v>128.5</v>
      </c>
      <c r="G36" s="49">
        <v>112.8</v>
      </c>
      <c r="H36" s="49">
        <v>103.4</v>
      </c>
      <c r="I36" s="49">
        <v>110.7</v>
      </c>
      <c r="J36" s="49">
        <v>144.80000000000001</v>
      </c>
      <c r="K36" s="49">
        <v>107.1</v>
      </c>
      <c r="L36" s="49">
        <v>98.6</v>
      </c>
      <c r="M36" s="49">
        <v>111.9</v>
      </c>
      <c r="N36" s="49">
        <v>112.1</v>
      </c>
      <c r="O36" s="49">
        <v>118.1</v>
      </c>
      <c r="P36" s="49">
        <v>117.8</v>
      </c>
      <c r="Q36" s="49">
        <v>115</v>
      </c>
      <c r="R36" s="49">
        <v>114.2</v>
      </c>
      <c r="S36" s="49">
        <v>110.9</v>
      </c>
      <c r="T36" s="49">
        <v>113.7</v>
      </c>
      <c r="U36" s="49">
        <v>110.7</v>
      </c>
      <c r="V36" s="49">
        <v>110.4</v>
      </c>
      <c r="W36" s="49">
        <v>111.3</v>
      </c>
      <c r="X36" s="49">
        <v>109</v>
      </c>
      <c r="Y36" s="49">
        <v>109.7</v>
      </c>
      <c r="Z36" s="49">
        <v>108.9</v>
      </c>
      <c r="AA36" s="49">
        <v>111.4</v>
      </c>
      <c r="AB36" s="49">
        <v>107.7</v>
      </c>
      <c r="AC36" s="49">
        <v>109.8</v>
      </c>
      <c r="AD36" s="49">
        <v>113.3</v>
      </c>
    </row>
    <row r="37" spans="1:30" x14ac:dyDescent="0.3">
      <c r="A37" s="49" t="s">
        <v>30</v>
      </c>
      <c r="B37" s="49">
        <v>2013</v>
      </c>
      <c r="C37" s="49" t="s">
        <v>55</v>
      </c>
      <c r="D37" s="49">
        <v>119.1</v>
      </c>
      <c r="E37" s="49">
        <v>116.7</v>
      </c>
      <c r="F37" s="49">
        <v>123.5</v>
      </c>
      <c r="G37" s="49">
        <v>113.4</v>
      </c>
      <c r="H37" s="49">
        <v>107.3</v>
      </c>
      <c r="I37" s="49">
        <v>113.3</v>
      </c>
      <c r="J37" s="49">
        <v>145.4</v>
      </c>
      <c r="K37" s="49">
        <v>108.7</v>
      </c>
      <c r="L37" s="49">
        <v>101.5</v>
      </c>
      <c r="M37" s="49">
        <v>110.5</v>
      </c>
      <c r="N37" s="49">
        <v>112.1</v>
      </c>
      <c r="O37" s="49">
        <v>117.4</v>
      </c>
      <c r="P37" s="49">
        <v>118.4</v>
      </c>
      <c r="Q37" s="49">
        <v>114</v>
      </c>
      <c r="R37" s="49">
        <v>115.2</v>
      </c>
      <c r="S37" s="49">
        <v>112.7</v>
      </c>
      <c r="T37" s="49">
        <v>114.8</v>
      </c>
      <c r="U37" s="49">
        <v>110.7</v>
      </c>
      <c r="V37" s="49">
        <v>111.9</v>
      </c>
      <c r="W37" s="49">
        <v>111.7</v>
      </c>
      <c r="X37" s="49">
        <v>109.7</v>
      </c>
      <c r="Y37" s="49">
        <v>109.8</v>
      </c>
      <c r="Z37" s="49">
        <v>109</v>
      </c>
      <c r="AA37" s="49">
        <v>111.5</v>
      </c>
      <c r="AB37" s="49">
        <v>107.9</v>
      </c>
      <c r="AC37" s="49">
        <v>110</v>
      </c>
      <c r="AD37" s="49">
        <v>114.5</v>
      </c>
    </row>
    <row r="38" spans="1:30" x14ac:dyDescent="0.3">
      <c r="A38" s="49" t="s">
        <v>41</v>
      </c>
      <c r="B38" s="49">
        <v>2014</v>
      </c>
      <c r="C38" s="49" t="s">
        <v>42</v>
      </c>
      <c r="D38" s="49">
        <v>118.9</v>
      </c>
      <c r="E38" s="49">
        <v>117.1</v>
      </c>
      <c r="F38" s="49">
        <v>120.5</v>
      </c>
      <c r="G38" s="49">
        <v>114.4</v>
      </c>
      <c r="H38" s="49">
        <v>109</v>
      </c>
      <c r="I38" s="49">
        <v>115.5</v>
      </c>
      <c r="J38" s="49">
        <v>123.9</v>
      </c>
      <c r="K38" s="49">
        <v>109.6</v>
      </c>
      <c r="L38" s="49">
        <v>101.8</v>
      </c>
      <c r="M38" s="49">
        <v>110.2</v>
      </c>
      <c r="N38" s="49">
        <v>112.4</v>
      </c>
      <c r="O38" s="49">
        <v>117.3</v>
      </c>
      <c r="P38" s="49">
        <v>116</v>
      </c>
      <c r="Q38" s="49">
        <v>114</v>
      </c>
      <c r="R38" s="49">
        <v>116.5</v>
      </c>
      <c r="S38" s="49">
        <v>114.5</v>
      </c>
      <c r="T38" s="49">
        <v>116.2</v>
      </c>
      <c r="U38" s="49" t="s">
        <v>43</v>
      </c>
      <c r="V38" s="49">
        <v>113</v>
      </c>
      <c r="W38" s="49">
        <v>112.6</v>
      </c>
      <c r="X38" s="49">
        <v>110.6</v>
      </c>
      <c r="Y38" s="49">
        <v>110.5</v>
      </c>
      <c r="Z38" s="49">
        <v>109.6</v>
      </c>
      <c r="AA38" s="49">
        <v>111.8</v>
      </c>
      <c r="AB38" s="49">
        <v>108.3</v>
      </c>
      <c r="AC38" s="49">
        <v>110.6</v>
      </c>
      <c r="AD38" s="49">
        <v>114.2</v>
      </c>
    </row>
    <row r="39" spans="1:30" x14ac:dyDescent="0.3">
      <c r="A39" s="49" t="s">
        <v>44</v>
      </c>
      <c r="B39" s="49">
        <v>2014</v>
      </c>
      <c r="C39" s="49" t="s">
        <v>42</v>
      </c>
      <c r="D39" s="49">
        <v>121.2</v>
      </c>
      <c r="E39" s="49">
        <v>122</v>
      </c>
      <c r="F39" s="49">
        <v>129.9</v>
      </c>
      <c r="G39" s="49">
        <v>113.6</v>
      </c>
      <c r="H39" s="49">
        <v>102.9</v>
      </c>
      <c r="I39" s="49">
        <v>112.1</v>
      </c>
      <c r="J39" s="49">
        <v>118.9</v>
      </c>
      <c r="K39" s="49">
        <v>107.5</v>
      </c>
      <c r="L39" s="49">
        <v>96.9</v>
      </c>
      <c r="M39" s="49">
        <v>112.7</v>
      </c>
      <c r="N39" s="49">
        <v>112.1</v>
      </c>
      <c r="O39" s="49">
        <v>119</v>
      </c>
      <c r="P39" s="49">
        <v>115.5</v>
      </c>
      <c r="Q39" s="49">
        <v>115.7</v>
      </c>
      <c r="R39" s="49">
        <v>114.8</v>
      </c>
      <c r="S39" s="49">
        <v>111.3</v>
      </c>
      <c r="T39" s="49">
        <v>114.3</v>
      </c>
      <c r="U39" s="49">
        <v>111.6</v>
      </c>
      <c r="V39" s="49">
        <v>111</v>
      </c>
      <c r="W39" s="49">
        <v>111.9</v>
      </c>
      <c r="X39" s="49">
        <v>109.7</v>
      </c>
      <c r="Y39" s="49">
        <v>110.8</v>
      </c>
      <c r="Z39" s="49">
        <v>109.8</v>
      </c>
      <c r="AA39" s="49">
        <v>111.5</v>
      </c>
      <c r="AB39" s="49">
        <v>108</v>
      </c>
      <c r="AC39" s="49">
        <v>110.5</v>
      </c>
      <c r="AD39" s="49">
        <v>112.9</v>
      </c>
    </row>
    <row r="40" spans="1:30" x14ac:dyDescent="0.3">
      <c r="A40" s="49" t="s">
        <v>30</v>
      </c>
      <c r="B40" s="49">
        <v>2014</v>
      </c>
      <c r="C40" s="49" t="s">
        <v>42</v>
      </c>
      <c r="D40" s="49">
        <v>119.6</v>
      </c>
      <c r="E40" s="49">
        <v>118.8</v>
      </c>
      <c r="F40" s="49">
        <v>124.1</v>
      </c>
      <c r="G40" s="49">
        <v>114.1</v>
      </c>
      <c r="H40" s="49">
        <v>106.8</v>
      </c>
      <c r="I40" s="49">
        <v>113.9</v>
      </c>
      <c r="J40" s="49">
        <v>122.2</v>
      </c>
      <c r="K40" s="49">
        <v>108.9</v>
      </c>
      <c r="L40" s="49">
        <v>100.2</v>
      </c>
      <c r="M40" s="49">
        <v>111</v>
      </c>
      <c r="N40" s="49">
        <v>112.3</v>
      </c>
      <c r="O40" s="49">
        <v>118.1</v>
      </c>
      <c r="P40" s="49">
        <v>115.8</v>
      </c>
      <c r="Q40" s="49">
        <v>114.5</v>
      </c>
      <c r="R40" s="49">
        <v>115.8</v>
      </c>
      <c r="S40" s="49">
        <v>113.2</v>
      </c>
      <c r="T40" s="49">
        <v>115.4</v>
      </c>
      <c r="U40" s="49">
        <v>111.6</v>
      </c>
      <c r="V40" s="49">
        <v>112.2</v>
      </c>
      <c r="W40" s="49">
        <v>112.3</v>
      </c>
      <c r="X40" s="49">
        <v>110.3</v>
      </c>
      <c r="Y40" s="49">
        <v>110.7</v>
      </c>
      <c r="Z40" s="49">
        <v>109.7</v>
      </c>
      <c r="AA40" s="49">
        <v>111.6</v>
      </c>
      <c r="AB40" s="49">
        <v>108.2</v>
      </c>
      <c r="AC40" s="49">
        <v>110.6</v>
      </c>
      <c r="AD40" s="49">
        <v>113.6</v>
      </c>
    </row>
    <row r="41" spans="1:30" x14ac:dyDescent="0.3">
      <c r="A41" s="49" t="s">
        <v>41</v>
      </c>
      <c r="B41" s="49">
        <v>2014</v>
      </c>
      <c r="C41" s="49" t="s">
        <v>45</v>
      </c>
      <c r="D41" s="49">
        <v>119.4</v>
      </c>
      <c r="E41" s="49">
        <v>117.7</v>
      </c>
      <c r="F41" s="49">
        <v>121.2</v>
      </c>
      <c r="G41" s="49">
        <v>115</v>
      </c>
      <c r="H41" s="49">
        <v>109</v>
      </c>
      <c r="I41" s="49">
        <v>116.6</v>
      </c>
      <c r="J41" s="49">
        <v>116</v>
      </c>
      <c r="K41" s="49">
        <v>109.8</v>
      </c>
      <c r="L41" s="49">
        <v>101.1</v>
      </c>
      <c r="M41" s="49">
        <v>110.4</v>
      </c>
      <c r="N41" s="49">
        <v>112.9</v>
      </c>
      <c r="O41" s="49">
        <v>117.8</v>
      </c>
      <c r="P41" s="49">
        <v>115.3</v>
      </c>
      <c r="Q41" s="49">
        <v>114.2</v>
      </c>
      <c r="R41" s="49">
        <v>117.1</v>
      </c>
      <c r="S41" s="49">
        <v>114.5</v>
      </c>
      <c r="T41" s="49">
        <v>116.7</v>
      </c>
      <c r="U41" s="49" t="s">
        <v>43</v>
      </c>
      <c r="V41" s="49">
        <v>113.2</v>
      </c>
      <c r="W41" s="49">
        <v>112.9</v>
      </c>
      <c r="X41" s="49">
        <v>110.9</v>
      </c>
      <c r="Y41" s="49">
        <v>110.8</v>
      </c>
      <c r="Z41" s="49">
        <v>109.9</v>
      </c>
      <c r="AA41" s="49">
        <v>112</v>
      </c>
      <c r="AB41" s="49">
        <v>108.7</v>
      </c>
      <c r="AC41" s="49">
        <v>110.9</v>
      </c>
      <c r="AD41" s="49">
        <v>114</v>
      </c>
    </row>
    <row r="42" spans="1:30" x14ac:dyDescent="0.3">
      <c r="A42" s="49" t="s">
        <v>44</v>
      </c>
      <c r="B42" s="49">
        <v>2014</v>
      </c>
      <c r="C42" s="49" t="s">
        <v>45</v>
      </c>
      <c r="D42" s="49">
        <v>121.9</v>
      </c>
      <c r="E42" s="49">
        <v>122</v>
      </c>
      <c r="F42" s="49">
        <v>124.5</v>
      </c>
      <c r="G42" s="49">
        <v>115.2</v>
      </c>
      <c r="H42" s="49">
        <v>102.5</v>
      </c>
      <c r="I42" s="49">
        <v>114.1</v>
      </c>
      <c r="J42" s="49">
        <v>111.5</v>
      </c>
      <c r="K42" s="49">
        <v>108.2</v>
      </c>
      <c r="L42" s="49">
        <v>95.4</v>
      </c>
      <c r="M42" s="49">
        <v>113.5</v>
      </c>
      <c r="N42" s="49">
        <v>112.1</v>
      </c>
      <c r="O42" s="49">
        <v>119.9</v>
      </c>
      <c r="P42" s="49">
        <v>115.2</v>
      </c>
      <c r="Q42" s="49">
        <v>116.2</v>
      </c>
      <c r="R42" s="49">
        <v>115.3</v>
      </c>
      <c r="S42" s="49">
        <v>111.7</v>
      </c>
      <c r="T42" s="49">
        <v>114.7</v>
      </c>
      <c r="U42" s="49">
        <v>112.5</v>
      </c>
      <c r="V42" s="49">
        <v>111.1</v>
      </c>
      <c r="W42" s="49">
        <v>112.6</v>
      </c>
      <c r="X42" s="49">
        <v>110.4</v>
      </c>
      <c r="Y42" s="49">
        <v>111.3</v>
      </c>
      <c r="Z42" s="49">
        <v>110.3</v>
      </c>
      <c r="AA42" s="49">
        <v>111.6</v>
      </c>
      <c r="AB42" s="49">
        <v>108.7</v>
      </c>
      <c r="AC42" s="49">
        <v>111</v>
      </c>
      <c r="AD42" s="49">
        <v>113.1</v>
      </c>
    </row>
    <row r="43" spans="1:30" x14ac:dyDescent="0.3">
      <c r="A43" s="49" t="s">
        <v>30</v>
      </c>
      <c r="B43" s="49">
        <v>2014</v>
      </c>
      <c r="C43" s="49" t="s">
        <v>45</v>
      </c>
      <c r="D43" s="49">
        <v>120.2</v>
      </c>
      <c r="E43" s="49">
        <v>119.2</v>
      </c>
      <c r="F43" s="49">
        <v>122.5</v>
      </c>
      <c r="G43" s="49">
        <v>115.1</v>
      </c>
      <c r="H43" s="49">
        <v>106.6</v>
      </c>
      <c r="I43" s="49">
        <v>115.4</v>
      </c>
      <c r="J43" s="49">
        <v>114.5</v>
      </c>
      <c r="K43" s="49">
        <v>109.3</v>
      </c>
      <c r="L43" s="49">
        <v>99.2</v>
      </c>
      <c r="M43" s="49">
        <v>111.4</v>
      </c>
      <c r="N43" s="49">
        <v>112.6</v>
      </c>
      <c r="O43" s="49">
        <v>118.8</v>
      </c>
      <c r="P43" s="49">
        <v>115.3</v>
      </c>
      <c r="Q43" s="49">
        <v>114.7</v>
      </c>
      <c r="R43" s="49">
        <v>116.4</v>
      </c>
      <c r="S43" s="49">
        <v>113.3</v>
      </c>
      <c r="T43" s="49">
        <v>115.9</v>
      </c>
      <c r="U43" s="49">
        <v>112.5</v>
      </c>
      <c r="V43" s="49">
        <v>112.4</v>
      </c>
      <c r="W43" s="49">
        <v>112.8</v>
      </c>
      <c r="X43" s="49">
        <v>110.7</v>
      </c>
      <c r="Y43" s="49">
        <v>111.1</v>
      </c>
      <c r="Z43" s="49">
        <v>110.1</v>
      </c>
      <c r="AA43" s="49">
        <v>111.8</v>
      </c>
      <c r="AB43" s="49">
        <v>108.7</v>
      </c>
      <c r="AC43" s="49">
        <v>110.9</v>
      </c>
      <c r="AD43" s="49">
        <v>113.6</v>
      </c>
    </row>
    <row r="44" spans="1:30" x14ac:dyDescent="0.3">
      <c r="A44" s="49" t="s">
        <v>41</v>
      </c>
      <c r="B44" s="49">
        <v>2014</v>
      </c>
      <c r="C44" s="49" t="s">
        <v>46</v>
      </c>
      <c r="D44" s="49">
        <v>120.1</v>
      </c>
      <c r="E44" s="49">
        <v>118.1</v>
      </c>
      <c r="F44" s="49">
        <v>120.7</v>
      </c>
      <c r="G44" s="49">
        <v>116.1</v>
      </c>
      <c r="H44" s="49">
        <v>109.3</v>
      </c>
      <c r="I44" s="49">
        <v>119.6</v>
      </c>
      <c r="J44" s="49">
        <v>117.9</v>
      </c>
      <c r="K44" s="49">
        <v>110.2</v>
      </c>
      <c r="L44" s="49">
        <v>101.2</v>
      </c>
      <c r="M44" s="49">
        <v>110.7</v>
      </c>
      <c r="N44" s="49">
        <v>113</v>
      </c>
      <c r="O44" s="49">
        <v>118.3</v>
      </c>
      <c r="P44" s="49">
        <v>116.2</v>
      </c>
      <c r="Q44" s="49">
        <v>114.6</v>
      </c>
      <c r="R44" s="49">
        <v>117.5</v>
      </c>
      <c r="S44" s="49">
        <v>114.9</v>
      </c>
      <c r="T44" s="49">
        <v>117.2</v>
      </c>
      <c r="U44" s="49" t="s">
        <v>43</v>
      </c>
      <c r="V44" s="49">
        <v>113.4</v>
      </c>
      <c r="W44" s="49">
        <v>113.4</v>
      </c>
      <c r="X44" s="49">
        <v>111.4</v>
      </c>
      <c r="Y44" s="49">
        <v>111.2</v>
      </c>
      <c r="Z44" s="49">
        <v>110.2</v>
      </c>
      <c r="AA44" s="49">
        <v>112.4</v>
      </c>
      <c r="AB44" s="49">
        <v>108.9</v>
      </c>
      <c r="AC44" s="49">
        <v>111.3</v>
      </c>
      <c r="AD44" s="49">
        <v>114.6</v>
      </c>
    </row>
    <row r="45" spans="1:30" x14ac:dyDescent="0.3">
      <c r="A45" s="49" t="s">
        <v>44</v>
      </c>
      <c r="B45" s="49">
        <v>2014</v>
      </c>
      <c r="C45" s="49" t="s">
        <v>46</v>
      </c>
      <c r="D45" s="49">
        <v>122.1</v>
      </c>
      <c r="E45" s="49">
        <v>121.4</v>
      </c>
      <c r="F45" s="49">
        <v>121.5</v>
      </c>
      <c r="G45" s="49">
        <v>116.2</v>
      </c>
      <c r="H45" s="49">
        <v>102.8</v>
      </c>
      <c r="I45" s="49">
        <v>117.7</v>
      </c>
      <c r="J45" s="49">
        <v>113.3</v>
      </c>
      <c r="K45" s="49">
        <v>108.9</v>
      </c>
      <c r="L45" s="49">
        <v>96.3</v>
      </c>
      <c r="M45" s="49">
        <v>114.1</v>
      </c>
      <c r="N45" s="49">
        <v>112.2</v>
      </c>
      <c r="O45" s="49">
        <v>120.5</v>
      </c>
      <c r="P45" s="49">
        <v>116</v>
      </c>
      <c r="Q45" s="49">
        <v>116.7</v>
      </c>
      <c r="R45" s="49">
        <v>115.8</v>
      </c>
      <c r="S45" s="49">
        <v>112.1</v>
      </c>
      <c r="T45" s="49">
        <v>115.2</v>
      </c>
      <c r="U45" s="49">
        <v>113.2</v>
      </c>
      <c r="V45" s="49">
        <v>110.9</v>
      </c>
      <c r="W45" s="49">
        <v>113</v>
      </c>
      <c r="X45" s="49">
        <v>110.8</v>
      </c>
      <c r="Y45" s="49">
        <v>111.6</v>
      </c>
      <c r="Z45" s="49">
        <v>110.9</v>
      </c>
      <c r="AA45" s="49">
        <v>111.8</v>
      </c>
      <c r="AB45" s="49">
        <v>109.2</v>
      </c>
      <c r="AC45" s="49">
        <v>111.4</v>
      </c>
      <c r="AD45" s="49">
        <v>113.7</v>
      </c>
    </row>
    <row r="46" spans="1:30" x14ac:dyDescent="0.3">
      <c r="A46" s="49" t="s">
        <v>30</v>
      </c>
      <c r="B46" s="49">
        <v>2014</v>
      </c>
      <c r="C46" s="49" t="s">
        <v>56</v>
      </c>
      <c r="D46" s="49">
        <v>120.7</v>
      </c>
      <c r="E46" s="49">
        <v>119.3</v>
      </c>
      <c r="F46" s="49">
        <v>121</v>
      </c>
      <c r="G46" s="49">
        <v>116.1</v>
      </c>
      <c r="H46" s="49">
        <v>106.9</v>
      </c>
      <c r="I46" s="49">
        <v>118.7</v>
      </c>
      <c r="J46" s="49">
        <v>116.3</v>
      </c>
      <c r="K46" s="49">
        <v>109.8</v>
      </c>
      <c r="L46" s="49">
        <v>99.6</v>
      </c>
      <c r="M46" s="49">
        <v>111.8</v>
      </c>
      <c r="N46" s="49">
        <v>112.7</v>
      </c>
      <c r="O46" s="49">
        <v>119.3</v>
      </c>
      <c r="P46" s="49">
        <v>116.1</v>
      </c>
      <c r="Q46" s="49">
        <v>115.2</v>
      </c>
      <c r="R46" s="49">
        <v>116.8</v>
      </c>
      <c r="S46" s="49">
        <v>113.7</v>
      </c>
      <c r="T46" s="49">
        <v>116.4</v>
      </c>
      <c r="U46" s="49">
        <v>113.2</v>
      </c>
      <c r="V46" s="49">
        <v>112.5</v>
      </c>
      <c r="W46" s="49">
        <v>113.2</v>
      </c>
      <c r="X46" s="49">
        <v>111.2</v>
      </c>
      <c r="Y46" s="49">
        <v>111.4</v>
      </c>
      <c r="Z46" s="49">
        <v>110.6</v>
      </c>
      <c r="AA46" s="49">
        <v>112</v>
      </c>
      <c r="AB46" s="49">
        <v>109</v>
      </c>
      <c r="AC46" s="49">
        <v>111.3</v>
      </c>
      <c r="AD46" s="49">
        <v>114.2</v>
      </c>
    </row>
    <row r="47" spans="1:30" x14ac:dyDescent="0.3">
      <c r="A47" s="49" t="s">
        <v>41</v>
      </c>
      <c r="B47" s="49">
        <v>2014</v>
      </c>
      <c r="C47" s="49" t="s">
        <v>47</v>
      </c>
      <c r="D47" s="49">
        <v>120.2</v>
      </c>
      <c r="E47" s="49">
        <v>118.9</v>
      </c>
      <c r="F47" s="49">
        <v>118.1</v>
      </c>
      <c r="G47" s="49">
        <v>117</v>
      </c>
      <c r="H47" s="49">
        <v>109.7</v>
      </c>
      <c r="I47" s="49">
        <v>125.5</v>
      </c>
      <c r="J47" s="49">
        <v>120.5</v>
      </c>
      <c r="K47" s="49">
        <v>111</v>
      </c>
      <c r="L47" s="49">
        <v>102.6</v>
      </c>
      <c r="M47" s="49">
        <v>111.2</v>
      </c>
      <c r="N47" s="49">
        <v>113.5</v>
      </c>
      <c r="O47" s="49">
        <v>118.7</v>
      </c>
      <c r="P47" s="49">
        <v>117.2</v>
      </c>
      <c r="Q47" s="49">
        <v>115.4</v>
      </c>
      <c r="R47" s="49">
        <v>118.1</v>
      </c>
      <c r="S47" s="49">
        <v>116.1</v>
      </c>
      <c r="T47" s="49">
        <v>117.8</v>
      </c>
      <c r="U47" s="49" t="s">
        <v>43</v>
      </c>
      <c r="V47" s="49">
        <v>113.4</v>
      </c>
      <c r="W47" s="49">
        <v>113.7</v>
      </c>
      <c r="X47" s="49">
        <v>111.8</v>
      </c>
      <c r="Y47" s="49">
        <v>111.2</v>
      </c>
      <c r="Z47" s="49">
        <v>110.5</v>
      </c>
      <c r="AA47" s="49">
        <v>113</v>
      </c>
      <c r="AB47" s="49">
        <v>108.9</v>
      </c>
      <c r="AC47" s="49">
        <v>111.5</v>
      </c>
      <c r="AD47" s="49">
        <v>115.4</v>
      </c>
    </row>
    <row r="48" spans="1:30" x14ac:dyDescent="0.3">
      <c r="A48" s="49" t="s">
        <v>44</v>
      </c>
      <c r="B48" s="49">
        <v>2014</v>
      </c>
      <c r="C48" s="49" t="s">
        <v>47</v>
      </c>
      <c r="D48" s="49">
        <v>122.5</v>
      </c>
      <c r="E48" s="49">
        <v>121.7</v>
      </c>
      <c r="F48" s="49">
        <v>113.3</v>
      </c>
      <c r="G48" s="49">
        <v>117</v>
      </c>
      <c r="H48" s="49">
        <v>103.1</v>
      </c>
      <c r="I48" s="49">
        <v>126.7</v>
      </c>
      <c r="J48" s="49">
        <v>121.2</v>
      </c>
      <c r="K48" s="49">
        <v>111</v>
      </c>
      <c r="L48" s="49">
        <v>100.3</v>
      </c>
      <c r="M48" s="49">
        <v>115.3</v>
      </c>
      <c r="N48" s="49">
        <v>112.7</v>
      </c>
      <c r="O48" s="49">
        <v>121</v>
      </c>
      <c r="P48" s="49">
        <v>118.2</v>
      </c>
      <c r="Q48" s="49">
        <v>117.6</v>
      </c>
      <c r="R48" s="49">
        <v>116.3</v>
      </c>
      <c r="S48" s="49">
        <v>112.5</v>
      </c>
      <c r="T48" s="49">
        <v>115.7</v>
      </c>
      <c r="U48" s="49">
        <v>113.9</v>
      </c>
      <c r="V48" s="49">
        <v>110.9</v>
      </c>
      <c r="W48" s="49">
        <v>113.4</v>
      </c>
      <c r="X48" s="49">
        <v>111</v>
      </c>
      <c r="Y48" s="49">
        <v>111.2</v>
      </c>
      <c r="Z48" s="49">
        <v>111.2</v>
      </c>
      <c r="AA48" s="49">
        <v>112.5</v>
      </c>
      <c r="AB48" s="49">
        <v>109.1</v>
      </c>
      <c r="AC48" s="49">
        <v>111.4</v>
      </c>
      <c r="AD48" s="49">
        <v>114.7</v>
      </c>
    </row>
    <row r="49" spans="1:30" x14ac:dyDescent="0.3">
      <c r="A49" s="49" t="s">
        <v>30</v>
      </c>
      <c r="B49" s="49">
        <v>2014</v>
      </c>
      <c r="C49" s="49" t="s">
        <v>47</v>
      </c>
      <c r="D49" s="49">
        <v>120.9</v>
      </c>
      <c r="E49" s="49">
        <v>119.9</v>
      </c>
      <c r="F49" s="49">
        <v>116.2</v>
      </c>
      <c r="G49" s="49">
        <v>117</v>
      </c>
      <c r="H49" s="49">
        <v>107.3</v>
      </c>
      <c r="I49" s="49">
        <v>126.1</v>
      </c>
      <c r="J49" s="49">
        <v>120.7</v>
      </c>
      <c r="K49" s="49">
        <v>111</v>
      </c>
      <c r="L49" s="49">
        <v>101.8</v>
      </c>
      <c r="M49" s="49">
        <v>112.6</v>
      </c>
      <c r="N49" s="49">
        <v>113.2</v>
      </c>
      <c r="O49" s="49">
        <v>119.8</v>
      </c>
      <c r="P49" s="49">
        <v>117.6</v>
      </c>
      <c r="Q49" s="49">
        <v>116</v>
      </c>
      <c r="R49" s="49">
        <v>117.4</v>
      </c>
      <c r="S49" s="49">
        <v>114.6</v>
      </c>
      <c r="T49" s="49">
        <v>117</v>
      </c>
      <c r="U49" s="49">
        <v>113.9</v>
      </c>
      <c r="V49" s="49">
        <v>112.5</v>
      </c>
      <c r="W49" s="49">
        <v>113.6</v>
      </c>
      <c r="X49" s="49">
        <v>111.5</v>
      </c>
      <c r="Y49" s="49">
        <v>111.2</v>
      </c>
      <c r="Z49" s="49">
        <v>110.9</v>
      </c>
      <c r="AA49" s="49">
        <v>112.7</v>
      </c>
      <c r="AB49" s="49">
        <v>109</v>
      </c>
      <c r="AC49" s="49">
        <v>111.5</v>
      </c>
      <c r="AD49" s="49">
        <v>115.1</v>
      </c>
    </row>
    <row r="50" spans="1:30" x14ac:dyDescent="0.3">
      <c r="A50" s="49" t="s">
        <v>41</v>
      </c>
      <c r="B50" s="49">
        <v>2014</v>
      </c>
      <c r="C50" s="49" t="s">
        <v>31</v>
      </c>
      <c r="D50" s="49">
        <v>120.3</v>
      </c>
      <c r="E50" s="49">
        <v>120.2</v>
      </c>
      <c r="F50" s="49">
        <v>116.9</v>
      </c>
      <c r="G50" s="49">
        <v>118</v>
      </c>
      <c r="H50" s="49">
        <v>110.1</v>
      </c>
      <c r="I50" s="49">
        <v>126.3</v>
      </c>
      <c r="J50" s="49">
        <v>123.9</v>
      </c>
      <c r="K50" s="49">
        <v>111.5</v>
      </c>
      <c r="L50" s="49">
        <v>103.5</v>
      </c>
      <c r="M50" s="49">
        <v>111.6</v>
      </c>
      <c r="N50" s="49">
        <v>114.2</v>
      </c>
      <c r="O50" s="49">
        <v>119.2</v>
      </c>
      <c r="P50" s="49">
        <v>118.2</v>
      </c>
      <c r="Q50" s="49">
        <v>116.3</v>
      </c>
      <c r="R50" s="49">
        <v>118.7</v>
      </c>
      <c r="S50" s="49">
        <v>116.8</v>
      </c>
      <c r="T50" s="49">
        <v>118.5</v>
      </c>
      <c r="U50" s="49" t="s">
        <v>43</v>
      </c>
      <c r="V50" s="49">
        <v>113.4</v>
      </c>
      <c r="W50" s="49">
        <v>114.1</v>
      </c>
      <c r="X50" s="49">
        <v>112.1</v>
      </c>
      <c r="Y50" s="49">
        <v>111.4</v>
      </c>
      <c r="Z50" s="49">
        <v>110.9</v>
      </c>
      <c r="AA50" s="49">
        <v>113.1</v>
      </c>
      <c r="AB50" s="49">
        <v>108.9</v>
      </c>
      <c r="AC50" s="49">
        <v>111.8</v>
      </c>
      <c r="AD50" s="49">
        <v>116</v>
      </c>
    </row>
    <row r="51" spans="1:30" x14ac:dyDescent="0.3">
      <c r="A51" s="49" t="s">
        <v>44</v>
      </c>
      <c r="B51" s="49">
        <v>2014</v>
      </c>
      <c r="C51" s="49" t="s">
        <v>31</v>
      </c>
      <c r="D51" s="49">
        <v>122.7</v>
      </c>
      <c r="E51" s="49">
        <v>124.1</v>
      </c>
      <c r="F51" s="49">
        <v>114.2</v>
      </c>
      <c r="G51" s="49">
        <v>119.1</v>
      </c>
      <c r="H51" s="49">
        <v>103.5</v>
      </c>
      <c r="I51" s="49">
        <v>129.19999999999999</v>
      </c>
      <c r="J51" s="49">
        <v>127</v>
      </c>
      <c r="K51" s="49">
        <v>112.6</v>
      </c>
      <c r="L51" s="49">
        <v>101.3</v>
      </c>
      <c r="M51" s="49">
        <v>117</v>
      </c>
      <c r="N51" s="49">
        <v>112.9</v>
      </c>
      <c r="O51" s="49">
        <v>121.7</v>
      </c>
      <c r="P51" s="49">
        <v>120</v>
      </c>
      <c r="Q51" s="49">
        <v>118.3</v>
      </c>
      <c r="R51" s="49">
        <v>116.8</v>
      </c>
      <c r="S51" s="49">
        <v>112.9</v>
      </c>
      <c r="T51" s="49">
        <v>116.2</v>
      </c>
      <c r="U51" s="49">
        <v>114.3</v>
      </c>
      <c r="V51" s="49">
        <v>111.1</v>
      </c>
      <c r="W51" s="49">
        <v>114.1</v>
      </c>
      <c r="X51" s="49">
        <v>111.2</v>
      </c>
      <c r="Y51" s="49">
        <v>111.3</v>
      </c>
      <c r="Z51" s="49">
        <v>111.5</v>
      </c>
      <c r="AA51" s="49">
        <v>112.9</v>
      </c>
      <c r="AB51" s="49">
        <v>109.3</v>
      </c>
      <c r="AC51" s="49">
        <v>111.7</v>
      </c>
      <c r="AD51" s="49">
        <v>115.6</v>
      </c>
    </row>
    <row r="52" spans="1:30" x14ac:dyDescent="0.3">
      <c r="A52" s="49" t="s">
        <v>30</v>
      </c>
      <c r="B52" s="49">
        <v>2014</v>
      </c>
      <c r="C52" s="49" t="s">
        <v>31</v>
      </c>
      <c r="D52" s="49">
        <v>121.1</v>
      </c>
      <c r="E52" s="49">
        <v>121.6</v>
      </c>
      <c r="F52" s="49">
        <v>115.9</v>
      </c>
      <c r="G52" s="49">
        <v>118.4</v>
      </c>
      <c r="H52" s="49">
        <v>107.7</v>
      </c>
      <c r="I52" s="49">
        <v>127.7</v>
      </c>
      <c r="J52" s="49">
        <v>125</v>
      </c>
      <c r="K52" s="49">
        <v>111.9</v>
      </c>
      <c r="L52" s="49">
        <v>102.8</v>
      </c>
      <c r="M52" s="49">
        <v>113.4</v>
      </c>
      <c r="N52" s="49">
        <v>113.7</v>
      </c>
      <c r="O52" s="49">
        <v>120.4</v>
      </c>
      <c r="P52" s="49">
        <v>118.9</v>
      </c>
      <c r="Q52" s="49">
        <v>116.8</v>
      </c>
      <c r="R52" s="49">
        <v>118</v>
      </c>
      <c r="S52" s="49">
        <v>115.2</v>
      </c>
      <c r="T52" s="49">
        <v>117.6</v>
      </c>
      <c r="U52" s="49">
        <v>114.3</v>
      </c>
      <c r="V52" s="49">
        <v>112.5</v>
      </c>
      <c r="W52" s="49">
        <v>114.1</v>
      </c>
      <c r="X52" s="49">
        <v>111.8</v>
      </c>
      <c r="Y52" s="49">
        <v>111.3</v>
      </c>
      <c r="Z52" s="49">
        <v>111.2</v>
      </c>
      <c r="AA52" s="49">
        <v>113</v>
      </c>
      <c r="AB52" s="49">
        <v>109.1</v>
      </c>
      <c r="AC52" s="49">
        <v>111.8</v>
      </c>
      <c r="AD52" s="49">
        <v>115.8</v>
      </c>
    </row>
    <row r="53" spans="1:30" x14ac:dyDescent="0.3">
      <c r="A53" s="49" t="s">
        <v>41</v>
      </c>
      <c r="B53" s="49">
        <v>2014</v>
      </c>
      <c r="C53" s="49" t="s">
        <v>48</v>
      </c>
      <c r="D53" s="49">
        <v>120.7</v>
      </c>
      <c r="E53" s="49">
        <v>121.6</v>
      </c>
      <c r="F53" s="49">
        <v>116.1</v>
      </c>
      <c r="G53" s="49">
        <v>119.3</v>
      </c>
      <c r="H53" s="49">
        <v>110.3</v>
      </c>
      <c r="I53" s="49">
        <v>125.8</v>
      </c>
      <c r="J53" s="49">
        <v>129.30000000000001</v>
      </c>
      <c r="K53" s="49">
        <v>112.2</v>
      </c>
      <c r="L53" s="49">
        <v>103.6</v>
      </c>
      <c r="M53" s="49">
        <v>112.3</v>
      </c>
      <c r="N53" s="49">
        <v>114.9</v>
      </c>
      <c r="O53" s="49">
        <v>120.1</v>
      </c>
      <c r="P53" s="49">
        <v>119.5</v>
      </c>
      <c r="Q53" s="49">
        <v>117.3</v>
      </c>
      <c r="R53" s="49">
        <v>119.7</v>
      </c>
      <c r="S53" s="49">
        <v>117.3</v>
      </c>
      <c r="T53" s="49">
        <v>119.3</v>
      </c>
      <c r="U53" s="49" t="s">
        <v>43</v>
      </c>
      <c r="V53" s="49">
        <v>114.4</v>
      </c>
      <c r="W53" s="49">
        <v>114.9</v>
      </c>
      <c r="X53" s="49">
        <v>112.8</v>
      </c>
      <c r="Y53" s="49">
        <v>112.2</v>
      </c>
      <c r="Z53" s="49">
        <v>111.4</v>
      </c>
      <c r="AA53" s="49">
        <v>114.3</v>
      </c>
      <c r="AB53" s="49">
        <v>108</v>
      </c>
      <c r="AC53" s="49">
        <v>112.3</v>
      </c>
      <c r="AD53" s="49">
        <v>117</v>
      </c>
    </row>
    <row r="54" spans="1:30" x14ac:dyDescent="0.3">
      <c r="A54" s="49" t="s">
        <v>44</v>
      </c>
      <c r="B54" s="49">
        <v>2014</v>
      </c>
      <c r="C54" s="49" t="s">
        <v>48</v>
      </c>
      <c r="D54" s="49">
        <v>123.1</v>
      </c>
      <c r="E54" s="49">
        <v>125.9</v>
      </c>
      <c r="F54" s="49">
        <v>115.4</v>
      </c>
      <c r="G54" s="49">
        <v>120.4</v>
      </c>
      <c r="H54" s="49">
        <v>103.4</v>
      </c>
      <c r="I54" s="49">
        <v>131.19999999999999</v>
      </c>
      <c r="J54" s="49">
        <v>137.5</v>
      </c>
      <c r="K54" s="49">
        <v>112.8</v>
      </c>
      <c r="L54" s="49">
        <v>101.4</v>
      </c>
      <c r="M54" s="49">
        <v>118.3</v>
      </c>
      <c r="N54" s="49">
        <v>113.2</v>
      </c>
      <c r="O54" s="49">
        <v>122.4</v>
      </c>
      <c r="P54" s="49">
        <v>122</v>
      </c>
      <c r="Q54" s="49">
        <v>119</v>
      </c>
      <c r="R54" s="49">
        <v>117.4</v>
      </c>
      <c r="S54" s="49">
        <v>113.2</v>
      </c>
      <c r="T54" s="49">
        <v>116.7</v>
      </c>
      <c r="U54" s="49">
        <v>113.9</v>
      </c>
      <c r="V54" s="49">
        <v>111.2</v>
      </c>
      <c r="W54" s="49">
        <v>114.3</v>
      </c>
      <c r="X54" s="49">
        <v>111.4</v>
      </c>
      <c r="Y54" s="49">
        <v>111.5</v>
      </c>
      <c r="Z54" s="49">
        <v>111.8</v>
      </c>
      <c r="AA54" s="49">
        <v>115.1</v>
      </c>
      <c r="AB54" s="49">
        <v>108.7</v>
      </c>
      <c r="AC54" s="49">
        <v>112.2</v>
      </c>
      <c r="AD54" s="49">
        <v>116.4</v>
      </c>
    </row>
    <row r="55" spans="1:30" x14ac:dyDescent="0.3">
      <c r="A55" s="49" t="s">
        <v>30</v>
      </c>
      <c r="B55" s="49">
        <v>2014</v>
      </c>
      <c r="C55" s="49" t="s">
        <v>48</v>
      </c>
      <c r="D55" s="49">
        <v>121.5</v>
      </c>
      <c r="E55" s="49">
        <v>123.1</v>
      </c>
      <c r="F55" s="49">
        <v>115.8</v>
      </c>
      <c r="G55" s="49">
        <v>119.7</v>
      </c>
      <c r="H55" s="49">
        <v>107.8</v>
      </c>
      <c r="I55" s="49">
        <v>128.30000000000001</v>
      </c>
      <c r="J55" s="49">
        <v>132.1</v>
      </c>
      <c r="K55" s="49">
        <v>112.4</v>
      </c>
      <c r="L55" s="49">
        <v>102.9</v>
      </c>
      <c r="M55" s="49">
        <v>114.3</v>
      </c>
      <c r="N55" s="49">
        <v>114.2</v>
      </c>
      <c r="O55" s="49">
        <v>121.2</v>
      </c>
      <c r="P55" s="49">
        <v>120.4</v>
      </c>
      <c r="Q55" s="49">
        <v>117.8</v>
      </c>
      <c r="R55" s="49">
        <v>118.8</v>
      </c>
      <c r="S55" s="49">
        <v>115.6</v>
      </c>
      <c r="T55" s="49">
        <v>118.3</v>
      </c>
      <c r="U55" s="49">
        <v>113.9</v>
      </c>
      <c r="V55" s="49">
        <v>113.2</v>
      </c>
      <c r="W55" s="49">
        <v>114.6</v>
      </c>
      <c r="X55" s="49">
        <v>112.3</v>
      </c>
      <c r="Y55" s="49">
        <v>111.8</v>
      </c>
      <c r="Z55" s="49">
        <v>111.6</v>
      </c>
      <c r="AA55" s="49">
        <v>114.8</v>
      </c>
      <c r="AB55" s="49">
        <v>108.3</v>
      </c>
      <c r="AC55" s="49">
        <v>112.3</v>
      </c>
      <c r="AD55" s="49">
        <v>116.7</v>
      </c>
    </row>
    <row r="56" spans="1:30" x14ac:dyDescent="0.3">
      <c r="A56" s="49" t="s">
        <v>41</v>
      </c>
      <c r="B56" s="49">
        <v>2014</v>
      </c>
      <c r="C56" s="49" t="s">
        <v>49</v>
      </c>
      <c r="D56" s="49">
        <v>121.7</v>
      </c>
      <c r="E56" s="49">
        <v>122.5</v>
      </c>
      <c r="F56" s="49">
        <v>117.7</v>
      </c>
      <c r="G56" s="49">
        <v>120.6</v>
      </c>
      <c r="H56" s="49">
        <v>110.4</v>
      </c>
      <c r="I56" s="49">
        <v>129.1</v>
      </c>
      <c r="J56" s="49">
        <v>150.1</v>
      </c>
      <c r="K56" s="49">
        <v>113.2</v>
      </c>
      <c r="L56" s="49">
        <v>104.8</v>
      </c>
      <c r="M56" s="49">
        <v>113.3</v>
      </c>
      <c r="N56" s="49">
        <v>115.6</v>
      </c>
      <c r="O56" s="49">
        <v>120.9</v>
      </c>
      <c r="P56" s="49">
        <v>123.3</v>
      </c>
      <c r="Q56" s="49">
        <v>118</v>
      </c>
      <c r="R56" s="49">
        <v>120.7</v>
      </c>
      <c r="S56" s="49">
        <v>118.3</v>
      </c>
      <c r="T56" s="49">
        <v>120.3</v>
      </c>
      <c r="U56" s="49" t="s">
        <v>43</v>
      </c>
      <c r="V56" s="49">
        <v>115.3</v>
      </c>
      <c r="W56" s="49">
        <v>115.4</v>
      </c>
      <c r="X56" s="49">
        <v>113.4</v>
      </c>
      <c r="Y56" s="49">
        <v>113.2</v>
      </c>
      <c r="Z56" s="49">
        <v>111.8</v>
      </c>
      <c r="AA56" s="49">
        <v>115.5</v>
      </c>
      <c r="AB56" s="49">
        <v>108.8</v>
      </c>
      <c r="AC56" s="49">
        <v>113.1</v>
      </c>
      <c r="AD56" s="49">
        <v>119.5</v>
      </c>
    </row>
    <row r="57" spans="1:30" x14ac:dyDescent="0.3">
      <c r="A57" s="49" t="s">
        <v>44</v>
      </c>
      <c r="B57" s="49">
        <v>2014</v>
      </c>
      <c r="C57" s="49" t="s">
        <v>49</v>
      </c>
      <c r="D57" s="49">
        <v>123.8</v>
      </c>
      <c r="E57" s="49">
        <v>126.4</v>
      </c>
      <c r="F57" s="49">
        <v>118</v>
      </c>
      <c r="G57" s="49">
        <v>121.6</v>
      </c>
      <c r="H57" s="49">
        <v>103.5</v>
      </c>
      <c r="I57" s="49">
        <v>133.69999999999999</v>
      </c>
      <c r="J57" s="49">
        <v>172.4</v>
      </c>
      <c r="K57" s="49">
        <v>113.1</v>
      </c>
      <c r="L57" s="49">
        <v>102.7</v>
      </c>
      <c r="M57" s="49">
        <v>120</v>
      </c>
      <c r="N57" s="49">
        <v>113.8</v>
      </c>
      <c r="O57" s="49">
        <v>123.4</v>
      </c>
      <c r="P57" s="49">
        <v>127.1</v>
      </c>
      <c r="Q57" s="49">
        <v>121</v>
      </c>
      <c r="R57" s="49">
        <v>118</v>
      </c>
      <c r="S57" s="49">
        <v>113.6</v>
      </c>
      <c r="T57" s="49">
        <v>117.4</v>
      </c>
      <c r="U57" s="49">
        <v>114.8</v>
      </c>
      <c r="V57" s="49">
        <v>111.6</v>
      </c>
      <c r="W57" s="49">
        <v>114.9</v>
      </c>
      <c r="X57" s="49">
        <v>111.5</v>
      </c>
      <c r="Y57" s="49">
        <v>113</v>
      </c>
      <c r="Z57" s="49">
        <v>112.4</v>
      </c>
      <c r="AA57" s="49">
        <v>117.8</v>
      </c>
      <c r="AB57" s="49">
        <v>109.7</v>
      </c>
      <c r="AC57" s="49">
        <v>113.5</v>
      </c>
      <c r="AD57" s="49">
        <v>118.9</v>
      </c>
    </row>
    <row r="58" spans="1:30" x14ac:dyDescent="0.3">
      <c r="A58" s="49" t="s">
        <v>30</v>
      </c>
      <c r="B58" s="49">
        <v>2014</v>
      </c>
      <c r="C58" s="49" t="s">
        <v>49</v>
      </c>
      <c r="D58" s="49">
        <v>122.4</v>
      </c>
      <c r="E58" s="49">
        <v>123.9</v>
      </c>
      <c r="F58" s="49">
        <v>117.8</v>
      </c>
      <c r="G58" s="49">
        <v>121</v>
      </c>
      <c r="H58" s="49">
        <v>107.9</v>
      </c>
      <c r="I58" s="49">
        <v>131.19999999999999</v>
      </c>
      <c r="J58" s="49">
        <v>157.69999999999999</v>
      </c>
      <c r="K58" s="49">
        <v>113.2</v>
      </c>
      <c r="L58" s="49">
        <v>104.1</v>
      </c>
      <c r="M58" s="49">
        <v>115.5</v>
      </c>
      <c r="N58" s="49">
        <v>114.8</v>
      </c>
      <c r="O58" s="49">
        <v>122.1</v>
      </c>
      <c r="P58" s="49">
        <v>124.7</v>
      </c>
      <c r="Q58" s="49">
        <v>118.8</v>
      </c>
      <c r="R58" s="49">
        <v>119.6</v>
      </c>
      <c r="S58" s="49">
        <v>116.3</v>
      </c>
      <c r="T58" s="49">
        <v>119.1</v>
      </c>
      <c r="U58" s="49">
        <v>114.8</v>
      </c>
      <c r="V58" s="49">
        <v>113.9</v>
      </c>
      <c r="W58" s="49">
        <v>115.2</v>
      </c>
      <c r="X58" s="49">
        <v>112.7</v>
      </c>
      <c r="Y58" s="49">
        <v>113.1</v>
      </c>
      <c r="Z58" s="49">
        <v>112.1</v>
      </c>
      <c r="AA58" s="49">
        <v>116.8</v>
      </c>
      <c r="AB58" s="49">
        <v>109.2</v>
      </c>
      <c r="AC58" s="49">
        <v>113.3</v>
      </c>
      <c r="AD58" s="49">
        <v>119.2</v>
      </c>
    </row>
    <row r="59" spans="1:30" x14ac:dyDescent="0.3">
      <c r="A59" s="49" t="s">
        <v>41</v>
      </c>
      <c r="B59" s="49">
        <v>2014</v>
      </c>
      <c r="C59" s="49" t="s">
        <v>50</v>
      </c>
      <c r="D59" s="49">
        <v>121.8</v>
      </c>
      <c r="E59" s="49">
        <v>122.8</v>
      </c>
      <c r="F59" s="49">
        <v>117.8</v>
      </c>
      <c r="G59" s="49">
        <v>121.9</v>
      </c>
      <c r="H59" s="49">
        <v>110.6</v>
      </c>
      <c r="I59" s="49">
        <v>129.69999999999999</v>
      </c>
      <c r="J59" s="49">
        <v>161.1</v>
      </c>
      <c r="K59" s="49">
        <v>114.1</v>
      </c>
      <c r="L59" s="49">
        <v>105.1</v>
      </c>
      <c r="M59" s="49">
        <v>114.6</v>
      </c>
      <c r="N59" s="49">
        <v>115.8</v>
      </c>
      <c r="O59" s="49">
        <v>121.7</v>
      </c>
      <c r="P59" s="49">
        <v>125.3</v>
      </c>
      <c r="Q59" s="49">
        <v>118.8</v>
      </c>
      <c r="R59" s="49">
        <v>120.9</v>
      </c>
      <c r="S59" s="49">
        <v>118.8</v>
      </c>
      <c r="T59" s="49">
        <v>120.7</v>
      </c>
      <c r="U59" s="49" t="s">
        <v>43</v>
      </c>
      <c r="V59" s="49">
        <v>115.4</v>
      </c>
      <c r="W59" s="49">
        <v>115.9</v>
      </c>
      <c r="X59" s="49">
        <v>114</v>
      </c>
      <c r="Y59" s="49">
        <v>113.2</v>
      </c>
      <c r="Z59" s="49">
        <v>112.2</v>
      </c>
      <c r="AA59" s="49">
        <v>116.2</v>
      </c>
      <c r="AB59" s="49">
        <v>109.4</v>
      </c>
      <c r="AC59" s="49">
        <v>113.5</v>
      </c>
      <c r="AD59" s="49">
        <v>120.7</v>
      </c>
    </row>
    <row r="60" spans="1:30" x14ac:dyDescent="0.3">
      <c r="A60" s="49" t="s">
        <v>44</v>
      </c>
      <c r="B60" s="49">
        <v>2014</v>
      </c>
      <c r="C60" s="49" t="s">
        <v>50</v>
      </c>
      <c r="D60" s="49">
        <v>124.8</v>
      </c>
      <c r="E60" s="49">
        <v>127.3</v>
      </c>
      <c r="F60" s="49">
        <v>116.5</v>
      </c>
      <c r="G60" s="49">
        <v>122.2</v>
      </c>
      <c r="H60" s="49">
        <v>103.6</v>
      </c>
      <c r="I60" s="49">
        <v>132.69999999999999</v>
      </c>
      <c r="J60" s="49">
        <v>181.9</v>
      </c>
      <c r="K60" s="49">
        <v>115.2</v>
      </c>
      <c r="L60" s="49">
        <v>102.7</v>
      </c>
      <c r="M60" s="49">
        <v>122.1</v>
      </c>
      <c r="N60" s="49">
        <v>114.4</v>
      </c>
      <c r="O60" s="49">
        <v>124.7</v>
      </c>
      <c r="P60" s="49">
        <v>128.9</v>
      </c>
      <c r="Q60" s="49">
        <v>123</v>
      </c>
      <c r="R60" s="49">
        <v>118.6</v>
      </c>
      <c r="S60" s="49">
        <v>114.1</v>
      </c>
      <c r="T60" s="49">
        <v>117.9</v>
      </c>
      <c r="U60" s="49">
        <v>115.5</v>
      </c>
      <c r="V60" s="49">
        <v>111.8</v>
      </c>
      <c r="W60" s="49">
        <v>115.3</v>
      </c>
      <c r="X60" s="49">
        <v>112.2</v>
      </c>
      <c r="Y60" s="49">
        <v>112.5</v>
      </c>
      <c r="Z60" s="49">
        <v>112.9</v>
      </c>
      <c r="AA60" s="49">
        <v>119.2</v>
      </c>
      <c r="AB60" s="49">
        <v>110.5</v>
      </c>
      <c r="AC60" s="49">
        <v>113.9</v>
      </c>
      <c r="AD60" s="49">
        <v>119.9</v>
      </c>
    </row>
    <row r="61" spans="1:30" x14ac:dyDescent="0.3">
      <c r="A61" s="49" t="s">
        <v>30</v>
      </c>
      <c r="B61" s="49">
        <v>2014</v>
      </c>
      <c r="C61" s="49" t="s">
        <v>50</v>
      </c>
      <c r="D61" s="49">
        <v>122.7</v>
      </c>
      <c r="E61" s="49">
        <v>124.4</v>
      </c>
      <c r="F61" s="49">
        <v>117.3</v>
      </c>
      <c r="G61" s="49">
        <v>122</v>
      </c>
      <c r="H61" s="49">
        <v>108</v>
      </c>
      <c r="I61" s="49">
        <v>131.1</v>
      </c>
      <c r="J61" s="49">
        <v>168.2</v>
      </c>
      <c r="K61" s="49">
        <v>114.5</v>
      </c>
      <c r="L61" s="49">
        <v>104.3</v>
      </c>
      <c r="M61" s="49">
        <v>117.1</v>
      </c>
      <c r="N61" s="49">
        <v>115.2</v>
      </c>
      <c r="O61" s="49">
        <v>123.1</v>
      </c>
      <c r="P61" s="49">
        <v>126.6</v>
      </c>
      <c r="Q61" s="49">
        <v>119.9</v>
      </c>
      <c r="R61" s="49">
        <v>120</v>
      </c>
      <c r="S61" s="49">
        <v>116.8</v>
      </c>
      <c r="T61" s="49">
        <v>119.6</v>
      </c>
      <c r="U61" s="49">
        <v>115.5</v>
      </c>
      <c r="V61" s="49">
        <v>114</v>
      </c>
      <c r="W61" s="49">
        <v>115.6</v>
      </c>
      <c r="X61" s="49">
        <v>113.3</v>
      </c>
      <c r="Y61" s="49">
        <v>112.8</v>
      </c>
      <c r="Z61" s="49">
        <v>112.6</v>
      </c>
      <c r="AA61" s="49">
        <v>118</v>
      </c>
      <c r="AB61" s="49">
        <v>109.9</v>
      </c>
      <c r="AC61" s="49">
        <v>113.7</v>
      </c>
      <c r="AD61" s="49">
        <v>120.3</v>
      </c>
    </row>
    <row r="62" spans="1:30" x14ac:dyDescent="0.3">
      <c r="A62" s="49" t="s">
        <v>41</v>
      </c>
      <c r="B62" s="49">
        <v>2014</v>
      </c>
      <c r="C62" s="49" t="s">
        <v>51</v>
      </c>
      <c r="D62" s="49">
        <v>122.3</v>
      </c>
      <c r="E62" s="49">
        <v>122.4</v>
      </c>
      <c r="F62" s="49">
        <v>117.8</v>
      </c>
      <c r="G62" s="49">
        <v>122.7</v>
      </c>
      <c r="H62" s="49">
        <v>110.4</v>
      </c>
      <c r="I62" s="49">
        <v>129.80000000000001</v>
      </c>
      <c r="J62" s="49">
        <v>158.80000000000001</v>
      </c>
      <c r="K62" s="49">
        <v>115</v>
      </c>
      <c r="L62" s="49">
        <v>104.7</v>
      </c>
      <c r="M62" s="49">
        <v>114.9</v>
      </c>
      <c r="N62" s="49">
        <v>116.5</v>
      </c>
      <c r="O62" s="49">
        <v>122.6</v>
      </c>
      <c r="P62" s="49">
        <v>125.3</v>
      </c>
      <c r="Q62" s="49">
        <v>119.5</v>
      </c>
      <c r="R62" s="49">
        <v>121.7</v>
      </c>
      <c r="S62" s="49">
        <v>119.2</v>
      </c>
      <c r="T62" s="49">
        <v>121.3</v>
      </c>
      <c r="U62" s="49" t="s">
        <v>43</v>
      </c>
      <c r="V62" s="49">
        <v>115.8</v>
      </c>
      <c r="W62" s="49">
        <v>116.7</v>
      </c>
      <c r="X62" s="49">
        <v>114.5</v>
      </c>
      <c r="Y62" s="49">
        <v>112.8</v>
      </c>
      <c r="Z62" s="49">
        <v>112.6</v>
      </c>
      <c r="AA62" s="49">
        <v>116.6</v>
      </c>
      <c r="AB62" s="49">
        <v>109.1</v>
      </c>
      <c r="AC62" s="49">
        <v>113.7</v>
      </c>
      <c r="AD62" s="49">
        <v>120.9</v>
      </c>
    </row>
    <row r="63" spans="1:30" x14ac:dyDescent="0.3">
      <c r="A63" s="49" t="s">
        <v>44</v>
      </c>
      <c r="B63" s="49">
        <v>2014</v>
      </c>
      <c r="C63" s="49" t="s">
        <v>51</v>
      </c>
      <c r="D63" s="49">
        <v>124.2</v>
      </c>
      <c r="E63" s="49">
        <v>125.4</v>
      </c>
      <c r="F63" s="49">
        <v>116.4</v>
      </c>
      <c r="G63" s="49">
        <v>122.7</v>
      </c>
      <c r="H63" s="49">
        <v>103.5</v>
      </c>
      <c r="I63" s="49">
        <v>124.5</v>
      </c>
      <c r="J63" s="49">
        <v>168.6</v>
      </c>
      <c r="K63" s="49">
        <v>116.9</v>
      </c>
      <c r="L63" s="49">
        <v>101.9</v>
      </c>
      <c r="M63" s="49">
        <v>122.9</v>
      </c>
      <c r="N63" s="49">
        <v>114.8</v>
      </c>
      <c r="O63" s="49">
        <v>125.2</v>
      </c>
      <c r="P63" s="49">
        <v>126.7</v>
      </c>
      <c r="Q63" s="49">
        <v>124.3</v>
      </c>
      <c r="R63" s="49">
        <v>119.2</v>
      </c>
      <c r="S63" s="49">
        <v>114.5</v>
      </c>
      <c r="T63" s="49">
        <v>118.4</v>
      </c>
      <c r="U63" s="49">
        <v>116.1</v>
      </c>
      <c r="V63" s="49">
        <v>111.8</v>
      </c>
      <c r="W63" s="49">
        <v>115.5</v>
      </c>
      <c r="X63" s="49">
        <v>112.3</v>
      </c>
      <c r="Y63" s="49">
        <v>111.2</v>
      </c>
      <c r="Z63" s="49">
        <v>113.4</v>
      </c>
      <c r="AA63" s="49">
        <v>120</v>
      </c>
      <c r="AB63" s="49">
        <v>110</v>
      </c>
      <c r="AC63" s="49">
        <v>113.6</v>
      </c>
      <c r="AD63" s="49">
        <v>119.2</v>
      </c>
    </row>
    <row r="64" spans="1:30" x14ac:dyDescent="0.3">
      <c r="A64" s="49" t="s">
        <v>30</v>
      </c>
      <c r="B64" s="49">
        <v>2014</v>
      </c>
      <c r="C64" s="49" t="s">
        <v>51</v>
      </c>
      <c r="D64" s="49">
        <v>122.9</v>
      </c>
      <c r="E64" s="49">
        <v>123.5</v>
      </c>
      <c r="F64" s="49">
        <v>117.3</v>
      </c>
      <c r="G64" s="49">
        <v>122.7</v>
      </c>
      <c r="H64" s="49">
        <v>107.9</v>
      </c>
      <c r="I64" s="49">
        <v>127.3</v>
      </c>
      <c r="J64" s="49">
        <v>162.1</v>
      </c>
      <c r="K64" s="49">
        <v>115.6</v>
      </c>
      <c r="L64" s="49">
        <v>103.8</v>
      </c>
      <c r="M64" s="49">
        <v>117.6</v>
      </c>
      <c r="N64" s="49">
        <v>115.8</v>
      </c>
      <c r="O64" s="49">
        <v>123.8</v>
      </c>
      <c r="P64" s="49">
        <v>125.8</v>
      </c>
      <c r="Q64" s="49">
        <v>120.8</v>
      </c>
      <c r="R64" s="49">
        <v>120.7</v>
      </c>
      <c r="S64" s="49">
        <v>117.2</v>
      </c>
      <c r="T64" s="49">
        <v>120.1</v>
      </c>
      <c r="U64" s="49">
        <v>116.1</v>
      </c>
      <c r="V64" s="49">
        <v>114.3</v>
      </c>
      <c r="W64" s="49">
        <v>116.1</v>
      </c>
      <c r="X64" s="49">
        <v>113.7</v>
      </c>
      <c r="Y64" s="49">
        <v>112</v>
      </c>
      <c r="Z64" s="49">
        <v>113.1</v>
      </c>
      <c r="AA64" s="49">
        <v>118.6</v>
      </c>
      <c r="AB64" s="49">
        <v>109.5</v>
      </c>
      <c r="AC64" s="49">
        <v>113.7</v>
      </c>
      <c r="AD64" s="49">
        <v>120.1</v>
      </c>
    </row>
    <row r="65" spans="1:30" x14ac:dyDescent="0.3">
      <c r="A65" s="49" t="s">
        <v>41</v>
      </c>
      <c r="B65" s="49">
        <v>2014</v>
      </c>
      <c r="C65" s="49" t="s">
        <v>52</v>
      </c>
      <c r="D65" s="49">
        <v>122.6</v>
      </c>
      <c r="E65" s="49">
        <v>122.5</v>
      </c>
      <c r="F65" s="49">
        <v>118.3</v>
      </c>
      <c r="G65" s="49">
        <v>123.2</v>
      </c>
      <c r="H65" s="49">
        <v>110.5</v>
      </c>
      <c r="I65" s="49">
        <v>128.9</v>
      </c>
      <c r="J65" s="49">
        <v>155.30000000000001</v>
      </c>
      <c r="K65" s="49">
        <v>115.5</v>
      </c>
      <c r="L65" s="49">
        <v>104</v>
      </c>
      <c r="M65" s="49">
        <v>115.3</v>
      </c>
      <c r="N65" s="49">
        <v>116.8</v>
      </c>
      <c r="O65" s="49">
        <v>123.2</v>
      </c>
      <c r="P65" s="49">
        <v>125.1</v>
      </c>
      <c r="Q65" s="49">
        <v>120</v>
      </c>
      <c r="R65" s="49">
        <v>122.7</v>
      </c>
      <c r="S65" s="49">
        <v>120.3</v>
      </c>
      <c r="T65" s="49">
        <v>122.3</v>
      </c>
      <c r="U65" s="49" t="s">
        <v>43</v>
      </c>
      <c r="V65" s="49">
        <v>116.4</v>
      </c>
      <c r="W65" s="49">
        <v>117.5</v>
      </c>
      <c r="X65" s="49">
        <v>115.3</v>
      </c>
      <c r="Y65" s="49">
        <v>112.6</v>
      </c>
      <c r="Z65" s="49">
        <v>113</v>
      </c>
      <c r="AA65" s="49">
        <v>116.9</v>
      </c>
      <c r="AB65" s="49">
        <v>109.3</v>
      </c>
      <c r="AC65" s="49">
        <v>114</v>
      </c>
      <c r="AD65" s="49">
        <v>121</v>
      </c>
    </row>
    <row r="66" spans="1:30" x14ac:dyDescent="0.3">
      <c r="A66" s="49" t="s">
        <v>44</v>
      </c>
      <c r="B66" s="49">
        <v>2014</v>
      </c>
      <c r="C66" s="49" t="s">
        <v>52</v>
      </c>
      <c r="D66" s="49">
        <v>124.6</v>
      </c>
      <c r="E66" s="49">
        <v>126.1</v>
      </c>
      <c r="F66" s="49">
        <v>117.8</v>
      </c>
      <c r="G66" s="49">
        <v>123.1</v>
      </c>
      <c r="H66" s="49">
        <v>103.5</v>
      </c>
      <c r="I66" s="49">
        <v>123.5</v>
      </c>
      <c r="J66" s="49">
        <v>159.6</v>
      </c>
      <c r="K66" s="49">
        <v>117.4</v>
      </c>
      <c r="L66" s="49">
        <v>101.2</v>
      </c>
      <c r="M66" s="49">
        <v>123.8</v>
      </c>
      <c r="N66" s="49">
        <v>115.2</v>
      </c>
      <c r="O66" s="49">
        <v>125.9</v>
      </c>
      <c r="P66" s="49">
        <v>125.8</v>
      </c>
      <c r="Q66" s="49">
        <v>124.3</v>
      </c>
      <c r="R66" s="49">
        <v>119.6</v>
      </c>
      <c r="S66" s="49">
        <v>114.9</v>
      </c>
      <c r="T66" s="49">
        <v>118.9</v>
      </c>
      <c r="U66" s="49">
        <v>116.7</v>
      </c>
      <c r="V66" s="49">
        <v>112</v>
      </c>
      <c r="W66" s="49">
        <v>115.8</v>
      </c>
      <c r="X66" s="49">
        <v>112.6</v>
      </c>
      <c r="Y66" s="49">
        <v>111</v>
      </c>
      <c r="Z66" s="49">
        <v>113.6</v>
      </c>
      <c r="AA66" s="49">
        <v>120.2</v>
      </c>
      <c r="AB66" s="49">
        <v>110.1</v>
      </c>
      <c r="AC66" s="49">
        <v>113.7</v>
      </c>
      <c r="AD66" s="49">
        <v>119.1</v>
      </c>
    </row>
    <row r="67" spans="1:30" x14ac:dyDescent="0.3">
      <c r="A67" s="49" t="s">
        <v>30</v>
      </c>
      <c r="B67" s="49">
        <v>2014</v>
      </c>
      <c r="C67" s="49" t="s">
        <v>52</v>
      </c>
      <c r="D67" s="49">
        <v>123.2</v>
      </c>
      <c r="E67" s="49">
        <v>123.8</v>
      </c>
      <c r="F67" s="49">
        <v>118.1</v>
      </c>
      <c r="G67" s="49">
        <v>123.2</v>
      </c>
      <c r="H67" s="49">
        <v>107.9</v>
      </c>
      <c r="I67" s="49">
        <v>126.4</v>
      </c>
      <c r="J67" s="49">
        <v>156.80000000000001</v>
      </c>
      <c r="K67" s="49">
        <v>116.1</v>
      </c>
      <c r="L67" s="49">
        <v>103.1</v>
      </c>
      <c r="M67" s="49">
        <v>118.1</v>
      </c>
      <c r="N67" s="49">
        <v>116.1</v>
      </c>
      <c r="O67" s="49">
        <v>124.5</v>
      </c>
      <c r="P67" s="49">
        <v>125.4</v>
      </c>
      <c r="Q67" s="49">
        <v>121.1</v>
      </c>
      <c r="R67" s="49">
        <v>121.5</v>
      </c>
      <c r="S67" s="49">
        <v>118.1</v>
      </c>
      <c r="T67" s="49">
        <v>121</v>
      </c>
      <c r="U67" s="49">
        <v>116.7</v>
      </c>
      <c r="V67" s="49">
        <v>114.7</v>
      </c>
      <c r="W67" s="49">
        <v>116.7</v>
      </c>
      <c r="X67" s="49">
        <v>114.3</v>
      </c>
      <c r="Y67" s="49">
        <v>111.8</v>
      </c>
      <c r="Z67" s="49">
        <v>113.3</v>
      </c>
      <c r="AA67" s="49">
        <v>118.8</v>
      </c>
      <c r="AB67" s="49">
        <v>109.6</v>
      </c>
      <c r="AC67" s="49">
        <v>113.9</v>
      </c>
      <c r="AD67" s="49">
        <v>120.1</v>
      </c>
    </row>
    <row r="68" spans="1:30" x14ac:dyDescent="0.3">
      <c r="A68" s="49" t="s">
        <v>41</v>
      </c>
      <c r="B68" s="49">
        <v>2014</v>
      </c>
      <c r="C68" s="49" t="s">
        <v>54</v>
      </c>
      <c r="D68" s="49">
        <v>122.7</v>
      </c>
      <c r="E68" s="49">
        <v>122.6</v>
      </c>
      <c r="F68" s="49">
        <v>119.9</v>
      </c>
      <c r="G68" s="49">
        <v>124</v>
      </c>
      <c r="H68" s="49">
        <v>110.5</v>
      </c>
      <c r="I68" s="49">
        <v>128.80000000000001</v>
      </c>
      <c r="J68" s="49">
        <v>152</v>
      </c>
      <c r="K68" s="49">
        <v>116.2</v>
      </c>
      <c r="L68" s="49">
        <v>103.3</v>
      </c>
      <c r="M68" s="49">
        <v>115.8</v>
      </c>
      <c r="N68" s="49">
        <v>116.8</v>
      </c>
      <c r="O68" s="49">
        <v>124.5</v>
      </c>
      <c r="P68" s="49">
        <v>124.9</v>
      </c>
      <c r="Q68" s="49">
        <v>120.8</v>
      </c>
      <c r="R68" s="49">
        <v>123.3</v>
      </c>
      <c r="S68" s="49">
        <v>120.5</v>
      </c>
      <c r="T68" s="49">
        <v>122.9</v>
      </c>
      <c r="U68" s="49" t="s">
        <v>43</v>
      </c>
      <c r="V68" s="49">
        <v>117.3</v>
      </c>
      <c r="W68" s="49">
        <v>118.1</v>
      </c>
      <c r="X68" s="49">
        <v>115.9</v>
      </c>
      <c r="Y68" s="49">
        <v>112</v>
      </c>
      <c r="Z68" s="49">
        <v>113.3</v>
      </c>
      <c r="AA68" s="49">
        <v>117.2</v>
      </c>
      <c r="AB68" s="49">
        <v>108.8</v>
      </c>
      <c r="AC68" s="49">
        <v>114.1</v>
      </c>
      <c r="AD68" s="49">
        <v>121.1</v>
      </c>
    </row>
    <row r="69" spans="1:30" x14ac:dyDescent="0.3">
      <c r="A69" s="49" t="s">
        <v>44</v>
      </c>
      <c r="B69" s="49">
        <v>2014</v>
      </c>
      <c r="C69" s="49" t="s">
        <v>54</v>
      </c>
      <c r="D69" s="49">
        <v>124.5</v>
      </c>
      <c r="E69" s="49">
        <v>125.6</v>
      </c>
      <c r="F69" s="49">
        <v>122.7</v>
      </c>
      <c r="G69" s="49">
        <v>124.6</v>
      </c>
      <c r="H69" s="49">
        <v>103.2</v>
      </c>
      <c r="I69" s="49">
        <v>122.2</v>
      </c>
      <c r="J69" s="49">
        <v>153.19999999999999</v>
      </c>
      <c r="K69" s="49">
        <v>119.3</v>
      </c>
      <c r="L69" s="49">
        <v>99.8</v>
      </c>
      <c r="M69" s="49">
        <v>124.6</v>
      </c>
      <c r="N69" s="49">
        <v>115.8</v>
      </c>
      <c r="O69" s="49">
        <v>126.9</v>
      </c>
      <c r="P69" s="49">
        <v>125.4</v>
      </c>
      <c r="Q69" s="49">
        <v>125.8</v>
      </c>
      <c r="R69" s="49">
        <v>120.3</v>
      </c>
      <c r="S69" s="49">
        <v>115.4</v>
      </c>
      <c r="T69" s="49">
        <v>119.5</v>
      </c>
      <c r="U69" s="49">
        <v>117.1</v>
      </c>
      <c r="V69" s="49">
        <v>112.6</v>
      </c>
      <c r="W69" s="49">
        <v>116.4</v>
      </c>
      <c r="X69" s="49">
        <v>113</v>
      </c>
      <c r="Y69" s="49">
        <v>109.7</v>
      </c>
      <c r="Z69" s="49">
        <v>114</v>
      </c>
      <c r="AA69" s="49">
        <v>120.3</v>
      </c>
      <c r="AB69" s="49">
        <v>109.6</v>
      </c>
      <c r="AC69" s="49">
        <v>113.4</v>
      </c>
      <c r="AD69" s="49">
        <v>119</v>
      </c>
    </row>
    <row r="70" spans="1:30" x14ac:dyDescent="0.3">
      <c r="A70" s="49" t="s">
        <v>30</v>
      </c>
      <c r="B70" s="49">
        <v>2014</v>
      </c>
      <c r="C70" s="49" t="s">
        <v>54</v>
      </c>
      <c r="D70" s="49">
        <v>123.3</v>
      </c>
      <c r="E70" s="49">
        <v>123.7</v>
      </c>
      <c r="F70" s="49">
        <v>121</v>
      </c>
      <c r="G70" s="49">
        <v>124.2</v>
      </c>
      <c r="H70" s="49">
        <v>107.8</v>
      </c>
      <c r="I70" s="49">
        <v>125.7</v>
      </c>
      <c r="J70" s="49">
        <v>152.4</v>
      </c>
      <c r="K70" s="49">
        <v>117.2</v>
      </c>
      <c r="L70" s="49">
        <v>102.1</v>
      </c>
      <c r="M70" s="49">
        <v>118.7</v>
      </c>
      <c r="N70" s="49">
        <v>116.4</v>
      </c>
      <c r="O70" s="49">
        <v>125.6</v>
      </c>
      <c r="P70" s="49">
        <v>125.1</v>
      </c>
      <c r="Q70" s="49">
        <v>122.1</v>
      </c>
      <c r="R70" s="49">
        <v>122.1</v>
      </c>
      <c r="S70" s="49">
        <v>118.4</v>
      </c>
      <c r="T70" s="49">
        <v>121.6</v>
      </c>
      <c r="U70" s="49">
        <v>117.1</v>
      </c>
      <c r="V70" s="49">
        <v>115.5</v>
      </c>
      <c r="W70" s="49">
        <v>117.3</v>
      </c>
      <c r="X70" s="49">
        <v>114.8</v>
      </c>
      <c r="Y70" s="49">
        <v>110.8</v>
      </c>
      <c r="Z70" s="49">
        <v>113.7</v>
      </c>
      <c r="AA70" s="49">
        <v>119</v>
      </c>
      <c r="AB70" s="49">
        <v>109.1</v>
      </c>
      <c r="AC70" s="49">
        <v>113.8</v>
      </c>
      <c r="AD70" s="49">
        <v>120.1</v>
      </c>
    </row>
    <row r="71" spans="1:30" x14ac:dyDescent="0.3">
      <c r="A71" s="49" t="s">
        <v>41</v>
      </c>
      <c r="B71" s="49">
        <v>2014</v>
      </c>
      <c r="C71" s="49" t="s">
        <v>55</v>
      </c>
      <c r="D71" s="49">
        <v>122.4</v>
      </c>
      <c r="E71" s="49">
        <v>122.4</v>
      </c>
      <c r="F71" s="49">
        <v>121.8</v>
      </c>
      <c r="G71" s="49">
        <v>124.2</v>
      </c>
      <c r="H71" s="49">
        <v>110.2</v>
      </c>
      <c r="I71" s="49">
        <v>128.6</v>
      </c>
      <c r="J71" s="49">
        <v>140.30000000000001</v>
      </c>
      <c r="K71" s="49">
        <v>116.3</v>
      </c>
      <c r="L71" s="49">
        <v>102</v>
      </c>
      <c r="M71" s="49">
        <v>116</v>
      </c>
      <c r="N71" s="49">
        <v>117.3</v>
      </c>
      <c r="O71" s="49">
        <v>124.8</v>
      </c>
      <c r="P71" s="49">
        <v>123.3</v>
      </c>
      <c r="Q71" s="49">
        <v>121.7</v>
      </c>
      <c r="R71" s="49">
        <v>123.8</v>
      </c>
      <c r="S71" s="49">
        <v>120.6</v>
      </c>
      <c r="T71" s="49">
        <v>123.3</v>
      </c>
      <c r="U71" s="49" t="s">
        <v>43</v>
      </c>
      <c r="V71" s="49">
        <v>117.4</v>
      </c>
      <c r="W71" s="49">
        <v>118.2</v>
      </c>
      <c r="X71" s="49">
        <v>116.2</v>
      </c>
      <c r="Y71" s="49">
        <v>111.5</v>
      </c>
      <c r="Z71" s="49">
        <v>113.3</v>
      </c>
      <c r="AA71" s="49">
        <v>117.7</v>
      </c>
      <c r="AB71" s="49">
        <v>109.4</v>
      </c>
      <c r="AC71" s="49">
        <v>114.2</v>
      </c>
      <c r="AD71" s="49">
        <v>120.3</v>
      </c>
    </row>
    <row r="72" spans="1:30" x14ac:dyDescent="0.3">
      <c r="A72" s="49" t="s">
        <v>44</v>
      </c>
      <c r="B72" s="49">
        <v>2014</v>
      </c>
      <c r="C72" s="49" t="s">
        <v>55</v>
      </c>
      <c r="D72" s="49">
        <v>124</v>
      </c>
      <c r="E72" s="49">
        <v>124.7</v>
      </c>
      <c r="F72" s="49">
        <v>126.3</v>
      </c>
      <c r="G72" s="49">
        <v>124.9</v>
      </c>
      <c r="H72" s="49">
        <v>103</v>
      </c>
      <c r="I72" s="49">
        <v>122.3</v>
      </c>
      <c r="J72" s="49">
        <v>141</v>
      </c>
      <c r="K72" s="49">
        <v>120.1</v>
      </c>
      <c r="L72" s="49">
        <v>97.8</v>
      </c>
      <c r="M72" s="49">
        <v>125.4</v>
      </c>
      <c r="N72" s="49">
        <v>116.1</v>
      </c>
      <c r="O72" s="49">
        <v>127.6</v>
      </c>
      <c r="P72" s="49">
        <v>124</v>
      </c>
      <c r="Q72" s="49">
        <v>126.4</v>
      </c>
      <c r="R72" s="49">
        <v>120.7</v>
      </c>
      <c r="S72" s="49">
        <v>115.8</v>
      </c>
      <c r="T72" s="49">
        <v>120</v>
      </c>
      <c r="U72" s="49">
        <v>116.5</v>
      </c>
      <c r="V72" s="49">
        <v>113</v>
      </c>
      <c r="W72" s="49">
        <v>116.8</v>
      </c>
      <c r="X72" s="49">
        <v>113.2</v>
      </c>
      <c r="Y72" s="49">
        <v>108.8</v>
      </c>
      <c r="Z72" s="49">
        <v>114.3</v>
      </c>
      <c r="AA72" s="49">
        <v>120.7</v>
      </c>
      <c r="AB72" s="49">
        <v>110.4</v>
      </c>
      <c r="AC72" s="49">
        <v>113.4</v>
      </c>
      <c r="AD72" s="49">
        <v>118.4</v>
      </c>
    </row>
    <row r="73" spans="1:30" x14ac:dyDescent="0.3">
      <c r="A73" s="49" t="s">
        <v>30</v>
      </c>
      <c r="B73" s="49">
        <v>2014</v>
      </c>
      <c r="C73" s="49" t="s">
        <v>55</v>
      </c>
      <c r="D73" s="49">
        <v>122.9</v>
      </c>
      <c r="E73" s="49">
        <v>123.2</v>
      </c>
      <c r="F73" s="49">
        <v>123.5</v>
      </c>
      <c r="G73" s="49">
        <v>124.5</v>
      </c>
      <c r="H73" s="49">
        <v>107.6</v>
      </c>
      <c r="I73" s="49">
        <v>125.7</v>
      </c>
      <c r="J73" s="49">
        <v>140.5</v>
      </c>
      <c r="K73" s="49">
        <v>117.6</v>
      </c>
      <c r="L73" s="49">
        <v>100.6</v>
      </c>
      <c r="M73" s="49">
        <v>119.1</v>
      </c>
      <c r="N73" s="49">
        <v>116.8</v>
      </c>
      <c r="O73" s="49">
        <v>126.1</v>
      </c>
      <c r="P73" s="49">
        <v>123.6</v>
      </c>
      <c r="Q73" s="49">
        <v>123</v>
      </c>
      <c r="R73" s="49">
        <v>122.6</v>
      </c>
      <c r="S73" s="49">
        <v>118.6</v>
      </c>
      <c r="T73" s="49">
        <v>122</v>
      </c>
      <c r="U73" s="49">
        <v>116.5</v>
      </c>
      <c r="V73" s="49">
        <v>115.7</v>
      </c>
      <c r="W73" s="49">
        <v>117.5</v>
      </c>
      <c r="X73" s="49">
        <v>115.1</v>
      </c>
      <c r="Y73" s="49">
        <v>110.1</v>
      </c>
      <c r="Z73" s="49">
        <v>113.9</v>
      </c>
      <c r="AA73" s="49">
        <v>119.5</v>
      </c>
      <c r="AB73" s="49">
        <v>109.8</v>
      </c>
      <c r="AC73" s="49">
        <v>113.8</v>
      </c>
      <c r="AD73" s="49">
        <v>119.4</v>
      </c>
    </row>
    <row r="74" spans="1:30" x14ac:dyDescent="0.3">
      <c r="A74" s="49" t="s">
        <v>41</v>
      </c>
      <c r="B74" s="49">
        <v>2015</v>
      </c>
      <c r="C74" s="49" t="s">
        <v>42</v>
      </c>
      <c r="D74" s="49">
        <v>123.1</v>
      </c>
      <c r="E74" s="49">
        <v>123.1</v>
      </c>
      <c r="F74" s="49">
        <v>122.1</v>
      </c>
      <c r="G74" s="49">
        <v>124.9</v>
      </c>
      <c r="H74" s="49">
        <v>111</v>
      </c>
      <c r="I74" s="49">
        <v>130.4</v>
      </c>
      <c r="J74" s="49">
        <v>132.30000000000001</v>
      </c>
      <c r="K74" s="49">
        <v>117.2</v>
      </c>
      <c r="L74" s="49">
        <v>100.5</v>
      </c>
      <c r="M74" s="49">
        <v>117.2</v>
      </c>
      <c r="N74" s="49">
        <v>117.9</v>
      </c>
      <c r="O74" s="49">
        <v>125.6</v>
      </c>
      <c r="P74" s="49">
        <v>122.8</v>
      </c>
      <c r="Q74" s="49">
        <v>122.7</v>
      </c>
      <c r="R74" s="49">
        <v>124.4</v>
      </c>
      <c r="S74" s="49">
        <v>121.6</v>
      </c>
      <c r="T74" s="49">
        <v>124</v>
      </c>
      <c r="U74" s="49" t="s">
        <v>43</v>
      </c>
      <c r="V74" s="49">
        <v>118.4</v>
      </c>
      <c r="W74" s="49">
        <v>118.9</v>
      </c>
      <c r="X74" s="49">
        <v>116.6</v>
      </c>
      <c r="Y74" s="49">
        <v>111</v>
      </c>
      <c r="Z74" s="49">
        <v>114</v>
      </c>
      <c r="AA74" s="49">
        <v>118.2</v>
      </c>
      <c r="AB74" s="49">
        <v>110.2</v>
      </c>
      <c r="AC74" s="49">
        <v>114.5</v>
      </c>
      <c r="AD74" s="49">
        <v>120.3</v>
      </c>
    </row>
    <row r="75" spans="1:30" x14ac:dyDescent="0.3">
      <c r="A75" s="49" t="s">
        <v>44</v>
      </c>
      <c r="B75" s="49">
        <v>2015</v>
      </c>
      <c r="C75" s="49" t="s">
        <v>42</v>
      </c>
      <c r="D75" s="49">
        <v>124</v>
      </c>
      <c r="E75" s="49">
        <v>125.5</v>
      </c>
      <c r="F75" s="49">
        <v>126.6</v>
      </c>
      <c r="G75" s="49">
        <v>125.2</v>
      </c>
      <c r="H75" s="49">
        <v>104.3</v>
      </c>
      <c r="I75" s="49">
        <v>121.3</v>
      </c>
      <c r="J75" s="49">
        <v>134.4</v>
      </c>
      <c r="K75" s="49">
        <v>122.9</v>
      </c>
      <c r="L75" s="49">
        <v>96.1</v>
      </c>
      <c r="M75" s="49">
        <v>126.6</v>
      </c>
      <c r="N75" s="49">
        <v>116.5</v>
      </c>
      <c r="O75" s="49">
        <v>128</v>
      </c>
      <c r="P75" s="49">
        <v>123.5</v>
      </c>
      <c r="Q75" s="49">
        <v>127.4</v>
      </c>
      <c r="R75" s="49">
        <v>121</v>
      </c>
      <c r="S75" s="49">
        <v>116.1</v>
      </c>
      <c r="T75" s="49">
        <v>120.2</v>
      </c>
      <c r="U75" s="49">
        <v>117.3</v>
      </c>
      <c r="V75" s="49">
        <v>113.4</v>
      </c>
      <c r="W75" s="49">
        <v>117.2</v>
      </c>
      <c r="X75" s="49">
        <v>113.7</v>
      </c>
      <c r="Y75" s="49">
        <v>107.9</v>
      </c>
      <c r="Z75" s="49">
        <v>114.6</v>
      </c>
      <c r="AA75" s="49">
        <v>120.8</v>
      </c>
      <c r="AB75" s="49">
        <v>111.4</v>
      </c>
      <c r="AC75" s="49">
        <v>113.4</v>
      </c>
      <c r="AD75" s="49">
        <v>118.5</v>
      </c>
    </row>
    <row r="76" spans="1:30" x14ac:dyDescent="0.3">
      <c r="A76" s="49" t="s">
        <v>30</v>
      </c>
      <c r="B76" s="49">
        <v>2015</v>
      </c>
      <c r="C76" s="49" t="s">
        <v>42</v>
      </c>
      <c r="D76" s="49">
        <v>123.4</v>
      </c>
      <c r="E76" s="49">
        <v>123.9</v>
      </c>
      <c r="F76" s="49">
        <v>123.8</v>
      </c>
      <c r="G76" s="49">
        <v>125</v>
      </c>
      <c r="H76" s="49">
        <v>108.5</v>
      </c>
      <c r="I76" s="49">
        <v>126.2</v>
      </c>
      <c r="J76" s="49">
        <v>133</v>
      </c>
      <c r="K76" s="49">
        <v>119.1</v>
      </c>
      <c r="L76" s="49">
        <v>99</v>
      </c>
      <c r="M76" s="49">
        <v>120.3</v>
      </c>
      <c r="N76" s="49">
        <v>117.3</v>
      </c>
      <c r="O76" s="49">
        <v>126.7</v>
      </c>
      <c r="P76" s="49">
        <v>123.1</v>
      </c>
      <c r="Q76" s="49">
        <v>124</v>
      </c>
      <c r="R76" s="49">
        <v>123.1</v>
      </c>
      <c r="S76" s="49">
        <v>119.3</v>
      </c>
      <c r="T76" s="49">
        <v>122.5</v>
      </c>
      <c r="U76" s="49">
        <v>117.3</v>
      </c>
      <c r="V76" s="49">
        <v>116.5</v>
      </c>
      <c r="W76" s="49">
        <v>118.1</v>
      </c>
      <c r="X76" s="49">
        <v>115.5</v>
      </c>
      <c r="Y76" s="49">
        <v>109.4</v>
      </c>
      <c r="Z76" s="49">
        <v>114.3</v>
      </c>
      <c r="AA76" s="49">
        <v>119.7</v>
      </c>
      <c r="AB76" s="49">
        <v>110.7</v>
      </c>
      <c r="AC76" s="49">
        <v>114</v>
      </c>
      <c r="AD76" s="49">
        <v>119.5</v>
      </c>
    </row>
    <row r="77" spans="1:30" x14ac:dyDescent="0.3">
      <c r="A77" s="49" t="s">
        <v>41</v>
      </c>
      <c r="B77" s="49">
        <v>2015</v>
      </c>
      <c r="C77" s="49" t="s">
        <v>45</v>
      </c>
      <c r="D77" s="49">
        <v>123.4</v>
      </c>
      <c r="E77" s="49">
        <v>124.4</v>
      </c>
      <c r="F77" s="49">
        <v>122.1</v>
      </c>
      <c r="G77" s="49">
        <v>125.8</v>
      </c>
      <c r="H77" s="49">
        <v>111.5</v>
      </c>
      <c r="I77" s="49">
        <v>129.4</v>
      </c>
      <c r="J77" s="49">
        <v>128.19999999999999</v>
      </c>
      <c r="K77" s="49">
        <v>118.8</v>
      </c>
      <c r="L77" s="49">
        <v>100</v>
      </c>
      <c r="M77" s="49">
        <v>118.6</v>
      </c>
      <c r="N77" s="49">
        <v>118.8</v>
      </c>
      <c r="O77" s="49">
        <v>126.8</v>
      </c>
      <c r="P77" s="49">
        <v>122.8</v>
      </c>
      <c r="Q77" s="49">
        <v>124.2</v>
      </c>
      <c r="R77" s="49">
        <v>125.4</v>
      </c>
      <c r="S77" s="49">
        <v>122.7</v>
      </c>
      <c r="T77" s="49">
        <v>125</v>
      </c>
      <c r="U77" s="49" t="s">
        <v>43</v>
      </c>
      <c r="V77" s="49">
        <v>120</v>
      </c>
      <c r="W77" s="49">
        <v>119.6</v>
      </c>
      <c r="X77" s="49">
        <v>117.7</v>
      </c>
      <c r="Y77" s="49">
        <v>110.9</v>
      </c>
      <c r="Z77" s="49">
        <v>114.8</v>
      </c>
      <c r="AA77" s="49">
        <v>118.7</v>
      </c>
      <c r="AB77" s="49">
        <v>110.8</v>
      </c>
      <c r="AC77" s="49">
        <v>115</v>
      </c>
      <c r="AD77" s="49">
        <v>120.6</v>
      </c>
    </row>
    <row r="78" spans="1:30" x14ac:dyDescent="0.3">
      <c r="A78" s="49" t="s">
        <v>44</v>
      </c>
      <c r="B78" s="49">
        <v>2015</v>
      </c>
      <c r="C78" s="49" t="s">
        <v>45</v>
      </c>
      <c r="D78" s="49">
        <v>124.3</v>
      </c>
      <c r="E78" s="49">
        <v>126.5</v>
      </c>
      <c r="F78" s="49">
        <v>119.5</v>
      </c>
      <c r="G78" s="49">
        <v>125.6</v>
      </c>
      <c r="H78" s="49">
        <v>104.9</v>
      </c>
      <c r="I78" s="49">
        <v>121.6</v>
      </c>
      <c r="J78" s="49">
        <v>131.80000000000001</v>
      </c>
      <c r="K78" s="49">
        <v>125.1</v>
      </c>
      <c r="L78" s="49">
        <v>95</v>
      </c>
      <c r="M78" s="49">
        <v>127.7</v>
      </c>
      <c r="N78" s="49">
        <v>116.8</v>
      </c>
      <c r="O78" s="49">
        <v>128.6</v>
      </c>
      <c r="P78" s="49">
        <v>123.7</v>
      </c>
      <c r="Q78" s="49">
        <v>128.1</v>
      </c>
      <c r="R78" s="49">
        <v>121.3</v>
      </c>
      <c r="S78" s="49">
        <v>116.5</v>
      </c>
      <c r="T78" s="49">
        <v>120.6</v>
      </c>
      <c r="U78" s="49">
        <v>118.1</v>
      </c>
      <c r="V78" s="49">
        <v>114</v>
      </c>
      <c r="W78" s="49">
        <v>117.7</v>
      </c>
      <c r="X78" s="49">
        <v>114.1</v>
      </c>
      <c r="Y78" s="49">
        <v>106.8</v>
      </c>
      <c r="Z78" s="49">
        <v>114.9</v>
      </c>
      <c r="AA78" s="49">
        <v>120.4</v>
      </c>
      <c r="AB78" s="49">
        <v>111.7</v>
      </c>
      <c r="AC78" s="49">
        <v>113.2</v>
      </c>
      <c r="AD78" s="49">
        <v>118.7</v>
      </c>
    </row>
    <row r="79" spans="1:30" x14ac:dyDescent="0.3">
      <c r="A79" s="49" t="s">
        <v>30</v>
      </c>
      <c r="B79" s="49">
        <v>2015</v>
      </c>
      <c r="C79" s="49" t="s">
        <v>45</v>
      </c>
      <c r="D79" s="49">
        <v>123.7</v>
      </c>
      <c r="E79" s="49">
        <v>125.1</v>
      </c>
      <c r="F79" s="49">
        <v>121.1</v>
      </c>
      <c r="G79" s="49">
        <v>125.7</v>
      </c>
      <c r="H79" s="49">
        <v>109.1</v>
      </c>
      <c r="I79" s="49">
        <v>125.8</v>
      </c>
      <c r="J79" s="49">
        <v>129.4</v>
      </c>
      <c r="K79" s="49">
        <v>120.9</v>
      </c>
      <c r="L79" s="49">
        <v>98.3</v>
      </c>
      <c r="M79" s="49">
        <v>121.6</v>
      </c>
      <c r="N79" s="49">
        <v>118</v>
      </c>
      <c r="O79" s="49">
        <v>127.6</v>
      </c>
      <c r="P79" s="49">
        <v>123.1</v>
      </c>
      <c r="Q79" s="49">
        <v>125.2</v>
      </c>
      <c r="R79" s="49">
        <v>123.8</v>
      </c>
      <c r="S79" s="49">
        <v>120.1</v>
      </c>
      <c r="T79" s="49">
        <v>123.3</v>
      </c>
      <c r="U79" s="49">
        <v>118.1</v>
      </c>
      <c r="V79" s="49">
        <v>117.7</v>
      </c>
      <c r="W79" s="49">
        <v>118.7</v>
      </c>
      <c r="X79" s="49">
        <v>116.3</v>
      </c>
      <c r="Y79" s="49">
        <v>108.7</v>
      </c>
      <c r="Z79" s="49">
        <v>114.9</v>
      </c>
      <c r="AA79" s="49">
        <v>119.7</v>
      </c>
      <c r="AB79" s="49">
        <v>111.2</v>
      </c>
      <c r="AC79" s="49">
        <v>114.1</v>
      </c>
      <c r="AD79" s="49">
        <v>119.7</v>
      </c>
    </row>
    <row r="80" spans="1:30" x14ac:dyDescent="0.3">
      <c r="A80" s="49" t="s">
        <v>41</v>
      </c>
      <c r="B80" s="49">
        <v>2015</v>
      </c>
      <c r="C80" s="49" t="s">
        <v>46</v>
      </c>
      <c r="D80" s="49">
        <v>123.3</v>
      </c>
      <c r="E80" s="49">
        <v>124.7</v>
      </c>
      <c r="F80" s="49">
        <v>118.9</v>
      </c>
      <c r="G80" s="49">
        <v>126</v>
      </c>
      <c r="H80" s="49">
        <v>111.8</v>
      </c>
      <c r="I80" s="49">
        <v>130.9</v>
      </c>
      <c r="J80" s="49">
        <v>128</v>
      </c>
      <c r="K80" s="49">
        <v>119.9</v>
      </c>
      <c r="L80" s="49">
        <v>98.9</v>
      </c>
      <c r="M80" s="49">
        <v>119.4</v>
      </c>
      <c r="N80" s="49">
        <v>118.9</v>
      </c>
      <c r="O80" s="49">
        <v>127.7</v>
      </c>
      <c r="P80" s="49">
        <v>123.1</v>
      </c>
      <c r="Q80" s="49">
        <v>124.7</v>
      </c>
      <c r="R80" s="49">
        <v>126</v>
      </c>
      <c r="S80" s="49">
        <v>122.9</v>
      </c>
      <c r="T80" s="49">
        <v>125.5</v>
      </c>
      <c r="U80" s="49" t="s">
        <v>43</v>
      </c>
      <c r="V80" s="49">
        <v>120.6</v>
      </c>
      <c r="W80" s="49">
        <v>120.2</v>
      </c>
      <c r="X80" s="49">
        <v>118.2</v>
      </c>
      <c r="Y80" s="49">
        <v>111.6</v>
      </c>
      <c r="Z80" s="49">
        <v>115.5</v>
      </c>
      <c r="AA80" s="49">
        <v>119.4</v>
      </c>
      <c r="AB80" s="49">
        <v>110.8</v>
      </c>
      <c r="AC80" s="49">
        <v>115.5</v>
      </c>
      <c r="AD80" s="49">
        <v>121.1</v>
      </c>
    </row>
    <row r="81" spans="1:30" x14ac:dyDescent="0.3">
      <c r="A81" s="49" t="s">
        <v>44</v>
      </c>
      <c r="B81" s="49">
        <v>2015</v>
      </c>
      <c r="C81" s="49" t="s">
        <v>46</v>
      </c>
      <c r="D81" s="49">
        <v>124</v>
      </c>
      <c r="E81" s="49">
        <v>126.7</v>
      </c>
      <c r="F81" s="49">
        <v>113.5</v>
      </c>
      <c r="G81" s="49">
        <v>125.9</v>
      </c>
      <c r="H81" s="49">
        <v>104.8</v>
      </c>
      <c r="I81" s="49">
        <v>123.8</v>
      </c>
      <c r="J81" s="49">
        <v>131.4</v>
      </c>
      <c r="K81" s="49">
        <v>127.2</v>
      </c>
      <c r="L81" s="49">
        <v>93.2</v>
      </c>
      <c r="M81" s="49">
        <v>127.4</v>
      </c>
      <c r="N81" s="49">
        <v>117</v>
      </c>
      <c r="O81" s="49">
        <v>129.19999999999999</v>
      </c>
      <c r="P81" s="49">
        <v>123.9</v>
      </c>
      <c r="Q81" s="49">
        <v>128.80000000000001</v>
      </c>
      <c r="R81" s="49">
        <v>121.7</v>
      </c>
      <c r="S81" s="49">
        <v>116.9</v>
      </c>
      <c r="T81" s="49">
        <v>120.9</v>
      </c>
      <c r="U81" s="49">
        <v>118.6</v>
      </c>
      <c r="V81" s="49">
        <v>114.4</v>
      </c>
      <c r="W81" s="49">
        <v>118</v>
      </c>
      <c r="X81" s="49">
        <v>114.3</v>
      </c>
      <c r="Y81" s="49">
        <v>108.4</v>
      </c>
      <c r="Z81" s="49">
        <v>115.4</v>
      </c>
      <c r="AA81" s="49">
        <v>120.6</v>
      </c>
      <c r="AB81" s="49">
        <v>111.3</v>
      </c>
      <c r="AC81" s="49">
        <v>113.8</v>
      </c>
      <c r="AD81" s="49">
        <v>119.1</v>
      </c>
    </row>
    <row r="82" spans="1:30" x14ac:dyDescent="0.3">
      <c r="A82" s="49" t="s">
        <v>30</v>
      </c>
      <c r="B82" s="49">
        <v>2015</v>
      </c>
      <c r="C82" s="49" t="s">
        <v>46</v>
      </c>
      <c r="D82" s="49">
        <v>123.5</v>
      </c>
      <c r="E82" s="49">
        <v>125.4</v>
      </c>
      <c r="F82" s="49">
        <v>116.8</v>
      </c>
      <c r="G82" s="49">
        <v>126</v>
      </c>
      <c r="H82" s="49">
        <v>109.2</v>
      </c>
      <c r="I82" s="49">
        <v>127.6</v>
      </c>
      <c r="J82" s="49">
        <v>129.19999999999999</v>
      </c>
      <c r="K82" s="49">
        <v>122.4</v>
      </c>
      <c r="L82" s="49">
        <v>97</v>
      </c>
      <c r="M82" s="49">
        <v>122.1</v>
      </c>
      <c r="N82" s="49">
        <v>118.1</v>
      </c>
      <c r="O82" s="49">
        <v>128.4</v>
      </c>
      <c r="P82" s="49">
        <v>123.4</v>
      </c>
      <c r="Q82" s="49">
        <v>125.8</v>
      </c>
      <c r="R82" s="49">
        <v>124.3</v>
      </c>
      <c r="S82" s="49">
        <v>120.4</v>
      </c>
      <c r="T82" s="49">
        <v>123.7</v>
      </c>
      <c r="U82" s="49">
        <v>118.6</v>
      </c>
      <c r="V82" s="49">
        <v>118.3</v>
      </c>
      <c r="W82" s="49">
        <v>119.2</v>
      </c>
      <c r="X82" s="49">
        <v>116.7</v>
      </c>
      <c r="Y82" s="49">
        <v>109.9</v>
      </c>
      <c r="Z82" s="49">
        <v>115.4</v>
      </c>
      <c r="AA82" s="49">
        <v>120.1</v>
      </c>
      <c r="AB82" s="49">
        <v>111</v>
      </c>
      <c r="AC82" s="49">
        <v>114.7</v>
      </c>
      <c r="AD82" s="49">
        <v>120.2</v>
      </c>
    </row>
    <row r="83" spans="1:30" x14ac:dyDescent="0.3">
      <c r="A83" s="49" t="s">
        <v>41</v>
      </c>
      <c r="B83" s="49">
        <v>2015</v>
      </c>
      <c r="C83" s="49" t="s">
        <v>47</v>
      </c>
      <c r="D83" s="49">
        <v>123.3</v>
      </c>
      <c r="E83" s="49">
        <v>125.5</v>
      </c>
      <c r="F83" s="49">
        <v>117.2</v>
      </c>
      <c r="G83" s="49">
        <v>126.8</v>
      </c>
      <c r="H83" s="49">
        <v>111.9</v>
      </c>
      <c r="I83" s="49">
        <v>134.19999999999999</v>
      </c>
      <c r="J83" s="49">
        <v>127.5</v>
      </c>
      <c r="K83" s="49">
        <v>121.5</v>
      </c>
      <c r="L83" s="49">
        <v>97.8</v>
      </c>
      <c r="M83" s="49">
        <v>119.8</v>
      </c>
      <c r="N83" s="49">
        <v>119.4</v>
      </c>
      <c r="O83" s="49">
        <v>128.69999999999999</v>
      </c>
      <c r="P83" s="49">
        <v>123.6</v>
      </c>
      <c r="Q83" s="49">
        <v>125.7</v>
      </c>
      <c r="R83" s="49">
        <v>126.4</v>
      </c>
      <c r="S83" s="49">
        <v>123.3</v>
      </c>
      <c r="T83" s="49">
        <v>126</v>
      </c>
      <c r="U83" s="49" t="s">
        <v>43</v>
      </c>
      <c r="V83" s="49">
        <v>121.2</v>
      </c>
      <c r="W83" s="49">
        <v>120.9</v>
      </c>
      <c r="X83" s="49">
        <v>118.6</v>
      </c>
      <c r="Y83" s="49">
        <v>111.9</v>
      </c>
      <c r="Z83" s="49">
        <v>116.2</v>
      </c>
      <c r="AA83" s="49">
        <v>119.9</v>
      </c>
      <c r="AB83" s="49">
        <v>111.6</v>
      </c>
      <c r="AC83" s="49">
        <v>116</v>
      </c>
      <c r="AD83" s="49">
        <v>121.5</v>
      </c>
    </row>
    <row r="84" spans="1:30" x14ac:dyDescent="0.3">
      <c r="A84" s="49" t="s">
        <v>44</v>
      </c>
      <c r="B84" s="49">
        <v>2015</v>
      </c>
      <c r="C84" s="49" t="s">
        <v>47</v>
      </c>
      <c r="D84" s="49">
        <v>123.8</v>
      </c>
      <c r="E84" s="49">
        <v>128.19999999999999</v>
      </c>
      <c r="F84" s="49">
        <v>110</v>
      </c>
      <c r="G84" s="49">
        <v>126.3</v>
      </c>
      <c r="H84" s="49">
        <v>104.5</v>
      </c>
      <c r="I84" s="49">
        <v>130.6</v>
      </c>
      <c r="J84" s="49">
        <v>130.80000000000001</v>
      </c>
      <c r="K84" s="49">
        <v>131.30000000000001</v>
      </c>
      <c r="L84" s="49">
        <v>91.6</v>
      </c>
      <c r="M84" s="49">
        <v>127.7</v>
      </c>
      <c r="N84" s="49">
        <v>117.2</v>
      </c>
      <c r="O84" s="49">
        <v>129.5</v>
      </c>
      <c r="P84" s="49">
        <v>124.6</v>
      </c>
      <c r="Q84" s="49">
        <v>130.1</v>
      </c>
      <c r="R84" s="49">
        <v>122.1</v>
      </c>
      <c r="S84" s="49">
        <v>117.2</v>
      </c>
      <c r="T84" s="49">
        <v>121.3</v>
      </c>
      <c r="U84" s="49">
        <v>119.2</v>
      </c>
      <c r="V84" s="49">
        <v>114.7</v>
      </c>
      <c r="W84" s="49">
        <v>118.4</v>
      </c>
      <c r="X84" s="49">
        <v>114.6</v>
      </c>
      <c r="Y84" s="49">
        <v>108.4</v>
      </c>
      <c r="Z84" s="49">
        <v>115.6</v>
      </c>
      <c r="AA84" s="49">
        <v>121.7</v>
      </c>
      <c r="AB84" s="49">
        <v>111.8</v>
      </c>
      <c r="AC84" s="49">
        <v>114.2</v>
      </c>
      <c r="AD84" s="49">
        <v>119.7</v>
      </c>
    </row>
    <row r="85" spans="1:30" x14ac:dyDescent="0.3">
      <c r="A85" s="49" t="s">
        <v>30</v>
      </c>
      <c r="B85" s="49">
        <v>2015</v>
      </c>
      <c r="C85" s="49" t="s">
        <v>47</v>
      </c>
      <c r="D85" s="49">
        <v>123.5</v>
      </c>
      <c r="E85" s="49">
        <v>126.4</v>
      </c>
      <c r="F85" s="49">
        <v>114.4</v>
      </c>
      <c r="G85" s="49">
        <v>126.6</v>
      </c>
      <c r="H85" s="49">
        <v>109.2</v>
      </c>
      <c r="I85" s="49">
        <v>132.5</v>
      </c>
      <c r="J85" s="49">
        <v>128.6</v>
      </c>
      <c r="K85" s="49">
        <v>124.8</v>
      </c>
      <c r="L85" s="49">
        <v>95.7</v>
      </c>
      <c r="M85" s="49">
        <v>122.4</v>
      </c>
      <c r="N85" s="49">
        <v>118.5</v>
      </c>
      <c r="O85" s="49">
        <v>129.1</v>
      </c>
      <c r="P85" s="49">
        <v>124</v>
      </c>
      <c r="Q85" s="49">
        <v>126.9</v>
      </c>
      <c r="R85" s="49">
        <v>124.7</v>
      </c>
      <c r="S85" s="49">
        <v>120.8</v>
      </c>
      <c r="T85" s="49">
        <v>124.1</v>
      </c>
      <c r="U85" s="49">
        <v>119.2</v>
      </c>
      <c r="V85" s="49">
        <v>118.7</v>
      </c>
      <c r="W85" s="49">
        <v>119.7</v>
      </c>
      <c r="X85" s="49">
        <v>117.1</v>
      </c>
      <c r="Y85" s="49">
        <v>110.1</v>
      </c>
      <c r="Z85" s="49">
        <v>115.9</v>
      </c>
      <c r="AA85" s="49">
        <v>121</v>
      </c>
      <c r="AB85" s="49">
        <v>111.7</v>
      </c>
      <c r="AC85" s="49">
        <v>115.1</v>
      </c>
      <c r="AD85" s="49">
        <v>120.7</v>
      </c>
    </row>
    <row r="86" spans="1:30" x14ac:dyDescent="0.3">
      <c r="A86" s="49" t="s">
        <v>41</v>
      </c>
      <c r="B86" s="49">
        <v>2015</v>
      </c>
      <c r="C86" s="49" t="s">
        <v>31</v>
      </c>
      <c r="D86" s="49">
        <v>123.5</v>
      </c>
      <c r="E86" s="49">
        <v>127.1</v>
      </c>
      <c r="F86" s="49">
        <v>117.3</v>
      </c>
      <c r="G86" s="49">
        <v>127.7</v>
      </c>
      <c r="H86" s="49">
        <v>112.5</v>
      </c>
      <c r="I86" s="49">
        <v>134.1</v>
      </c>
      <c r="J86" s="49">
        <v>128.5</v>
      </c>
      <c r="K86" s="49">
        <v>124.3</v>
      </c>
      <c r="L86" s="49">
        <v>97.6</v>
      </c>
      <c r="M86" s="49">
        <v>120.7</v>
      </c>
      <c r="N86" s="49">
        <v>120.2</v>
      </c>
      <c r="O86" s="49">
        <v>129.80000000000001</v>
      </c>
      <c r="P86" s="49">
        <v>124.4</v>
      </c>
      <c r="Q86" s="49">
        <v>126.7</v>
      </c>
      <c r="R86" s="49">
        <v>127.3</v>
      </c>
      <c r="S86" s="49">
        <v>124.1</v>
      </c>
      <c r="T86" s="49">
        <v>126.8</v>
      </c>
      <c r="U86" s="49" t="s">
        <v>43</v>
      </c>
      <c r="V86" s="49">
        <v>121.9</v>
      </c>
      <c r="W86" s="49">
        <v>121.5</v>
      </c>
      <c r="X86" s="49">
        <v>119.4</v>
      </c>
      <c r="Y86" s="49">
        <v>113.3</v>
      </c>
      <c r="Z86" s="49">
        <v>116.7</v>
      </c>
      <c r="AA86" s="49">
        <v>120.5</v>
      </c>
      <c r="AB86" s="49">
        <v>112.3</v>
      </c>
      <c r="AC86" s="49">
        <v>116.9</v>
      </c>
      <c r="AD86" s="49">
        <v>122.4</v>
      </c>
    </row>
    <row r="87" spans="1:30" x14ac:dyDescent="0.3">
      <c r="A87" s="49" t="s">
        <v>44</v>
      </c>
      <c r="B87" s="49">
        <v>2015</v>
      </c>
      <c r="C87" s="49" t="s">
        <v>31</v>
      </c>
      <c r="D87" s="49">
        <v>123.8</v>
      </c>
      <c r="E87" s="49">
        <v>129.69999999999999</v>
      </c>
      <c r="F87" s="49">
        <v>111.3</v>
      </c>
      <c r="G87" s="49">
        <v>126.6</v>
      </c>
      <c r="H87" s="49">
        <v>105.2</v>
      </c>
      <c r="I87" s="49">
        <v>130.80000000000001</v>
      </c>
      <c r="J87" s="49">
        <v>135.6</v>
      </c>
      <c r="K87" s="49">
        <v>142.6</v>
      </c>
      <c r="L87" s="49">
        <v>90.8</v>
      </c>
      <c r="M87" s="49">
        <v>128.80000000000001</v>
      </c>
      <c r="N87" s="49">
        <v>117.7</v>
      </c>
      <c r="O87" s="49">
        <v>129.9</v>
      </c>
      <c r="P87" s="49">
        <v>126.1</v>
      </c>
      <c r="Q87" s="49">
        <v>131.30000000000001</v>
      </c>
      <c r="R87" s="49">
        <v>122.4</v>
      </c>
      <c r="S87" s="49">
        <v>117.4</v>
      </c>
      <c r="T87" s="49">
        <v>121.6</v>
      </c>
      <c r="U87" s="49">
        <v>119.6</v>
      </c>
      <c r="V87" s="49">
        <v>114.9</v>
      </c>
      <c r="W87" s="49">
        <v>118.7</v>
      </c>
      <c r="X87" s="49">
        <v>114.9</v>
      </c>
      <c r="Y87" s="49">
        <v>110.8</v>
      </c>
      <c r="Z87" s="49">
        <v>116</v>
      </c>
      <c r="AA87" s="49">
        <v>122</v>
      </c>
      <c r="AB87" s="49">
        <v>112.4</v>
      </c>
      <c r="AC87" s="49">
        <v>115.2</v>
      </c>
      <c r="AD87" s="49">
        <v>120.7</v>
      </c>
    </row>
    <row r="88" spans="1:30" x14ac:dyDescent="0.3">
      <c r="A88" s="49" t="s">
        <v>30</v>
      </c>
      <c r="B88" s="49">
        <v>2015</v>
      </c>
      <c r="C88" s="49" t="s">
        <v>31</v>
      </c>
      <c r="D88" s="49">
        <v>123.6</v>
      </c>
      <c r="E88" s="49">
        <v>128</v>
      </c>
      <c r="F88" s="49">
        <v>115</v>
      </c>
      <c r="G88" s="49">
        <v>127.3</v>
      </c>
      <c r="H88" s="49">
        <v>109.8</v>
      </c>
      <c r="I88" s="49">
        <v>132.6</v>
      </c>
      <c r="J88" s="49">
        <v>130.9</v>
      </c>
      <c r="K88" s="49">
        <v>130.5</v>
      </c>
      <c r="L88" s="49">
        <v>95.3</v>
      </c>
      <c r="M88" s="49">
        <v>123.4</v>
      </c>
      <c r="N88" s="49">
        <v>119.2</v>
      </c>
      <c r="O88" s="49">
        <v>129.80000000000001</v>
      </c>
      <c r="P88" s="49">
        <v>125</v>
      </c>
      <c r="Q88" s="49">
        <v>127.9</v>
      </c>
      <c r="R88" s="49">
        <v>125.4</v>
      </c>
      <c r="S88" s="49">
        <v>121.3</v>
      </c>
      <c r="T88" s="49">
        <v>124.7</v>
      </c>
      <c r="U88" s="49">
        <v>119.6</v>
      </c>
      <c r="V88" s="49">
        <v>119.2</v>
      </c>
      <c r="W88" s="49">
        <v>120.2</v>
      </c>
      <c r="X88" s="49">
        <v>117.7</v>
      </c>
      <c r="Y88" s="49">
        <v>112</v>
      </c>
      <c r="Z88" s="49">
        <v>116.3</v>
      </c>
      <c r="AA88" s="49">
        <v>121.4</v>
      </c>
      <c r="AB88" s="49">
        <v>112.3</v>
      </c>
      <c r="AC88" s="49">
        <v>116.1</v>
      </c>
      <c r="AD88" s="49">
        <v>121.6</v>
      </c>
    </row>
    <row r="89" spans="1:30" x14ac:dyDescent="0.3">
      <c r="A89" s="49" t="s">
        <v>41</v>
      </c>
      <c r="B89" s="49">
        <v>2015</v>
      </c>
      <c r="C89" s="49" t="s">
        <v>48</v>
      </c>
      <c r="D89" s="49">
        <v>124.1</v>
      </c>
      <c r="E89" s="49">
        <v>130.4</v>
      </c>
      <c r="F89" s="49">
        <v>122.1</v>
      </c>
      <c r="G89" s="49">
        <v>128.69999999999999</v>
      </c>
      <c r="H89" s="49">
        <v>114.1</v>
      </c>
      <c r="I89" s="49">
        <v>133.19999999999999</v>
      </c>
      <c r="J89" s="49">
        <v>135.19999999999999</v>
      </c>
      <c r="K89" s="49">
        <v>131.9</v>
      </c>
      <c r="L89" s="49">
        <v>96.3</v>
      </c>
      <c r="M89" s="49">
        <v>123</v>
      </c>
      <c r="N89" s="49">
        <v>121.1</v>
      </c>
      <c r="O89" s="49">
        <v>131.19999999999999</v>
      </c>
      <c r="P89" s="49">
        <v>126.6</v>
      </c>
      <c r="Q89" s="49">
        <v>128.19999999999999</v>
      </c>
      <c r="R89" s="49">
        <v>128.4</v>
      </c>
      <c r="S89" s="49">
        <v>125.1</v>
      </c>
      <c r="T89" s="49">
        <v>128</v>
      </c>
      <c r="U89" s="49" t="s">
        <v>43</v>
      </c>
      <c r="V89" s="49">
        <v>122.6</v>
      </c>
      <c r="W89" s="49">
        <v>122.8</v>
      </c>
      <c r="X89" s="49">
        <v>120.4</v>
      </c>
      <c r="Y89" s="49">
        <v>114.2</v>
      </c>
      <c r="Z89" s="49">
        <v>117.9</v>
      </c>
      <c r="AA89" s="49">
        <v>122</v>
      </c>
      <c r="AB89" s="49">
        <v>113</v>
      </c>
      <c r="AC89" s="49">
        <v>117.9</v>
      </c>
      <c r="AD89" s="49">
        <v>124.1</v>
      </c>
    </row>
    <row r="90" spans="1:30" x14ac:dyDescent="0.3">
      <c r="A90" s="49" t="s">
        <v>44</v>
      </c>
      <c r="B90" s="49">
        <v>2015</v>
      </c>
      <c r="C90" s="49" t="s">
        <v>48</v>
      </c>
      <c r="D90" s="49">
        <v>123.6</v>
      </c>
      <c r="E90" s="49">
        <v>134.4</v>
      </c>
      <c r="F90" s="49">
        <v>120.9</v>
      </c>
      <c r="G90" s="49">
        <v>127.3</v>
      </c>
      <c r="H90" s="49">
        <v>106</v>
      </c>
      <c r="I90" s="49">
        <v>132.30000000000001</v>
      </c>
      <c r="J90" s="49">
        <v>146.69999999999999</v>
      </c>
      <c r="K90" s="49">
        <v>148.1</v>
      </c>
      <c r="L90" s="49">
        <v>89.8</v>
      </c>
      <c r="M90" s="49">
        <v>130.5</v>
      </c>
      <c r="N90" s="49">
        <v>118</v>
      </c>
      <c r="O90" s="49">
        <v>130.5</v>
      </c>
      <c r="P90" s="49">
        <v>128.5</v>
      </c>
      <c r="Q90" s="49">
        <v>132.1</v>
      </c>
      <c r="R90" s="49">
        <v>123.2</v>
      </c>
      <c r="S90" s="49">
        <v>117.6</v>
      </c>
      <c r="T90" s="49">
        <v>122.3</v>
      </c>
      <c r="U90" s="49">
        <v>119</v>
      </c>
      <c r="V90" s="49">
        <v>115.1</v>
      </c>
      <c r="W90" s="49">
        <v>119.2</v>
      </c>
      <c r="X90" s="49">
        <v>115.4</v>
      </c>
      <c r="Y90" s="49">
        <v>111.7</v>
      </c>
      <c r="Z90" s="49">
        <v>116.2</v>
      </c>
      <c r="AA90" s="49">
        <v>123.8</v>
      </c>
      <c r="AB90" s="49">
        <v>112.5</v>
      </c>
      <c r="AC90" s="49">
        <v>116</v>
      </c>
      <c r="AD90" s="49">
        <v>121.7</v>
      </c>
    </row>
    <row r="91" spans="1:30" x14ac:dyDescent="0.3">
      <c r="A91" s="49" t="s">
        <v>30</v>
      </c>
      <c r="B91" s="49">
        <v>2015</v>
      </c>
      <c r="C91" s="49" t="s">
        <v>48</v>
      </c>
      <c r="D91" s="49">
        <v>123.9</v>
      </c>
      <c r="E91" s="49">
        <v>131.80000000000001</v>
      </c>
      <c r="F91" s="49">
        <v>121.6</v>
      </c>
      <c r="G91" s="49">
        <v>128.19999999999999</v>
      </c>
      <c r="H91" s="49">
        <v>111.1</v>
      </c>
      <c r="I91" s="49">
        <v>132.80000000000001</v>
      </c>
      <c r="J91" s="49">
        <v>139.1</v>
      </c>
      <c r="K91" s="49">
        <v>137.4</v>
      </c>
      <c r="L91" s="49">
        <v>94.1</v>
      </c>
      <c r="M91" s="49">
        <v>125.5</v>
      </c>
      <c r="N91" s="49">
        <v>119.8</v>
      </c>
      <c r="O91" s="49">
        <v>130.9</v>
      </c>
      <c r="P91" s="49">
        <v>127.3</v>
      </c>
      <c r="Q91" s="49">
        <v>129.19999999999999</v>
      </c>
      <c r="R91" s="49">
        <v>126.4</v>
      </c>
      <c r="S91" s="49">
        <v>122</v>
      </c>
      <c r="T91" s="49">
        <v>125.7</v>
      </c>
      <c r="U91" s="49">
        <v>119</v>
      </c>
      <c r="V91" s="49">
        <v>119.8</v>
      </c>
      <c r="W91" s="49">
        <v>121.1</v>
      </c>
      <c r="X91" s="49">
        <v>118.5</v>
      </c>
      <c r="Y91" s="49">
        <v>112.9</v>
      </c>
      <c r="Z91" s="49">
        <v>116.9</v>
      </c>
      <c r="AA91" s="49">
        <v>123.1</v>
      </c>
      <c r="AB91" s="49">
        <v>112.8</v>
      </c>
      <c r="AC91" s="49">
        <v>117</v>
      </c>
      <c r="AD91" s="49">
        <v>123</v>
      </c>
    </row>
    <row r="92" spans="1:30" x14ac:dyDescent="0.3">
      <c r="A92" s="49" t="s">
        <v>41</v>
      </c>
      <c r="B92" s="49">
        <v>2015</v>
      </c>
      <c r="C92" s="49" t="s">
        <v>49</v>
      </c>
      <c r="D92" s="49">
        <v>124</v>
      </c>
      <c r="E92" s="49">
        <v>131.5</v>
      </c>
      <c r="F92" s="49">
        <v>122</v>
      </c>
      <c r="G92" s="49">
        <v>128.69999999999999</v>
      </c>
      <c r="H92" s="49">
        <v>113.5</v>
      </c>
      <c r="I92" s="49">
        <v>133.30000000000001</v>
      </c>
      <c r="J92" s="49">
        <v>140.80000000000001</v>
      </c>
      <c r="K92" s="49">
        <v>133.80000000000001</v>
      </c>
      <c r="L92" s="49">
        <v>94.1</v>
      </c>
      <c r="M92" s="49">
        <v>123.4</v>
      </c>
      <c r="N92" s="49">
        <v>121</v>
      </c>
      <c r="O92" s="49">
        <v>131.69999999999999</v>
      </c>
      <c r="P92" s="49">
        <v>127.5</v>
      </c>
      <c r="Q92" s="49">
        <v>129.4</v>
      </c>
      <c r="R92" s="49">
        <v>128.80000000000001</v>
      </c>
      <c r="S92" s="49">
        <v>125.5</v>
      </c>
      <c r="T92" s="49">
        <v>128.30000000000001</v>
      </c>
      <c r="U92" s="49" t="s">
        <v>43</v>
      </c>
      <c r="V92" s="49">
        <v>123</v>
      </c>
      <c r="W92" s="49">
        <v>123</v>
      </c>
      <c r="X92" s="49">
        <v>120.8</v>
      </c>
      <c r="Y92" s="49">
        <v>114.1</v>
      </c>
      <c r="Z92" s="49">
        <v>118</v>
      </c>
      <c r="AA92" s="49">
        <v>122.9</v>
      </c>
      <c r="AB92" s="49">
        <v>112.7</v>
      </c>
      <c r="AC92" s="49">
        <v>118.1</v>
      </c>
      <c r="AD92" s="49">
        <v>124.7</v>
      </c>
    </row>
    <row r="93" spans="1:30" x14ac:dyDescent="0.3">
      <c r="A93" s="49" t="s">
        <v>44</v>
      </c>
      <c r="B93" s="49">
        <v>2015</v>
      </c>
      <c r="C93" s="49" t="s">
        <v>49</v>
      </c>
      <c r="D93" s="49">
        <v>123.2</v>
      </c>
      <c r="E93" s="49">
        <v>134.30000000000001</v>
      </c>
      <c r="F93" s="49">
        <v>119.5</v>
      </c>
      <c r="G93" s="49">
        <v>127.7</v>
      </c>
      <c r="H93" s="49">
        <v>106.3</v>
      </c>
      <c r="I93" s="49">
        <v>132.80000000000001</v>
      </c>
      <c r="J93" s="49">
        <v>153.5</v>
      </c>
      <c r="K93" s="49">
        <v>149.5</v>
      </c>
      <c r="L93" s="49">
        <v>85.7</v>
      </c>
      <c r="M93" s="49">
        <v>131.5</v>
      </c>
      <c r="N93" s="49">
        <v>118.3</v>
      </c>
      <c r="O93" s="49">
        <v>131.1</v>
      </c>
      <c r="P93" s="49">
        <v>129.5</v>
      </c>
      <c r="Q93" s="49">
        <v>133.1</v>
      </c>
      <c r="R93" s="49">
        <v>123.5</v>
      </c>
      <c r="S93" s="49">
        <v>117.9</v>
      </c>
      <c r="T93" s="49">
        <v>122.7</v>
      </c>
      <c r="U93" s="49">
        <v>119.9</v>
      </c>
      <c r="V93" s="49">
        <v>115.3</v>
      </c>
      <c r="W93" s="49">
        <v>119.5</v>
      </c>
      <c r="X93" s="49">
        <v>116</v>
      </c>
      <c r="Y93" s="49">
        <v>111.5</v>
      </c>
      <c r="Z93" s="49">
        <v>116.6</v>
      </c>
      <c r="AA93" s="49">
        <v>125.4</v>
      </c>
      <c r="AB93" s="49">
        <v>111.7</v>
      </c>
      <c r="AC93" s="49">
        <v>116.3</v>
      </c>
      <c r="AD93" s="49">
        <v>122.4</v>
      </c>
    </row>
    <row r="94" spans="1:30" x14ac:dyDescent="0.3">
      <c r="A94" s="49" t="s">
        <v>30</v>
      </c>
      <c r="B94" s="49">
        <v>2015</v>
      </c>
      <c r="C94" s="49" t="s">
        <v>49</v>
      </c>
      <c r="D94" s="49">
        <v>123.7</v>
      </c>
      <c r="E94" s="49">
        <v>132.5</v>
      </c>
      <c r="F94" s="49">
        <v>121</v>
      </c>
      <c r="G94" s="49">
        <v>128.30000000000001</v>
      </c>
      <c r="H94" s="49">
        <v>110.9</v>
      </c>
      <c r="I94" s="49">
        <v>133.1</v>
      </c>
      <c r="J94" s="49">
        <v>145.1</v>
      </c>
      <c r="K94" s="49">
        <v>139.1</v>
      </c>
      <c r="L94" s="49">
        <v>91.3</v>
      </c>
      <c r="M94" s="49">
        <v>126.1</v>
      </c>
      <c r="N94" s="49">
        <v>119.9</v>
      </c>
      <c r="O94" s="49">
        <v>131.4</v>
      </c>
      <c r="P94" s="49">
        <v>128.19999999999999</v>
      </c>
      <c r="Q94" s="49">
        <v>130.4</v>
      </c>
      <c r="R94" s="49">
        <v>126.7</v>
      </c>
      <c r="S94" s="49">
        <v>122.3</v>
      </c>
      <c r="T94" s="49">
        <v>126.1</v>
      </c>
      <c r="U94" s="49">
        <v>119.9</v>
      </c>
      <c r="V94" s="49">
        <v>120.1</v>
      </c>
      <c r="W94" s="49">
        <v>121.3</v>
      </c>
      <c r="X94" s="49">
        <v>119</v>
      </c>
      <c r="Y94" s="49">
        <v>112.7</v>
      </c>
      <c r="Z94" s="49">
        <v>117.2</v>
      </c>
      <c r="AA94" s="49">
        <v>124.4</v>
      </c>
      <c r="AB94" s="49">
        <v>112.3</v>
      </c>
      <c r="AC94" s="49">
        <v>117.2</v>
      </c>
      <c r="AD94" s="49">
        <v>123.6</v>
      </c>
    </row>
    <row r="95" spans="1:30" x14ac:dyDescent="0.3">
      <c r="A95" s="49" t="s">
        <v>41</v>
      </c>
      <c r="B95" s="49">
        <v>2015</v>
      </c>
      <c r="C95" s="49" t="s">
        <v>50</v>
      </c>
      <c r="D95" s="49">
        <v>124.7</v>
      </c>
      <c r="E95" s="49">
        <v>131.30000000000001</v>
      </c>
      <c r="F95" s="49">
        <v>121.3</v>
      </c>
      <c r="G95" s="49">
        <v>128.80000000000001</v>
      </c>
      <c r="H95" s="49">
        <v>114</v>
      </c>
      <c r="I95" s="49">
        <v>134.19999999999999</v>
      </c>
      <c r="J95" s="49">
        <v>153.6</v>
      </c>
      <c r="K95" s="49">
        <v>137.9</v>
      </c>
      <c r="L95" s="49">
        <v>93.1</v>
      </c>
      <c r="M95" s="49">
        <v>123.9</v>
      </c>
      <c r="N95" s="49">
        <v>121.5</v>
      </c>
      <c r="O95" s="49">
        <v>132.5</v>
      </c>
      <c r="P95" s="49">
        <v>129.80000000000001</v>
      </c>
      <c r="Q95" s="49">
        <v>130.1</v>
      </c>
      <c r="R95" s="49">
        <v>129.5</v>
      </c>
      <c r="S95" s="49">
        <v>126.3</v>
      </c>
      <c r="T95" s="49">
        <v>129</v>
      </c>
      <c r="U95" s="49" t="s">
        <v>43</v>
      </c>
      <c r="V95" s="49">
        <v>123.8</v>
      </c>
      <c r="W95" s="49">
        <v>123.7</v>
      </c>
      <c r="X95" s="49">
        <v>121.1</v>
      </c>
      <c r="Y95" s="49">
        <v>113.6</v>
      </c>
      <c r="Z95" s="49">
        <v>118.5</v>
      </c>
      <c r="AA95" s="49">
        <v>123.6</v>
      </c>
      <c r="AB95" s="49">
        <v>112.5</v>
      </c>
      <c r="AC95" s="49">
        <v>118.2</v>
      </c>
      <c r="AD95" s="49">
        <v>126.1</v>
      </c>
    </row>
    <row r="96" spans="1:30" x14ac:dyDescent="0.3">
      <c r="A96" s="49" t="s">
        <v>44</v>
      </c>
      <c r="B96" s="49">
        <v>2015</v>
      </c>
      <c r="C96" s="49" t="s">
        <v>50</v>
      </c>
      <c r="D96" s="49">
        <v>123.1</v>
      </c>
      <c r="E96" s="49">
        <v>131.69999999999999</v>
      </c>
      <c r="F96" s="49">
        <v>118.1</v>
      </c>
      <c r="G96" s="49">
        <v>128</v>
      </c>
      <c r="H96" s="49">
        <v>106.8</v>
      </c>
      <c r="I96" s="49">
        <v>130.1</v>
      </c>
      <c r="J96" s="49">
        <v>165.5</v>
      </c>
      <c r="K96" s="49">
        <v>156</v>
      </c>
      <c r="L96" s="49">
        <v>85.3</v>
      </c>
      <c r="M96" s="49">
        <v>132.69999999999999</v>
      </c>
      <c r="N96" s="49">
        <v>118.8</v>
      </c>
      <c r="O96" s="49">
        <v>131.69999999999999</v>
      </c>
      <c r="P96" s="49">
        <v>131.1</v>
      </c>
      <c r="Q96" s="49">
        <v>134.19999999999999</v>
      </c>
      <c r="R96" s="49">
        <v>123.7</v>
      </c>
      <c r="S96" s="49">
        <v>118.2</v>
      </c>
      <c r="T96" s="49">
        <v>122.9</v>
      </c>
      <c r="U96" s="49">
        <v>120.9</v>
      </c>
      <c r="V96" s="49">
        <v>115.3</v>
      </c>
      <c r="W96" s="49">
        <v>120</v>
      </c>
      <c r="X96" s="49">
        <v>116.6</v>
      </c>
      <c r="Y96" s="49">
        <v>109.9</v>
      </c>
      <c r="Z96" s="49">
        <v>117.2</v>
      </c>
      <c r="AA96" s="49">
        <v>126.2</v>
      </c>
      <c r="AB96" s="49">
        <v>112</v>
      </c>
      <c r="AC96" s="49">
        <v>116.2</v>
      </c>
      <c r="AD96" s="49">
        <v>123.2</v>
      </c>
    </row>
    <row r="97" spans="1:30" x14ac:dyDescent="0.3">
      <c r="A97" s="49" t="s">
        <v>30</v>
      </c>
      <c r="B97" s="49">
        <v>2015</v>
      </c>
      <c r="C97" s="49" t="s">
        <v>50</v>
      </c>
      <c r="D97" s="49">
        <v>124.2</v>
      </c>
      <c r="E97" s="49">
        <v>131.4</v>
      </c>
      <c r="F97" s="49">
        <v>120.1</v>
      </c>
      <c r="G97" s="49">
        <v>128.5</v>
      </c>
      <c r="H97" s="49">
        <v>111.4</v>
      </c>
      <c r="I97" s="49">
        <v>132.30000000000001</v>
      </c>
      <c r="J97" s="49">
        <v>157.6</v>
      </c>
      <c r="K97" s="49">
        <v>144</v>
      </c>
      <c r="L97" s="49">
        <v>90.5</v>
      </c>
      <c r="M97" s="49">
        <v>126.8</v>
      </c>
      <c r="N97" s="49">
        <v>120.4</v>
      </c>
      <c r="O97" s="49">
        <v>132.1</v>
      </c>
      <c r="P97" s="49">
        <v>130.30000000000001</v>
      </c>
      <c r="Q97" s="49">
        <v>131.19999999999999</v>
      </c>
      <c r="R97" s="49">
        <v>127.2</v>
      </c>
      <c r="S97" s="49">
        <v>122.9</v>
      </c>
      <c r="T97" s="49">
        <v>126.6</v>
      </c>
      <c r="U97" s="49">
        <v>120.9</v>
      </c>
      <c r="V97" s="49">
        <v>120.6</v>
      </c>
      <c r="W97" s="49">
        <v>122</v>
      </c>
      <c r="X97" s="49">
        <v>119.4</v>
      </c>
      <c r="Y97" s="49">
        <v>111.7</v>
      </c>
      <c r="Z97" s="49">
        <v>117.8</v>
      </c>
      <c r="AA97" s="49">
        <v>125.1</v>
      </c>
      <c r="AB97" s="49">
        <v>112.3</v>
      </c>
      <c r="AC97" s="49">
        <v>117.2</v>
      </c>
      <c r="AD97" s="49">
        <v>124.8</v>
      </c>
    </row>
    <row r="98" spans="1:30" x14ac:dyDescent="0.3">
      <c r="A98" s="49" t="s">
        <v>41</v>
      </c>
      <c r="B98" s="49">
        <v>2015</v>
      </c>
      <c r="C98" s="49" t="s">
        <v>51</v>
      </c>
      <c r="D98" s="49">
        <v>125.1</v>
      </c>
      <c r="E98" s="49">
        <v>131.1</v>
      </c>
      <c r="F98" s="49">
        <v>120.7</v>
      </c>
      <c r="G98" s="49">
        <v>129.19999999999999</v>
      </c>
      <c r="H98" s="49">
        <v>114.7</v>
      </c>
      <c r="I98" s="49">
        <v>132.30000000000001</v>
      </c>
      <c r="J98" s="49">
        <v>158.9</v>
      </c>
      <c r="K98" s="49">
        <v>142.1</v>
      </c>
      <c r="L98" s="49">
        <v>92.5</v>
      </c>
      <c r="M98" s="49">
        <v>125.4</v>
      </c>
      <c r="N98" s="49">
        <v>121.9</v>
      </c>
      <c r="O98" s="49">
        <v>132.69999999999999</v>
      </c>
      <c r="P98" s="49">
        <v>131</v>
      </c>
      <c r="Q98" s="49">
        <v>131</v>
      </c>
      <c r="R98" s="49">
        <v>130.4</v>
      </c>
      <c r="S98" s="49">
        <v>126.8</v>
      </c>
      <c r="T98" s="49">
        <v>129.9</v>
      </c>
      <c r="U98" s="49" t="s">
        <v>43</v>
      </c>
      <c r="V98" s="49">
        <v>123.7</v>
      </c>
      <c r="W98" s="49">
        <v>124.5</v>
      </c>
      <c r="X98" s="49">
        <v>121.4</v>
      </c>
      <c r="Y98" s="49">
        <v>113.8</v>
      </c>
      <c r="Z98" s="49">
        <v>119.6</v>
      </c>
      <c r="AA98" s="49">
        <v>124.5</v>
      </c>
      <c r="AB98" s="49">
        <v>113.7</v>
      </c>
      <c r="AC98" s="49">
        <v>118.8</v>
      </c>
      <c r="AD98" s="49">
        <v>127</v>
      </c>
    </row>
    <row r="99" spans="1:30" x14ac:dyDescent="0.3">
      <c r="A99" s="49" t="s">
        <v>44</v>
      </c>
      <c r="B99" s="49">
        <v>2015</v>
      </c>
      <c r="C99" s="49" t="s">
        <v>51</v>
      </c>
      <c r="D99" s="49">
        <v>123.4</v>
      </c>
      <c r="E99" s="49">
        <v>129</v>
      </c>
      <c r="F99" s="49">
        <v>115.6</v>
      </c>
      <c r="G99" s="49">
        <v>128.30000000000001</v>
      </c>
      <c r="H99" s="49">
        <v>107</v>
      </c>
      <c r="I99" s="49">
        <v>124</v>
      </c>
      <c r="J99" s="49">
        <v>168.5</v>
      </c>
      <c r="K99" s="49">
        <v>165.4</v>
      </c>
      <c r="L99" s="49">
        <v>86.3</v>
      </c>
      <c r="M99" s="49">
        <v>134.4</v>
      </c>
      <c r="N99" s="49">
        <v>119.1</v>
      </c>
      <c r="O99" s="49">
        <v>132.30000000000001</v>
      </c>
      <c r="P99" s="49">
        <v>131.5</v>
      </c>
      <c r="Q99" s="49">
        <v>134.69999999999999</v>
      </c>
      <c r="R99" s="49">
        <v>124</v>
      </c>
      <c r="S99" s="49">
        <v>118.6</v>
      </c>
      <c r="T99" s="49">
        <v>123.2</v>
      </c>
      <c r="U99" s="49">
        <v>121.6</v>
      </c>
      <c r="V99" s="49">
        <v>115.1</v>
      </c>
      <c r="W99" s="49">
        <v>120.4</v>
      </c>
      <c r="X99" s="49">
        <v>117.1</v>
      </c>
      <c r="Y99" s="49">
        <v>109.1</v>
      </c>
      <c r="Z99" s="49">
        <v>117.3</v>
      </c>
      <c r="AA99" s="49">
        <v>126.5</v>
      </c>
      <c r="AB99" s="49">
        <v>112.9</v>
      </c>
      <c r="AC99" s="49">
        <v>116.2</v>
      </c>
      <c r="AD99" s="49">
        <v>123.5</v>
      </c>
    </row>
    <row r="100" spans="1:30" x14ac:dyDescent="0.3">
      <c r="A100" s="49" t="s">
        <v>30</v>
      </c>
      <c r="B100" s="49">
        <v>2015</v>
      </c>
      <c r="C100" s="49" t="s">
        <v>51</v>
      </c>
      <c r="D100" s="49">
        <v>124.6</v>
      </c>
      <c r="E100" s="49">
        <v>130.4</v>
      </c>
      <c r="F100" s="49">
        <v>118.7</v>
      </c>
      <c r="G100" s="49">
        <v>128.9</v>
      </c>
      <c r="H100" s="49">
        <v>111.9</v>
      </c>
      <c r="I100" s="49">
        <v>128.4</v>
      </c>
      <c r="J100" s="49">
        <v>162.19999999999999</v>
      </c>
      <c r="K100" s="49">
        <v>150</v>
      </c>
      <c r="L100" s="49">
        <v>90.4</v>
      </c>
      <c r="M100" s="49">
        <v>128.4</v>
      </c>
      <c r="N100" s="49">
        <v>120.7</v>
      </c>
      <c r="O100" s="49">
        <v>132.5</v>
      </c>
      <c r="P100" s="49">
        <v>131.19999999999999</v>
      </c>
      <c r="Q100" s="49">
        <v>132</v>
      </c>
      <c r="R100" s="49">
        <v>127.9</v>
      </c>
      <c r="S100" s="49">
        <v>123.4</v>
      </c>
      <c r="T100" s="49">
        <v>127.2</v>
      </c>
      <c r="U100" s="49">
        <v>121.6</v>
      </c>
      <c r="V100" s="49">
        <v>120.4</v>
      </c>
      <c r="W100" s="49">
        <v>122.6</v>
      </c>
      <c r="X100" s="49">
        <v>119.8</v>
      </c>
      <c r="Y100" s="49">
        <v>111.3</v>
      </c>
      <c r="Z100" s="49">
        <v>118.3</v>
      </c>
      <c r="AA100" s="49">
        <v>125.7</v>
      </c>
      <c r="AB100" s="49">
        <v>113.4</v>
      </c>
      <c r="AC100" s="49">
        <v>117.5</v>
      </c>
      <c r="AD100" s="49">
        <v>125.4</v>
      </c>
    </row>
    <row r="101" spans="1:30" x14ac:dyDescent="0.3">
      <c r="A101" s="49" t="s">
        <v>41</v>
      </c>
      <c r="B101" s="49">
        <v>2015</v>
      </c>
      <c r="C101" s="49" t="s">
        <v>52</v>
      </c>
      <c r="D101" s="49">
        <v>125.6</v>
      </c>
      <c r="E101" s="49">
        <v>130.4</v>
      </c>
      <c r="F101" s="49">
        <v>120.8</v>
      </c>
      <c r="G101" s="49">
        <v>129.4</v>
      </c>
      <c r="H101" s="49">
        <v>115.8</v>
      </c>
      <c r="I101" s="49">
        <v>133.19999999999999</v>
      </c>
      <c r="J101" s="49">
        <v>157.69999999999999</v>
      </c>
      <c r="K101" s="49">
        <v>154.19999999999999</v>
      </c>
      <c r="L101" s="49">
        <v>93.7</v>
      </c>
      <c r="M101" s="49">
        <v>126.6</v>
      </c>
      <c r="N101" s="49">
        <v>122.3</v>
      </c>
      <c r="O101" s="49">
        <v>133.1</v>
      </c>
      <c r="P101" s="49">
        <v>131.80000000000001</v>
      </c>
      <c r="Q101" s="49">
        <v>131.5</v>
      </c>
      <c r="R101" s="49">
        <v>131.1</v>
      </c>
      <c r="S101" s="49">
        <v>127.3</v>
      </c>
      <c r="T101" s="49">
        <v>130.6</v>
      </c>
      <c r="U101" s="49" t="s">
        <v>43</v>
      </c>
      <c r="V101" s="49">
        <v>124.4</v>
      </c>
      <c r="W101" s="49">
        <v>125.1</v>
      </c>
      <c r="X101" s="49">
        <v>122</v>
      </c>
      <c r="Y101" s="49">
        <v>113.8</v>
      </c>
      <c r="Z101" s="49">
        <v>120.1</v>
      </c>
      <c r="AA101" s="49">
        <v>125.1</v>
      </c>
      <c r="AB101" s="49">
        <v>114.2</v>
      </c>
      <c r="AC101" s="49">
        <v>119.2</v>
      </c>
      <c r="AD101" s="49">
        <v>127.7</v>
      </c>
    </row>
    <row r="102" spans="1:30" x14ac:dyDescent="0.3">
      <c r="A102" s="49" t="s">
        <v>44</v>
      </c>
      <c r="B102" s="49">
        <v>2015</v>
      </c>
      <c r="C102" s="49" t="s">
        <v>52</v>
      </c>
      <c r="D102" s="49">
        <v>123.6</v>
      </c>
      <c r="E102" s="49">
        <v>128.6</v>
      </c>
      <c r="F102" s="49">
        <v>115.9</v>
      </c>
      <c r="G102" s="49">
        <v>128.5</v>
      </c>
      <c r="H102" s="49">
        <v>109</v>
      </c>
      <c r="I102" s="49">
        <v>124.1</v>
      </c>
      <c r="J102" s="49">
        <v>165.8</v>
      </c>
      <c r="K102" s="49">
        <v>187.2</v>
      </c>
      <c r="L102" s="49">
        <v>89.4</v>
      </c>
      <c r="M102" s="49">
        <v>135.80000000000001</v>
      </c>
      <c r="N102" s="49">
        <v>119.4</v>
      </c>
      <c r="O102" s="49">
        <v>132.9</v>
      </c>
      <c r="P102" s="49">
        <v>132.6</v>
      </c>
      <c r="Q102" s="49">
        <v>135.30000000000001</v>
      </c>
      <c r="R102" s="49">
        <v>124.4</v>
      </c>
      <c r="S102" s="49">
        <v>118.8</v>
      </c>
      <c r="T102" s="49">
        <v>123.6</v>
      </c>
      <c r="U102" s="49">
        <v>122.4</v>
      </c>
      <c r="V102" s="49">
        <v>114.9</v>
      </c>
      <c r="W102" s="49">
        <v>120.7</v>
      </c>
      <c r="X102" s="49">
        <v>117.7</v>
      </c>
      <c r="Y102" s="49">
        <v>109.3</v>
      </c>
      <c r="Z102" s="49">
        <v>117.7</v>
      </c>
      <c r="AA102" s="49">
        <v>126.5</v>
      </c>
      <c r="AB102" s="49">
        <v>113.5</v>
      </c>
      <c r="AC102" s="49">
        <v>116.5</v>
      </c>
      <c r="AD102" s="49">
        <v>124.2</v>
      </c>
    </row>
    <row r="103" spans="1:30" x14ac:dyDescent="0.3">
      <c r="A103" s="49" t="s">
        <v>30</v>
      </c>
      <c r="B103" s="49">
        <v>2015</v>
      </c>
      <c r="C103" s="49" t="s">
        <v>52</v>
      </c>
      <c r="D103" s="49">
        <v>125</v>
      </c>
      <c r="E103" s="49">
        <v>129.80000000000001</v>
      </c>
      <c r="F103" s="49">
        <v>118.9</v>
      </c>
      <c r="G103" s="49">
        <v>129.1</v>
      </c>
      <c r="H103" s="49">
        <v>113.3</v>
      </c>
      <c r="I103" s="49">
        <v>129</v>
      </c>
      <c r="J103" s="49">
        <v>160.4</v>
      </c>
      <c r="K103" s="49">
        <v>165.3</v>
      </c>
      <c r="L103" s="49">
        <v>92.3</v>
      </c>
      <c r="M103" s="49">
        <v>129.69999999999999</v>
      </c>
      <c r="N103" s="49">
        <v>121.1</v>
      </c>
      <c r="O103" s="49">
        <v>133</v>
      </c>
      <c r="P103" s="49">
        <v>132.1</v>
      </c>
      <c r="Q103" s="49">
        <v>132.5</v>
      </c>
      <c r="R103" s="49">
        <v>128.5</v>
      </c>
      <c r="S103" s="49">
        <v>123.8</v>
      </c>
      <c r="T103" s="49">
        <v>127.8</v>
      </c>
      <c r="U103" s="49">
        <v>122.4</v>
      </c>
      <c r="V103" s="49">
        <v>120.8</v>
      </c>
      <c r="W103" s="49">
        <v>123</v>
      </c>
      <c r="X103" s="49">
        <v>120.4</v>
      </c>
      <c r="Y103" s="49">
        <v>111.4</v>
      </c>
      <c r="Z103" s="49">
        <v>118.7</v>
      </c>
      <c r="AA103" s="49">
        <v>125.9</v>
      </c>
      <c r="AB103" s="49">
        <v>113.9</v>
      </c>
      <c r="AC103" s="49">
        <v>117.9</v>
      </c>
      <c r="AD103" s="49">
        <v>126.1</v>
      </c>
    </row>
    <row r="104" spans="1:30" x14ac:dyDescent="0.3">
      <c r="A104" s="49" t="s">
        <v>41</v>
      </c>
      <c r="B104" s="49">
        <v>2015</v>
      </c>
      <c r="C104" s="49" t="s">
        <v>54</v>
      </c>
      <c r="D104" s="49">
        <v>126.1</v>
      </c>
      <c r="E104" s="49">
        <v>130.6</v>
      </c>
      <c r="F104" s="49">
        <v>121.7</v>
      </c>
      <c r="G104" s="49">
        <v>129.5</v>
      </c>
      <c r="H104" s="49">
        <v>117.8</v>
      </c>
      <c r="I104" s="49">
        <v>132.1</v>
      </c>
      <c r="J104" s="49">
        <v>155.19999999999999</v>
      </c>
      <c r="K104" s="49">
        <v>160.80000000000001</v>
      </c>
      <c r="L104" s="49">
        <v>94.5</v>
      </c>
      <c r="M104" s="49">
        <v>128.30000000000001</v>
      </c>
      <c r="N104" s="49">
        <v>123.1</v>
      </c>
      <c r="O104" s="49">
        <v>134.19999999999999</v>
      </c>
      <c r="P104" s="49">
        <v>132.4</v>
      </c>
      <c r="Q104" s="49">
        <v>132.19999999999999</v>
      </c>
      <c r="R104" s="49">
        <v>132.1</v>
      </c>
      <c r="S104" s="49">
        <v>128.19999999999999</v>
      </c>
      <c r="T104" s="49">
        <v>131.5</v>
      </c>
      <c r="U104" s="49" t="s">
        <v>43</v>
      </c>
      <c r="V104" s="49">
        <v>125.6</v>
      </c>
      <c r="W104" s="49">
        <v>125.6</v>
      </c>
      <c r="X104" s="49">
        <v>122.6</v>
      </c>
      <c r="Y104" s="49">
        <v>114</v>
      </c>
      <c r="Z104" s="49">
        <v>120.9</v>
      </c>
      <c r="AA104" s="49">
        <v>125.8</v>
      </c>
      <c r="AB104" s="49">
        <v>114.2</v>
      </c>
      <c r="AC104" s="49">
        <v>119.6</v>
      </c>
      <c r="AD104" s="49">
        <v>128.30000000000001</v>
      </c>
    </row>
    <row r="105" spans="1:30" x14ac:dyDescent="0.3">
      <c r="A105" s="49" t="s">
        <v>44</v>
      </c>
      <c r="B105" s="49">
        <v>2015</v>
      </c>
      <c r="C105" s="49" t="s">
        <v>54</v>
      </c>
      <c r="D105" s="49">
        <v>124</v>
      </c>
      <c r="E105" s="49">
        <v>129.80000000000001</v>
      </c>
      <c r="F105" s="49">
        <v>121.5</v>
      </c>
      <c r="G105" s="49">
        <v>128.6</v>
      </c>
      <c r="H105" s="49">
        <v>110</v>
      </c>
      <c r="I105" s="49">
        <v>123.7</v>
      </c>
      <c r="J105" s="49">
        <v>164.6</v>
      </c>
      <c r="K105" s="49">
        <v>191.6</v>
      </c>
      <c r="L105" s="49">
        <v>90.8</v>
      </c>
      <c r="M105" s="49">
        <v>137.1</v>
      </c>
      <c r="N105" s="49">
        <v>119.8</v>
      </c>
      <c r="O105" s="49">
        <v>133.69999999999999</v>
      </c>
      <c r="P105" s="49">
        <v>133.30000000000001</v>
      </c>
      <c r="Q105" s="49">
        <v>137.6</v>
      </c>
      <c r="R105" s="49">
        <v>125</v>
      </c>
      <c r="S105" s="49">
        <v>119.3</v>
      </c>
      <c r="T105" s="49">
        <v>124.2</v>
      </c>
      <c r="U105" s="49">
        <v>122.9</v>
      </c>
      <c r="V105" s="49">
        <v>115.1</v>
      </c>
      <c r="W105" s="49">
        <v>121</v>
      </c>
      <c r="X105" s="49">
        <v>118.1</v>
      </c>
      <c r="Y105" s="49">
        <v>109.3</v>
      </c>
      <c r="Z105" s="49">
        <v>117.9</v>
      </c>
      <c r="AA105" s="49">
        <v>126.6</v>
      </c>
      <c r="AB105" s="49">
        <v>113.3</v>
      </c>
      <c r="AC105" s="49">
        <v>116.6</v>
      </c>
      <c r="AD105" s="49">
        <v>124.6</v>
      </c>
    </row>
    <row r="106" spans="1:30" x14ac:dyDescent="0.3">
      <c r="A106" s="49" t="s">
        <v>30</v>
      </c>
      <c r="B106" s="49">
        <v>2015</v>
      </c>
      <c r="C106" s="49" t="s">
        <v>54</v>
      </c>
      <c r="D106" s="49">
        <v>125.4</v>
      </c>
      <c r="E106" s="49">
        <v>130.30000000000001</v>
      </c>
      <c r="F106" s="49">
        <v>121.6</v>
      </c>
      <c r="G106" s="49">
        <v>129.19999999999999</v>
      </c>
      <c r="H106" s="49">
        <v>114.9</v>
      </c>
      <c r="I106" s="49">
        <v>128.19999999999999</v>
      </c>
      <c r="J106" s="49">
        <v>158.4</v>
      </c>
      <c r="K106" s="49">
        <v>171.2</v>
      </c>
      <c r="L106" s="49">
        <v>93.3</v>
      </c>
      <c r="M106" s="49">
        <v>131.19999999999999</v>
      </c>
      <c r="N106" s="49">
        <v>121.7</v>
      </c>
      <c r="O106" s="49">
        <v>134</v>
      </c>
      <c r="P106" s="49">
        <v>132.69999999999999</v>
      </c>
      <c r="Q106" s="49">
        <v>133.6</v>
      </c>
      <c r="R106" s="49">
        <v>129.30000000000001</v>
      </c>
      <c r="S106" s="49">
        <v>124.5</v>
      </c>
      <c r="T106" s="49">
        <v>128.6</v>
      </c>
      <c r="U106" s="49">
        <v>122.9</v>
      </c>
      <c r="V106" s="49">
        <v>121.6</v>
      </c>
      <c r="W106" s="49">
        <v>123.4</v>
      </c>
      <c r="X106" s="49">
        <v>120.9</v>
      </c>
      <c r="Y106" s="49">
        <v>111.5</v>
      </c>
      <c r="Z106" s="49">
        <v>119.2</v>
      </c>
      <c r="AA106" s="49">
        <v>126.3</v>
      </c>
      <c r="AB106" s="49">
        <v>113.8</v>
      </c>
      <c r="AC106" s="49">
        <v>118.1</v>
      </c>
      <c r="AD106" s="49">
        <v>126.6</v>
      </c>
    </row>
    <row r="107" spans="1:30" x14ac:dyDescent="0.3">
      <c r="A107" s="49" t="s">
        <v>41</v>
      </c>
      <c r="B107" s="49">
        <v>2015</v>
      </c>
      <c r="C107" s="49" t="s">
        <v>55</v>
      </c>
      <c r="D107" s="49">
        <v>126.3</v>
      </c>
      <c r="E107" s="49">
        <v>131.30000000000001</v>
      </c>
      <c r="F107" s="49">
        <v>123.3</v>
      </c>
      <c r="G107" s="49">
        <v>129.80000000000001</v>
      </c>
      <c r="H107" s="49">
        <v>118.3</v>
      </c>
      <c r="I107" s="49">
        <v>131.6</v>
      </c>
      <c r="J107" s="49">
        <v>145.5</v>
      </c>
      <c r="K107" s="49">
        <v>162.1</v>
      </c>
      <c r="L107" s="49">
        <v>95.4</v>
      </c>
      <c r="M107" s="49">
        <v>128.9</v>
      </c>
      <c r="N107" s="49">
        <v>123.3</v>
      </c>
      <c r="O107" s="49">
        <v>135.1</v>
      </c>
      <c r="P107" s="49">
        <v>131.4</v>
      </c>
      <c r="Q107" s="49">
        <v>133.1</v>
      </c>
      <c r="R107" s="49">
        <v>132.5</v>
      </c>
      <c r="S107" s="49">
        <v>128.5</v>
      </c>
      <c r="T107" s="49">
        <v>131.9</v>
      </c>
      <c r="U107" s="49" t="s">
        <v>43</v>
      </c>
      <c r="V107" s="49">
        <v>125.7</v>
      </c>
      <c r="W107" s="49">
        <v>126</v>
      </c>
      <c r="X107" s="49">
        <v>123.1</v>
      </c>
      <c r="Y107" s="49">
        <v>114</v>
      </c>
      <c r="Z107" s="49">
        <v>121.6</v>
      </c>
      <c r="AA107" s="49">
        <v>125.6</v>
      </c>
      <c r="AB107" s="49">
        <v>114.1</v>
      </c>
      <c r="AC107" s="49">
        <v>119.8</v>
      </c>
      <c r="AD107" s="49">
        <v>127.9</v>
      </c>
    </row>
    <row r="108" spans="1:30" x14ac:dyDescent="0.3">
      <c r="A108" s="49" t="s">
        <v>44</v>
      </c>
      <c r="B108" s="49">
        <v>2015</v>
      </c>
      <c r="C108" s="49" t="s">
        <v>55</v>
      </c>
      <c r="D108" s="49">
        <v>124.3</v>
      </c>
      <c r="E108" s="49">
        <v>131.69999999999999</v>
      </c>
      <c r="F108" s="49">
        <v>127.1</v>
      </c>
      <c r="G108" s="49">
        <v>128.6</v>
      </c>
      <c r="H108" s="49">
        <v>110</v>
      </c>
      <c r="I108" s="49">
        <v>120.8</v>
      </c>
      <c r="J108" s="49">
        <v>149</v>
      </c>
      <c r="K108" s="49">
        <v>190.1</v>
      </c>
      <c r="L108" s="49">
        <v>92.7</v>
      </c>
      <c r="M108" s="49">
        <v>138.6</v>
      </c>
      <c r="N108" s="49">
        <v>120.2</v>
      </c>
      <c r="O108" s="49">
        <v>134.19999999999999</v>
      </c>
      <c r="P108" s="49">
        <v>131.5</v>
      </c>
      <c r="Q108" s="49">
        <v>138.19999999999999</v>
      </c>
      <c r="R108" s="49">
        <v>125.4</v>
      </c>
      <c r="S108" s="49">
        <v>119.5</v>
      </c>
      <c r="T108" s="49">
        <v>124.5</v>
      </c>
      <c r="U108" s="49">
        <v>122.4</v>
      </c>
      <c r="V108" s="49">
        <v>116</v>
      </c>
      <c r="W108" s="49">
        <v>121</v>
      </c>
      <c r="X108" s="49">
        <v>118.6</v>
      </c>
      <c r="Y108" s="49">
        <v>109.3</v>
      </c>
      <c r="Z108" s="49">
        <v>118.1</v>
      </c>
      <c r="AA108" s="49">
        <v>126.6</v>
      </c>
      <c r="AB108" s="49">
        <v>113.2</v>
      </c>
      <c r="AC108" s="49">
        <v>116.7</v>
      </c>
      <c r="AD108" s="49">
        <v>124</v>
      </c>
    </row>
    <row r="109" spans="1:30" x14ac:dyDescent="0.3">
      <c r="A109" s="49" t="s">
        <v>30</v>
      </c>
      <c r="B109" s="49">
        <v>2015</v>
      </c>
      <c r="C109" s="49" t="s">
        <v>55</v>
      </c>
      <c r="D109" s="49">
        <v>125.7</v>
      </c>
      <c r="E109" s="49">
        <v>131.4</v>
      </c>
      <c r="F109" s="49">
        <v>124.8</v>
      </c>
      <c r="G109" s="49">
        <v>129.4</v>
      </c>
      <c r="H109" s="49">
        <v>115.3</v>
      </c>
      <c r="I109" s="49">
        <v>126.6</v>
      </c>
      <c r="J109" s="49">
        <v>146.69999999999999</v>
      </c>
      <c r="K109" s="49">
        <v>171.5</v>
      </c>
      <c r="L109" s="49">
        <v>94.5</v>
      </c>
      <c r="M109" s="49">
        <v>132.1</v>
      </c>
      <c r="N109" s="49">
        <v>122</v>
      </c>
      <c r="O109" s="49">
        <v>134.69999999999999</v>
      </c>
      <c r="P109" s="49">
        <v>131.4</v>
      </c>
      <c r="Q109" s="49">
        <v>134.5</v>
      </c>
      <c r="R109" s="49">
        <v>129.69999999999999</v>
      </c>
      <c r="S109" s="49">
        <v>124.8</v>
      </c>
      <c r="T109" s="49">
        <v>129</v>
      </c>
      <c r="U109" s="49">
        <v>122.4</v>
      </c>
      <c r="V109" s="49">
        <v>122</v>
      </c>
      <c r="W109" s="49">
        <v>123.6</v>
      </c>
      <c r="X109" s="49">
        <v>121.4</v>
      </c>
      <c r="Y109" s="49">
        <v>111.5</v>
      </c>
      <c r="Z109" s="49">
        <v>119.6</v>
      </c>
      <c r="AA109" s="49">
        <v>126.2</v>
      </c>
      <c r="AB109" s="49">
        <v>113.7</v>
      </c>
      <c r="AC109" s="49">
        <v>118.3</v>
      </c>
      <c r="AD109" s="49">
        <v>126.1</v>
      </c>
    </row>
    <row r="110" spans="1:30" x14ac:dyDescent="0.3">
      <c r="A110" s="49" t="s">
        <v>41</v>
      </c>
      <c r="B110" s="49">
        <v>2016</v>
      </c>
      <c r="C110" s="49" t="s">
        <v>42</v>
      </c>
      <c r="D110" s="49">
        <v>126.8</v>
      </c>
      <c r="E110" s="49">
        <v>133.19999999999999</v>
      </c>
      <c r="F110" s="49">
        <v>126.5</v>
      </c>
      <c r="G110" s="49">
        <v>130.30000000000001</v>
      </c>
      <c r="H110" s="49">
        <v>118.9</v>
      </c>
      <c r="I110" s="49">
        <v>131.6</v>
      </c>
      <c r="J110" s="49">
        <v>140.1</v>
      </c>
      <c r="K110" s="49">
        <v>163.80000000000001</v>
      </c>
      <c r="L110" s="49">
        <v>97.7</v>
      </c>
      <c r="M110" s="49">
        <v>129.6</v>
      </c>
      <c r="N110" s="49">
        <v>124.3</v>
      </c>
      <c r="O110" s="49">
        <v>135.9</v>
      </c>
      <c r="P110" s="49">
        <v>131.4</v>
      </c>
      <c r="Q110" s="49">
        <v>133.6</v>
      </c>
      <c r="R110" s="49">
        <v>133.19999999999999</v>
      </c>
      <c r="S110" s="49">
        <v>128.9</v>
      </c>
      <c r="T110" s="49">
        <v>132.6</v>
      </c>
      <c r="U110" s="49" t="s">
        <v>43</v>
      </c>
      <c r="V110" s="49">
        <v>126.2</v>
      </c>
      <c r="W110" s="49">
        <v>126.6</v>
      </c>
      <c r="X110" s="49">
        <v>123.7</v>
      </c>
      <c r="Y110" s="49">
        <v>113.6</v>
      </c>
      <c r="Z110" s="49">
        <v>121.4</v>
      </c>
      <c r="AA110" s="49">
        <v>126.2</v>
      </c>
      <c r="AB110" s="49">
        <v>114.9</v>
      </c>
      <c r="AC110" s="49">
        <v>120.1</v>
      </c>
      <c r="AD110" s="49">
        <v>128.1</v>
      </c>
    </row>
    <row r="111" spans="1:30" x14ac:dyDescent="0.3">
      <c r="A111" s="49" t="s">
        <v>44</v>
      </c>
      <c r="B111" s="49">
        <v>2016</v>
      </c>
      <c r="C111" s="49" t="s">
        <v>42</v>
      </c>
      <c r="D111" s="49">
        <v>124.7</v>
      </c>
      <c r="E111" s="49">
        <v>135.9</v>
      </c>
      <c r="F111" s="49">
        <v>132</v>
      </c>
      <c r="G111" s="49">
        <v>129.19999999999999</v>
      </c>
      <c r="H111" s="49">
        <v>109.7</v>
      </c>
      <c r="I111" s="49">
        <v>119</v>
      </c>
      <c r="J111" s="49">
        <v>144.1</v>
      </c>
      <c r="K111" s="49">
        <v>184.2</v>
      </c>
      <c r="L111" s="49">
        <v>96.7</v>
      </c>
      <c r="M111" s="49">
        <v>139.5</v>
      </c>
      <c r="N111" s="49">
        <v>120.5</v>
      </c>
      <c r="O111" s="49">
        <v>134.69999999999999</v>
      </c>
      <c r="P111" s="49">
        <v>131.19999999999999</v>
      </c>
      <c r="Q111" s="49">
        <v>139.5</v>
      </c>
      <c r="R111" s="49">
        <v>125.8</v>
      </c>
      <c r="S111" s="49">
        <v>119.8</v>
      </c>
      <c r="T111" s="49">
        <v>124.9</v>
      </c>
      <c r="U111" s="49">
        <v>123.4</v>
      </c>
      <c r="V111" s="49">
        <v>116.9</v>
      </c>
      <c r="W111" s="49">
        <v>121.6</v>
      </c>
      <c r="X111" s="49">
        <v>119.1</v>
      </c>
      <c r="Y111" s="49">
        <v>108.9</v>
      </c>
      <c r="Z111" s="49">
        <v>118.5</v>
      </c>
      <c r="AA111" s="49">
        <v>126.4</v>
      </c>
      <c r="AB111" s="49">
        <v>114</v>
      </c>
      <c r="AC111" s="49">
        <v>116.8</v>
      </c>
      <c r="AD111" s="49">
        <v>124.2</v>
      </c>
    </row>
    <row r="112" spans="1:30" x14ac:dyDescent="0.3">
      <c r="A112" s="49" t="s">
        <v>30</v>
      </c>
      <c r="B112" s="49">
        <v>2016</v>
      </c>
      <c r="C112" s="49" t="s">
        <v>42</v>
      </c>
      <c r="D112" s="49">
        <v>126.1</v>
      </c>
      <c r="E112" s="49">
        <v>134.1</v>
      </c>
      <c r="F112" s="49">
        <v>128.6</v>
      </c>
      <c r="G112" s="49">
        <v>129.9</v>
      </c>
      <c r="H112" s="49">
        <v>115.5</v>
      </c>
      <c r="I112" s="49">
        <v>125.7</v>
      </c>
      <c r="J112" s="49">
        <v>141.5</v>
      </c>
      <c r="K112" s="49">
        <v>170.7</v>
      </c>
      <c r="L112" s="49">
        <v>97.4</v>
      </c>
      <c r="M112" s="49">
        <v>132.9</v>
      </c>
      <c r="N112" s="49">
        <v>122.7</v>
      </c>
      <c r="O112" s="49">
        <v>135.30000000000001</v>
      </c>
      <c r="P112" s="49">
        <v>131.30000000000001</v>
      </c>
      <c r="Q112" s="49">
        <v>135.19999999999999</v>
      </c>
      <c r="R112" s="49">
        <v>130.30000000000001</v>
      </c>
      <c r="S112" s="49">
        <v>125.1</v>
      </c>
      <c r="T112" s="49">
        <v>129.5</v>
      </c>
      <c r="U112" s="49">
        <v>123.4</v>
      </c>
      <c r="V112" s="49">
        <v>122.7</v>
      </c>
      <c r="W112" s="49">
        <v>124.2</v>
      </c>
      <c r="X112" s="49">
        <v>122</v>
      </c>
      <c r="Y112" s="49">
        <v>111.1</v>
      </c>
      <c r="Z112" s="49">
        <v>119.8</v>
      </c>
      <c r="AA112" s="49">
        <v>126.3</v>
      </c>
      <c r="AB112" s="49">
        <v>114.5</v>
      </c>
      <c r="AC112" s="49">
        <v>118.5</v>
      </c>
      <c r="AD112" s="49">
        <v>126.3</v>
      </c>
    </row>
    <row r="113" spans="1:30" x14ac:dyDescent="0.3">
      <c r="A113" s="49" t="s">
        <v>41</v>
      </c>
      <c r="B113" s="49">
        <v>2016</v>
      </c>
      <c r="C113" s="49" t="s">
        <v>45</v>
      </c>
      <c r="D113" s="49">
        <v>127.1</v>
      </c>
      <c r="E113" s="49">
        <v>133.69999999999999</v>
      </c>
      <c r="F113" s="49">
        <v>127.7</v>
      </c>
      <c r="G113" s="49">
        <v>130.69999999999999</v>
      </c>
      <c r="H113" s="49">
        <v>118.5</v>
      </c>
      <c r="I113" s="49">
        <v>130.4</v>
      </c>
      <c r="J113" s="49">
        <v>130.9</v>
      </c>
      <c r="K113" s="49">
        <v>162.80000000000001</v>
      </c>
      <c r="L113" s="49">
        <v>98.7</v>
      </c>
      <c r="M113" s="49">
        <v>130.6</v>
      </c>
      <c r="N113" s="49">
        <v>124.8</v>
      </c>
      <c r="O113" s="49">
        <v>136.4</v>
      </c>
      <c r="P113" s="49">
        <v>130.30000000000001</v>
      </c>
      <c r="Q113" s="49">
        <v>134.4</v>
      </c>
      <c r="R113" s="49">
        <v>133.9</v>
      </c>
      <c r="S113" s="49">
        <v>129.80000000000001</v>
      </c>
      <c r="T113" s="49">
        <v>133.4</v>
      </c>
      <c r="U113" s="49" t="s">
        <v>43</v>
      </c>
      <c r="V113" s="49">
        <v>127.5</v>
      </c>
      <c r="W113" s="49">
        <v>127.1</v>
      </c>
      <c r="X113" s="49">
        <v>124.3</v>
      </c>
      <c r="Y113" s="49">
        <v>113.9</v>
      </c>
      <c r="Z113" s="49">
        <v>122.3</v>
      </c>
      <c r="AA113" s="49">
        <v>127.1</v>
      </c>
      <c r="AB113" s="49">
        <v>116.8</v>
      </c>
      <c r="AC113" s="49">
        <v>120.9</v>
      </c>
      <c r="AD113" s="49">
        <v>127.9</v>
      </c>
    </row>
    <row r="114" spans="1:30" x14ac:dyDescent="0.3">
      <c r="A114" s="49" t="s">
        <v>44</v>
      </c>
      <c r="B114" s="49">
        <v>2016</v>
      </c>
      <c r="C114" s="49" t="s">
        <v>45</v>
      </c>
      <c r="D114" s="49">
        <v>124.8</v>
      </c>
      <c r="E114" s="49">
        <v>135.1</v>
      </c>
      <c r="F114" s="49">
        <v>130.30000000000001</v>
      </c>
      <c r="G114" s="49">
        <v>129.6</v>
      </c>
      <c r="H114" s="49">
        <v>108.4</v>
      </c>
      <c r="I114" s="49">
        <v>118.6</v>
      </c>
      <c r="J114" s="49">
        <v>129.19999999999999</v>
      </c>
      <c r="K114" s="49">
        <v>176.4</v>
      </c>
      <c r="L114" s="49">
        <v>99.1</v>
      </c>
      <c r="M114" s="49">
        <v>139.69999999999999</v>
      </c>
      <c r="N114" s="49">
        <v>120.6</v>
      </c>
      <c r="O114" s="49">
        <v>135.19999999999999</v>
      </c>
      <c r="P114" s="49">
        <v>129.1</v>
      </c>
      <c r="Q114" s="49">
        <v>140</v>
      </c>
      <c r="R114" s="49">
        <v>126.2</v>
      </c>
      <c r="S114" s="49">
        <v>120.1</v>
      </c>
      <c r="T114" s="49">
        <v>125.3</v>
      </c>
      <c r="U114" s="49">
        <v>124.4</v>
      </c>
      <c r="V114" s="49">
        <v>116</v>
      </c>
      <c r="W114" s="49">
        <v>121.8</v>
      </c>
      <c r="X114" s="49">
        <v>119.5</v>
      </c>
      <c r="Y114" s="49">
        <v>109.1</v>
      </c>
      <c r="Z114" s="49">
        <v>118.8</v>
      </c>
      <c r="AA114" s="49">
        <v>126.3</v>
      </c>
      <c r="AB114" s="49">
        <v>116.2</v>
      </c>
      <c r="AC114" s="49">
        <v>117.2</v>
      </c>
      <c r="AD114" s="49">
        <v>123.8</v>
      </c>
    </row>
    <row r="115" spans="1:30" x14ac:dyDescent="0.3">
      <c r="A115" s="49" t="s">
        <v>30</v>
      </c>
      <c r="B115" s="49">
        <v>2016</v>
      </c>
      <c r="C115" s="49" t="s">
        <v>45</v>
      </c>
      <c r="D115" s="49">
        <v>126.4</v>
      </c>
      <c r="E115" s="49">
        <v>134.19999999999999</v>
      </c>
      <c r="F115" s="49">
        <v>128.69999999999999</v>
      </c>
      <c r="G115" s="49">
        <v>130.30000000000001</v>
      </c>
      <c r="H115" s="49">
        <v>114.8</v>
      </c>
      <c r="I115" s="49">
        <v>124.9</v>
      </c>
      <c r="J115" s="49">
        <v>130.30000000000001</v>
      </c>
      <c r="K115" s="49">
        <v>167.4</v>
      </c>
      <c r="L115" s="49">
        <v>98.8</v>
      </c>
      <c r="M115" s="49">
        <v>133.6</v>
      </c>
      <c r="N115" s="49">
        <v>123</v>
      </c>
      <c r="O115" s="49">
        <v>135.80000000000001</v>
      </c>
      <c r="P115" s="49">
        <v>129.9</v>
      </c>
      <c r="Q115" s="49">
        <v>135.9</v>
      </c>
      <c r="R115" s="49">
        <v>130.9</v>
      </c>
      <c r="S115" s="49">
        <v>125.8</v>
      </c>
      <c r="T115" s="49">
        <v>130.19999999999999</v>
      </c>
      <c r="U115" s="49">
        <v>124.4</v>
      </c>
      <c r="V115" s="49">
        <v>123.1</v>
      </c>
      <c r="W115" s="49">
        <v>124.6</v>
      </c>
      <c r="X115" s="49">
        <v>122.5</v>
      </c>
      <c r="Y115" s="49">
        <v>111.4</v>
      </c>
      <c r="Z115" s="49">
        <v>120.3</v>
      </c>
      <c r="AA115" s="49">
        <v>126.6</v>
      </c>
      <c r="AB115" s="49">
        <v>116.6</v>
      </c>
      <c r="AC115" s="49">
        <v>119.1</v>
      </c>
      <c r="AD115" s="49">
        <v>126</v>
      </c>
    </row>
    <row r="116" spans="1:30" x14ac:dyDescent="0.3">
      <c r="A116" s="49" t="s">
        <v>41</v>
      </c>
      <c r="B116" s="49">
        <v>2016</v>
      </c>
      <c r="C116" s="49" t="s">
        <v>46</v>
      </c>
      <c r="D116" s="49">
        <v>127.3</v>
      </c>
      <c r="E116" s="49">
        <v>134.4</v>
      </c>
      <c r="F116" s="49">
        <v>125.1</v>
      </c>
      <c r="G116" s="49">
        <v>130.5</v>
      </c>
      <c r="H116" s="49">
        <v>118.3</v>
      </c>
      <c r="I116" s="49">
        <v>131.69999999999999</v>
      </c>
      <c r="J116" s="49">
        <v>130.69999999999999</v>
      </c>
      <c r="K116" s="49">
        <v>161.19999999999999</v>
      </c>
      <c r="L116" s="49">
        <v>100.4</v>
      </c>
      <c r="M116" s="49">
        <v>130.80000000000001</v>
      </c>
      <c r="N116" s="49">
        <v>124.9</v>
      </c>
      <c r="O116" s="49">
        <v>137</v>
      </c>
      <c r="P116" s="49">
        <v>130.4</v>
      </c>
      <c r="Q116" s="49">
        <v>135</v>
      </c>
      <c r="R116" s="49">
        <v>134.4</v>
      </c>
      <c r="S116" s="49">
        <v>130.19999999999999</v>
      </c>
      <c r="T116" s="49">
        <v>133.80000000000001</v>
      </c>
      <c r="U116" s="49" t="s">
        <v>43</v>
      </c>
      <c r="V116" s="49">
        <v>127</v>
      </c>
      <c r="W116" s="49">
        <v>127.7</v>
      </c>
      <c r="X116" s="49">
        <v>124.8</v>
      </c>
      <c r="Y116" s="49">
        <v>113.6</v>
      </c>
      <c r="Z116" s="49">
        <v>122.5</v>
      </c>
      <c r="AA116" s="49">
        <v>127.5</v>
      </c>
      <c r="AB116" s="49">
        <v>117.4</v>
      </c>
      <c r="AC116" s="49">
        <v>121.1</v>
      </c>
      <c r="AD116" s="49">
        <v>128</v>
      </c>
    </row>
    <row r="117" spans="1:30" x14ac:dyDescent="0.3">
      <c r="A117" s="49" t="s">
        <v>44</v>
      </c>
      <c r="B117" s="49">
        <v>2016</v>
      </c>
      <c r="C117" s="49" t="s">
        <v>46</v>
      </c>
      <c r="D117" s="49">
        <v>124.8</v>
      </c>
      <c r="E117" s="49">
        <v>136.30000000000001</v>
      </c>
      <c r="F117" s="49">
        <v>123.7</v>
      </c>
      <c r="G117" s="49">
        <v>129.69999999999999</v>
      </c>
      <c r="H117" s="49">
        <v>107.9</v>
      </c>
      <c r="I117" s="49">
        <v>119.9</v>
      </c>
      <c r="J117" s="49">
        <v>128.1</v>
      </c>
      <c r="K117" s="49">
        <v>170.3</v>
      </c>
      <c r="L117" s="49">
        <v>101.8</v>
      </c>
      <c r="M117" s="49">
        <v>140.1</v>
      </c>
      <c r="N117" s="49">
        <v>120.7</v>
      </c>
      <c r="O117" s="49">
        <v>135.4</v>
      </c>
      <c r="P117" s="49">
        <v>128.9</v>
      </c>
      <c r="Q117" s="49">
        <v>140.6</v>
      </c>
      <c r="R117" s="49">
        <v>126.4</v>
      </c>
      <c r="S117" s="49">
        <v>120.3</v>
      </c>
      <c r="T117" s="49">
        <v>125.5</v>
      </c>
      <c r="U117" s="49">
        <v>124.9</v>
      </c>
      <c r="V117" s="49">
        <v>114.8</v>
      </c>
      <c r="W117" s="49">
        <v>122.3</v>
      </c>
      <c r="X117" s="49">
        <v>119.7</v>
      </c>
      <c r="Y117" s="49">
        <v>108.5</v>
      </c>
      <c r="Z117" s="49">
        <v>119.1</v>
      </c>
      <c r="AA117" s="49">
        <v>126.4</v>
      </c>
      <c r="AB117" s="49">
        <v>117.1</v>
      </c>
      <c r="AC117" s="49">
        <v>117.3</v>
      </c>
      <c r="AD117" s="49">
        <v>123.8</v>
      </c>
    </row>
    <row r="118" spans="1:30" x14ac:dyDescent="0.3">
      <c r="A118" s="49" t="s">
        <v>30</v>
      </c>
      <c r="B118" s="49">
        <v>2016</v>
      </c>
      <c r="C118" s="49" t="s">
        <v>46</v>
      </c>
      <c r="D118" s="49">
        <v>126.5</v>
      </c>
      <c r="E118" s="49">
        <v>135.1</v>
      </c>
      <c r="F118" s="49">
        <v>124.6</v>
      </c>
      <c r="G118" s="49">
        <v>130.19999999999999</v>
      </c>
      <c r="H118" s="49">
        <v>114.5</v>
      </c>
      <c r="I118" s="49">
        <v>126.2</v>
      </c>
      <c r="J118" s="49">
        <v>129.80000000000001</v>
      </c>
      <c r="K118" s="49">
        <v>164.3</v>
      </c>
      <c r="L118" s="49">
        <v>100.9</v>
      </c>
      <c r="M118" s="49">
        <v>133.9</v>
      </c>
      <c r="N118" s="49">
        <v>123.1</v>
      </c>
      <c r="O118" s="49">
        <v>136.30000000000001</v>
      </c>
      <c r="P118" s="49">
        <v>129.80000000000001</v>
      </c>
      <c r="Q118" s="49">
        <v>136.5</v>
      </c>
      <c r="R118" s="49">
        <v>131.30000000000001</v>
      </c>
      <c r="S118" s="49">
        <v>126.1</v>
      </c>
      <c r="T118" s="49">
        <v>130.5</v>
      </c>
      <c r="U118" s="49">
        <v>124.9</v>
      </c>
      <c r="V118" s="49">
        <v>122.4</v>
      </c>
      <c r="W118" s="49">
        <v>125.1</v>
      </c>
      <c r="X118" s="49">
        <v>122.9</v>
      </c>
      <c r="Y118" s="49">
        <v>110.9</v>
      </c>
      <c r="Z118" s="49">
        <v>120.6</v>
      </c>
      <c r="AA118" s="49">
        <v>126.9</v>
      </c>
      <c r="AB118" s="49">
        <v>117.3</v>
      </c>
      <c r="AC118" s="49">
        <v>119.3</v>
      </c>
      <c r="AD118" s="49">
        <v>126</v>
      </c>
    </row>
    <row r="119" spans="1:30" x14ac:dyDescent="0.3">
      <c r="A119" s="49" t="s">
        <v>41</v>
      </c>
      <c r="B119" s="49">
        <v>2016</v>
      </c>
      <c r="C119" s="49" t="s">
        <v>47</v>
      </c>
      <c r="D119" s="49">
        <v>127.4</v>
      </c>
      <c r="E119" s="49">
        <v>135.4</v>
      </c>
      <c r="F119" s="49">
        <v>123.4</v>
      </c>
      <c r="G119" s="49">
        <v>131.30000000000001</v>
      </c>
      <c r="H119" s="49">
        <v>118.2</v>
      </c>
      <c r="I119" s="49">
        <v>138.1</v>
      </c>
      <c r="J119" s="49">
        <v>134.1</v>
      </c>
      <c r="K119" s="49">
        <v>162.69999999999999</v>
      </c>
      <c r="L119" s="49">
        <v>105</v>
      </c>
      <c r="M119" s="49">
        <v>131.4</v>
      </c>
      <c r="N119" s="49">
        <v>125.4</v>
      </c>
      <c r="O119" s="49">
        <v>137.4</v>
      </c>
      <c r="P119" s="49">
        <v>131.80000000000001</v>
      </c>
      <c r="Q119" s="49">
        <v>135.5</v>
      </c>
      <c r="R119" s="49">
        <v>135</v>
      </c>
      <c r="S119" s="49">
        <v>130.6</v>
      </c>
      <c r="T119" s="49">
        <v>134.4</v>
      </c>
      <c r="U119" s="49" t="s">
        <v>43</v>
      </c>
      <c r="V119" s="49">
        <v>127</v>
      </c>
      <c r="W119" s="49">
        <v>128</v>
      </c>
      <c r="X119" s="49">
        <v>125.2</v>
      </c>
      <c r="Y119" s="49">
        <v>114.4</v>
      </c>
      <c r="Z119" s="49">
        <v>123.2</v>
      </c>
      <c r="AA119" s="49">
        <v>127.9</v>
      </c>
      <c r="AB119" s="49">
        <v>118.4</v>
      </c>
      <c r="AC119" s="49">
        <v>121.7</v>
      </c>
      <c r="AD119" s="49">
        <v>129</v>
      </c>
    </row>
    <row r="120" spans="1:30" x14ac:dyDescent="0.3">
      <c r="A120" s="49" t="s">
        <v>44</v>
      </c>
      <c r="B120" s="49">
        <v>2016</v>
      </c>
      <c r="C120" s="49" t="s">
        <v>47</v>
      </c>
      <c r="D120" s="49">
        <v>124.9</v>
      </c>
      <c r="E120" s="49">
        <v>139.30000000000001</v>
      </c>
      <c r="F120" s="49">
        <v>119.9</v>
      </c>
      <c r="G120" s="49">
        <v>130.19999999999999</v>
      </c>
      <c r="H120" s="49">
        <v>108.9</v>
      </c>
      <c r="I120" s="49">
        <v>131.1</v>
      </c>
      <c r="J120" s="49">
        <v>136.80000000000001</v>
      </c>
      <c r="K120" s="49">
        <v>176.9</v>
      </c>
      <c r="L120" s="49">
        <v>109.1</v>
      </c>
      <c r="M120" s="49">
        <v>140.4</v>
      </c>
      <c r="N120" s="49">
        <v>121.1</v>
      </c>
      <c r="O120" s="49">
        <v>135.9</v>
      </c>
      <c r="P120" s="49">
        <v>131.80000000000001</v>
      </c>
      <c r="Q120" s="49">
        <v>141.5</v>
      </c>
      <c r="R120" s="49">
        <v>126.8</v>
      </c>
      <c r="S120" s="49">
        <v>120.5</v>
      </c>
      <c r="T120" s="49">
        <v>125.8</v>
      </c>
      <c r="U120" s="49">
        <v>125.6</v>
      </c>
      <c r="V120" s="49">
        <v>114.6</v>
      </c>
      <c r="W120" s="49">
        <v>122.8</v>
      </c>
      <c r="X120" s="49">
        <v>120</v>
      </c>
      <c r="Y120" s="49">
        <v>110</v>
      </c>
      <c r="Z120" s="49">
        <v>119.5</v>
      </c>
      <c r="AA120" s="49">
        <v>127.6</v>
      </c>
      <c r="AB120" s="49">
        <v>117.6</v>
      </c>
      <c r="AC120" s="49">
        <v>118.2</v>
      </c>
      <c r="AD120" s="49">
        <v>125.3</v>
      </c>
    </row>
    <row r="121" spans="1:30" x14ac:dyDescent="0.3">
      <c r="A121" s="49" t="s">
        <v>30</v>
      </c>
      <c r="B121" s="49">
        <v>2016</v>
      </c>
      <c r="C121" s="49" t="s">
        <v>47</v>
      </c>
      <c r="D121" s="49">
        <v>126.6</v>
      </c>
      <c r="E121" s="49">
        <v>136.80000000000001</v>
      </c>
      <c r="F121" s="49">
        <v>122</v>
      </c>
      <c r="G121" s="49">
        <v>130.9</v>
      </c>
      <c r="H121" s="49">
        <v>114.8</v>
      </c>
      <c r="I121" s="49">
        <v>134.80000000000001</v>
      </c>
      <c r="J121" s="49">
        <v>135</v>
      </c>
      <c r="K121" s="49">
        <v>167.5</v>
      </c>
      <c r="L121" s="49">
        <v>106.4</v>
      </c>
      <c r="M121" s="49">
        <v>134.4</v>
      </c>
      <c r="N121" s="49">
        <v>123.6</v>
      </c>
      <c r="O121" s="49">
        <v>136.69999999999999</v>
      </c>
      <c r="P121" s="49">
        <v>131.80000000000001</v>
      </c>
      <c r="Q121" s="49">
        <v>137.1</v>
      </c>
      <c r="R121" s="49">
        <v>131.80000000000001</v>
      </c>
      <c r="S121" s="49">
        <v>126.4</v>
      </c>
      <c r="T121" s="49">
        <v>131</v>
      </c>
      <c r="U121" s="49">
        <v>125.6</v>
      </c>
      <c r="V121" s="49">
        <v>122.3</v>
      </c>
      <c r="W121" s="49">
        <v>125.5</v>
      </c>
      <c r="X121" s="49">
        <v>123.2</v>
      </c>
      <c r="Y121" s="49">
        <v>112.1</v>
      </c>
      <c r="Z121" s="49">
        <v>121.1</v>
      </c>
      <c r="AA121" s="49">
        <v>127.7</v>
      </c>
      <c r="AB121" s="49">
        <v>118.1</v>
      </c>
      <c r="AC121" s="49">
        <v>120</v>
      </c>
      <c r="AD121" s="49">
        <v>127.3</v>
      </c>
    </row>
    <row r="122" spans="1:30" x14ac:dyDescent="0.3">
      <c r="A122" s="49" t="s">
        <v>41</v>
      </c>
      <c r="B122" s="49">
        <v>2016</v>
      </c>
      <c r="C122" s="49" t="s">
        <v>31</v>
      </c>
      <c r="D122" s="49">
        <v>127.6</v>
      </c>
      <c r="E122" s="49">
        <v>137.5</v>
      </c>
      <c r="F122" s="49">
        <v>124.4</v>
      </c>
      <c r="G122" s="49">
        <v>132.4</v>
      </c>
      <c r="H122" s="49">
        <v>118.2</v>
      </c>
      <c r="I122" s="49">
        <v>138.1</v>
      </c>
      <c r="J122" s="49">
        <v>141.80000000000001</v>
      </c>
      <c r="K122" s="49">
        <v>166</v>
      </c>
      <c r="L122" s="49">
        <v>107.5</v>
      </c>
      <c r="M122" s="49">
        <v>132.19999999999999</v>
      </c>
      <c r="N122" s="49">
        <v>126.1</v>
      </c>
      <c r="O122" s="49">
        <v>138.30000000000001</v>
      </c>
      <c r="P122" s="49">
        <v>133.6</v>
      </c>
      <c r="Q122" s="49">
        <v>136</v>
      </c>
      <c r="R122" s="49">
        <v>135.4</v>
      </c>
      <c r="S122" s="49">
        <v>131.1</v>
      </c>
      <c r="T122" s="49">
        <v>134.80000000000001</v>
      </c>
      <c r="U122" s="49" t="s">
        <v>43</v>
      </c>
      <c r="V122" s="49">
        <v>127.4</v>
      </c>
      <c r="W122" s="49">
        <v>128.5</v>
      </c>
      <c r="X122" s="49">
        <v>125.8</v>
      </c>
      <c r="Y122" s="49">
        <v>115.1</v>
      </c>
      <c r="Z122" s="49">
        <v>123.6</v>
      </c>
      <c r="AA122" s="49">
        <v>129.1</v>
      </c>
      <c r="AB122" s="49">
        <v>119.7</v>
      </c>
      <c r="AC122" s="49">
        <v>122.5</v>
      </c>
      <c r="AD122" s="49">
        <v>130.30000000000001</v>
      </c>
    </row>
    <row r="123" spans="1:30" x14ac:dyDescent="0.3">
      <c r="A123" s="49" t="s">
        <v>44</v>
      </c>
      <c r="B123" s="49">
        <v>2016</v>
      </c>
      <c r="C123" s="49" t="s">
        <v>31</v>
      </c>
      <c r="D123" s="49">
        <v>125</v>
      </c>
      <c r="E123" s="49">
        <v>142.1</v>
      </c>
      <c r="F123" s="49">
        <v>127</v>
      </c>
      <c r="G123" s="49">
        <v>130.4</v>
      </c>
      <c r="H123" s="49">
        <v>109.6</v>
      </c>
      <c r="I123" s="49">
        <v>133.5</v>
      </c>
      <c r="J123" s="49">
        <v>151.4</v>
      </c>
      <c r="K123" s="49">
        <v>182.8</v>
      </c>
      <c r="L123" s="49">
        <v>111.1</v>
      </c>
      <c r="M123" s="49">
        <v>141.5</v>
      </c>
      <c r="N123" s="49">
        <v>121.5</v>
      </c>
      <c r="O123" s="49">
        <v>136.30000000000001</v>
      </c>
      <c r="P123" s="49">
        <v>134.6</v>
      </c>
      <c r="Q123" s="49">
        <v>142.19999999999999</v>
      </c>
      <c r="R123" s="49">
        <v>127.2</v>
      </c>
      <c r="S123" s="49">
        <v>120.7</v>
      </c>
      <c r="T123" s="49">
        <v>126.2</v>
      </c>
      <c r="U123" s="49">
        <v>126</v>
      </c>
      <c r="V123" s="49">
        <v>115</v>
      </c>
      <c r="W123" s="49">
        <v>123.2</v>
      </c>
      <c r="X123" s="49">
        <v>120.3</v>
      </c>
      <c r="Y123" s="49">
        <v>110.7</v>
      </c>
      <c r="Z123" s="49">
        <v>119.8</v>
      </c>
      <c r="AA123" s="49">
        <v>128</v>
      </c>
      <c r="AB123" s="49">
        <v>118.5</v>
      </c>
      <c r="AC123" s="49">
        <v>118.7</v>
      </c>
      <c r="AD123" s="49">
        <v>126.6</v>
      </c>
    </row>
    <row r="124" spans="1:30" x14ac:dyDescent="0.3">
      <c r="A124" s="49" t="s">
        <v>30</v>
      </c>
      <c r="B124" s="49">
        <v>2016</v>
      </c>
      <c r="C124" s="49" t="s">
        <v>31</v>
      </c>
      <c r="D124" s="49">
        <v>126.8</v>
      </c>
      <c r="E124" s="49">
        <v>139.1</v>
      </c>
      <c r="F124" s="49">
        <v>125.4</v>
      </c>
      <c r="G124" s="49">
        <v>131.69999999999999</v>
      </c>
      <c r="H124" s="49">
        <v>115</v>
      </c>
      <c r="I124" s="49">
        <v>136</v>
      </c>
      <c r="J124" s="49">
        <v>145.1</v>
      </c>
      <c r="K124" s="49">
        <v>171.7</v>
      </c>
      <c r="L124" s="49">
        <v>108.7</v>
      </c>
      <c r="M124" s="49">
        <v>135.30000000000001</v>
      </c>
      <c r="N124" s="49">
        <v>124.2</v>
      </c>
      <c r="O124" s="49">
        <v>137.4</v>
      </c>
      <c r="P124" s="49">
        <v>134</v>
      </c>
      <c r="Q124" s="49">
        <v>137.69999999999999</v>
      </c>
      <c r="R124" s="49">
        <v>132.19999999999999</v>
      </c>
      <c r="S124" s="49">
        <v>126.8</v>
      </c>
      <c r="T124" s="49">
        <v>131.4</v>
      </c>
      <c r="U124" s="49">
        <v>126</v>
      </c>
      <c r="V124" s="49">
        <v>122.7</v>
      </c>
      <c r="W124" s="49">
        <v>126</v>
      </c>
      <c r="X124" s="49">
        <v>123.7</v>
      </c>
      <c r="Y124" s="49">
        <v>112.8</v>
      </c>
      <c r="Z124" s="49">
        <v>121.5</v>
      </c>
      <c r="AA124" s="49">
        <v>128.5</v>
      </c>
      <c r="AB124" s="49">
        <v>119.2</v>
      </c>
      <c r="AC124" s="49">
        <v>120.7</v>
      </c>
      <c r="AD124" s="49">
        <v>128.6</v>
      </c>
    </row>
    <row r="125" spans="1:30" x14ac:dyDescent="0.3">
      <c r="A125" s="49" t="s">
        <v>41</v>
      </c>
      <c r="B125" s="49">
        <v>2016</v>
      </c>
      <c r="C125" s="49" t="s">
        <v>48</v>
      </c>
      <c r="D125" s="49">
        <v>128.6</v>
      </c>
      <c r="E125" s="49">
        <v>138.6</v>
      </c>
      <c r="F125" s="49">
        <v>126.6</v>
      </c>
      <c r="G125" s="49">
        <v>133.6</v>
      </c>
      <c r="H125" s="49">
        <v>118.6</v>
      </c>
      <c r="I125" s="49">
        <v>137.4</v>
      </c>
      <c r="J125" s="49">
        <v>152.5</v>
      </c>
      <c r="K125" s="49">
        <v>169.2</v>
      </c>
      <c r="L125" s="49">
        <v>108.8</v>
      </c>
      <c r="M125" s="49">
        <v>133.1</v>
      </c>
      <c r="N125" s="49">
        <v>126.4</v>
      </c>
      <c r="O125" s="49">
        <v>139.19999999999999</v>
      </c>
      <c r="P125" s="49">
        <v>136</v>
      </c>
      <c r="Q125" s="49">
        <v>137.19999999999999</v>
      </c>
      <c r="R125" s="49">
        <v>136.30000000000001</v>
      </c>
      <c r="S125" s="49">
        <v>131.6</v>
      </c>
      <c r="T125" s="49">
        <v>135.6</v>
      </c>
      <c r="U125" s="49" t="s">
        <v>43</v>
      </c>
      <c r="V125" s="49">
        <v>128</v>
      </c>
      <c r="W125" s="49">
        <v>129.30000000000001</v>
      </c>
      <c r="X125" s="49">
        <v>126.2</v>
      </c>
      <c r="Y125" s="49">
        <v>116.3</v>
      </c>
      <c r="Z125" s="49">
        <v>124.1</v>
      </c>
      <c r="AA125" s="49">
        <v>130.19999999999999</v>
      </c>
      <c r="AB125" s="49">
        <v>119.9</v>
      </c>
      <c r="AC125" s="49">
        <v>123.3</v>
      </c>
      <c r="AD125" s="49">
        <v>131.9</v>
      </c>
    </row>
    <row r="126" spans="1:30" x14ac:dyDescent="0.3">
      <c r="A126" s="49" t="s">
        <v>44</v>
      </c>
      <c r="B126" s="49">
        <v>2016</v>
      </c>
      <c r="C126" s="49" t="s">
        <v>48</v>
      </c>
      <c r="D126" s="49">
        <v>125.9</v>
      </c>
      <c r="E126" s="49">
        <v>143.9</v>
      </c>
      <c r="F126" s="49">
        <v>130.9</v>
      </c>
      <c r="G126" s="49">
        <v>131</v>
      </c>
      <c r="H126" s="49">
        <v>110.2</v>
      </c>
      <c r="I126" s="49">
        <v>135.5</v>
      </c>
      <c r="J126" s="49">
        <v>173.7</v>
      </c>
      <c r="K126" s="49">
        <v>184.4</v>
      </c>
      <c r="L126" s="49">
        <v>112</v>
      </c>
      <c r="M126" s="49">
        <v>142.80000000000001</v>
      </c>
      <c r="N126" s="49">
        <v>121.6</v>
      </c>
      <c r="O126" s="49">
        <v>136.9</v>
      </c>
      <c r="P126" s="49">
        <v>138.19999999999999</v>
      </c>
      <c r="Q126" s="49">
        <v>142.69999999999999</v>
      </c>
      <c r="R126" s="49">
        <v>127.6</v>
      </c>
      <c r="S126" s="49">
        <v>121.1</v>
      </c>
      <c r="T126" s="49">
        <v>126.6</v>
      </c>
      <c r="U126" s="49">
        <v>125.5</v>
      </c>
      <c r="V126" s="49">
        <v>115.5</v>
      </c>
      <c r="W126" s="49">
        <v>123.2</v>
      </c>
      <c r="X126" s="49">
        <v>120.6</v>
      </c>
      <c r="Y126" s="49">
        <v>112.3</v>
      </c>
      <c r="Z126" s="49">
        <v>119.9</v>
      </c>
      <c r="AA126" s="49">
        <v>129.30000000000001</v>
      </c>
      <c r="AB126" s="49">
        <v>118.8</v>
      </c>
      <c r="AC126" s="49">
        <v>119.6</v>
      </c>
      <c r="AD126" s="49">
        <v>128.1</v>
      </c>
    </row>
    <row r="127" spans="1:30" x14ac:dyDescent="0.3">
      <c r="A127" s="49" t="s">
        <v>30</v>
      </c>
      <c r="B127" s="49">
        <v>2016</v>
      </c>
      <c r="C127" s="49" t="s">
        <v>48</v>
      </c>
      <c r="D127" s="49">
        <v>127.7</v>
      </c>
      <c r="E127" s="49">
        <v>140.5</v>
      </c>
      <c r="F127" s="49">
        <v>128.30000000000001</v>
      </c>
      <c r="G127" s="49">
        <v>132.6</v>
      </c>
      <c r="H127" s="49">
        <v>115.5</v>
      </c>
      <c r="I127" s="49">
        <v>136.5</v>
      </c>
      <c r="J127" s="49">
        <v>159.69999999999999</v>
      </c>
      <c r="K127" s="49">
        <v>174.3</v>
      </c>
      <c r="L127" s="49">
        <v>109.9</v>
      </c>
      <c r="M127" s="49">
        <v>136.30000000000001</v>
      </c>
      <c r="N127" s="49">
        <v>124.4</v>
      </c>
      <c r="O127" s="49">
        <v>138.1</v>
      </c>
      <c r="P127" s="49">
        <v>136.80000000000001</v>
      </c>
      <c r="Q127" s="49">
        <v>138.69999999999999</v>
      </c>
      <c r="R127" s="49">
        <v>132.9</v>
      </c>
      <c r="S127" s="49">
        <v>127.2</v>
      </c>
      <c r="T127" s="49">
        <v>132</v>
      </c>
      <c r="U127" s="49">
        <v>125.5</v>
      </c>
      <c r="V127" s="49">
        <v>123.3</v>
      </c>
      <c r="W127" s="49">
        <v>126.4</v>
      </c>
      <c r="X127" s="49">
        <v>124.1</v>
      </c>
      <c r="Y127" s="49">
        <v>114.2</v>
      </c>
      <c r="Z127" s="49">
        <v>121.7</v>
      </c>
      <c r="AA127" s="49">
        <v>129.69999999999999</v>
      </c>
      <c r="AB127" s="49">
        <v>119.4</v>
      </c>
      <c r="AC127" s="49">
        <v>121.5</v>
      </c>
      <c r="AD127" s="49">
        <v>130.1</v>
      </c>
    </row>
    <row r="128" spans="1:30" x14ac:dyDescent="0.3">
      <c r="A128" s="49" t="s">
        <v>41</v>
      </c>
      <c r="B128" s="49">
        <v>2016</v>
      </c>
      <c r="C128" s="49" t="s">
        <v>49</v>
      </c>
      <c r="D128" s="49">
        <v>129.30000000000001</v>
      </c>
      <c r="E128" s="49">
        <v>139.5</v>
      </c>
      <c r="F128" s="49">
        <v>129.6</v>
      </c>
      <c r="G128" s="49">
        <v>134.5</v>
      </c>
      <c r="H128" s="49">
        <v>119.5</v>
      </c>
      <c r="I128" s="49">
        <v>138.5</v>
      </c>
      <c r="J128" s="49">
        <v>158.19999999999999</v>
      </c>
      <c r="K128" s="49">
        <v>171.8</v>
      </c>
      <c r="L128" s="49">
        <v>110.3</v>
      </c>
      <c r="M128" s="49">
        <v>134.30000000000001</v>
      </c>
      <c r="N128" s="49">
        <v>127.3</v>
      </c>
      <c r="O128" s="49">
        <v>139.9</v>
      </c>
      <c r="P128" s="49">
        <v>137.6</v>
      </c>
      <c r="Q128" s="49">
        <v>138</v>
      </c>
      <c r="R128" s="49">
        <v>137.19999999999999</v>
      </c>
      <c r="S128" s="49">
        <v>132.19999999999999</v>
      </c>
      <c r="T128" s="49">
        <v>136.5</v>
      </c>
      <c r="U128" s="49" t="s">
        <v>43</v>
      </c>
      <c r="V128" s="49">
        <v>128.19999999999999</v>
      </c>
      <c r="W128" s="49">
        <v>130</v>
      </c>
      <c r="X128" s="49">
        <v>126.7</v>
      </c>
      <c r="Y128" s="49">
        <v>116.4</v>
      </c>
      <c r="Z128" s="49">
        <v>125.2</v>
      </c>
      <c r="AA128" s="49">
        <v>130.80000000000001</v>
      </c>
      <c r="AB128" s="49">
        <v>120.9</v>
      </c>
      <c r="AC128" s="49">
        <v>123.8</v>
      </c>
      <c r="AD128" s="49">
        <v>133</v>
      </c>
    </row>
    <row r="129" spans="1:30" x14ac:dyDescent="0.3">
      <c r="A129" s="49" t="s">
        <v>44</v>
      </c>
      <c r="B129" s="49">
        <v>2016</v>
      </c>
      <c r="C129" s="49" t="s">
        <v>49</v>
      </c>
      <c r="D129" s="49">
        <v>126.8</v>
      </c>
      <c r="E129" s="49">
        <v>144.19999999999999</v>
      </c>
      <c r="F129" s="49">
        <v>136.6</v>
      </c>
      <c r="G129" s="49">
        <v>131.80000000000001</v>
      </c>
      <c r="H129" s="49">
        <v>111</v>
      </c>
      <c r="I129" s="49">
        <v>137</v>
      </c>
      <c r="J129" s="49">
        <v>179.5</v>
      </c>
      <c r="K129" s="49">
        <v>188.4</v>
      </c>
      <c r="L129" s="49">
        <v>113.3</v>
      </c>
      <c r="M129" s="49">
        <v>143.9</v>
      </c>
      <c r="N129" s="49">
        <v>121.7</v>
      </c>
      <c r="O129" s="49">
        <v>137.5</v>
      </c>
      <c r="P129" s="49">
        <v>139.80000000000001</v>
      </c>
      <c r="Q129" s="49">
        <v>142.9</v>
      </c>
      <c r="R129" s="49">
        <v>127.9</v>
      </c>
      <c r="S129" s="49">
        <v>121.1</v>
      </c>
      <c r="T129" s="49">
        <v>126.9</v>
      </c>
      <c r="U129" s="49">
        <v>126.4</v>
      </c>
      <c r="V129" s="49">
        <v>115.5</v>
      </c>
      <c r="W129" s="49">
        <v>123.5</v>
      </c>
      <c r="X129" s="49">
        <v>120.9</v>
      </c>
      <c r="Y129" s="49">
        <v>111.7</v>
      </c>
      <c r="Z129" s="49">
        <v>120.3</v>
      </c>
      <c r="AA129" s="49">
        <v>130.80000000000001</v>
      </c>
      <c r="AB129" s="49">
        <v>120</v>
      </c>
      <c r="AC129" s="49">
        <v>119.9</v>
      </c>
      <c r="AD129" s="49">
        <v>129</v>
      </c>
    </row>
    <row r="130" spans="1:30" x14ac:dyDescent="0.3">
      <c r="A130" s="49" t="s">
        <v>30</v>
      </c>
      <c r="B130" s="49">
        <v>2016</v>
      </c>
      <c r="C130" s="49" t="s">
        <v>49</v>
      </c>
      <c r="D130" s="49">
        <v>128.5</v>
      </c>
      <c r="E130" s="49">
        <v>141.19999999999999</v>
      </c>
      <c r="F130" s="49">
        <v>132.30000000000001</v>
      </c>
      <c r="G130" s="49">
        <v>133.5</v>
      </c>
      <c r="H130" s="49">
        <v>116.4</v>
      </c>
      <c r="I130" s="49">
        <v>137.80000000000001</v>
      </c>
      <c r="J130" s="49">
        <v>165.4</v>
      </c>
      <c r="K130" s="49">
        <v>177.4</v>
      </c>
      <c r="L130" s="49">
        <v>111.3</v>
      </c>
      <c r="M130" s="49">
        <v>137.5</v>
      </c>
      <c r="N130" s="49">
        <v>125</v>
      </c>
      <c r="O130" s="49">
        <v>138.80000000000001</v>
      </c>
      <c r="P130" s="49">
        <v>138.4</v>
      </c>
      <c r="Q130" s="49">
        <v>139.30000000000001</v>
      </c>
      <c r="R130" s="49">
        <v>133.5</v>
      </c>
      <c r="S130" s="49">
        <v>127.6</v>
      </c>
      <c r="T130" s="49">
        <v>132.69999999999999</v>
      </c>
      <c r="U130" s="49">
        <v>126.4</v>
      </c>
      <c r="V130" s="49">
        <v>123.4</v>
      </c>
      <c r="W130" s="49">
        <v>126.9</v>
      </c>
      <c r="X130" s="49">
        <v>124.5</v>
      </c>
      <c r="Y130" s="49">
        <v>113.9</v>
      </c>
      <c r="Z130" s="49">
        <v>122.4</v>
      </c>
      <c r="AA130" s="49">
        <v>130.80000000000001</v>
      </c>
      <c r="AB130" s="49">
        <v>120.5</v>
      </c>
      <c r="AC130" s="49">
        <v>121.9</v>
      </c>
      <c r="AD130" s="49">
        <v>131.1</v>
      </c>
    </row>
    <row r="131" spans="1:30" x14ac:dyDescent="0.3">
      <c r="A131" s="49" t="s">
        <v>41</v>
      </c>
      <c r="B131" s="49">
        <v>2016</v>
      </c>
      <c r="C131" s="49" t="s">
        <v>50</v>
      </c>
      <c r="D131" s="49">
        <v>130.1</v>
      </c>
      <c r="E131" s="49">
        <v>138.80000000000001</v>
      </c>
      <c r="F131" s="49">
        <v>130.30000000000001</v>
      </c>
      <c r="G131" s="49">
        <v>135.30000000000001</v>
      </c>
      <c r="H131" s="49">
        <v>119.9</v>
      </c>
      <c r="I131" s="49">
        <v>140.19999999999999</v>
      </c>
      <c r="J131" s="49">
        <v>156.9</v>
      </c>
      <c r="K131" s="49">
        <v>172.2</v>
      </c>
      <c r="L131" s="49">
        <v>112.1</v>
      </c>
      <c r="M131" s="49">
        <v>134.9</v>
      </c>
      <c r="N131" s="49">
        <v>128.1</v>
      </c>
      <c r="O131" s="49">
        <v>140.69999999999999</v>
      </c>
      <c r="P131" s="49">
        <v>138</v>
      </c>
      <c r="Q131" s="49">
        <v>138.9</v>
      </c>
      <c r="R131" s="49">
        <v>137.80000000000001</v>
      </c>
      <c r="S131" s="49">
        <v>133</v>
      </c>
      <c r="T131" s="49">
        <v>137.1</v>
      </c>
      <c r="U131" s="49" t="s">
        <v>43</v>
      </c>
      <c r="V131" s="49">
        <v>129.1</v>
      </c>
      <c r="W131" s="49">
        <v>130.6</v>
      </c>
      <c r="X131" s="49">
        <v>127</v>
      </c>
      <c r="Y131" s="49">
        <v>116</v>
      </c>
      <c r="Z131" s="49">
        <v>125.5</v>
      </c>
      <c r="AA131" s="49">
        <v>131.9</v>
      </c>
      <c r="AB131" s="49">
        <v>122</v>
      </c>
      <c r="AC131" s="49">
        <v>124.2</v>
      </c>
      <c r="AD131" s="49">
        <v>133.5</v>
      </c>
    </row>
    <row r="132" spans="1:30" x14ac:dyDescent="0.3">
      <c r="A132" s="49" t="s">
        <v>44</v>
      </c>
      <c r="B132" s="49">
        <v>2016</v>
      </c>
      <c r="C132" s="49" t="s">
        <v>50</v>
      </c>
      <c r="D132" s="49">
        <v>127.6</v>
      </c>
      <c r="E132" s="49">
        <v>140.30000000000001</v>
      </c>
      <c r="F132" s="49">
        <v>133.69999999999999</v>
      </c>
      <c r="G132" s="49">
        <v>132.19999999999999</v>
      </c>
      <c r="H132" s="49">
        <v>111.8</v>
      </c>
      <c r="I132" s="49">
        <v>135.80000000000001</v>
      </c>
      <c r="J132" s="49">
        <v>163.5</v>
      </c>
      <c r="K132" s="49">
        <v>182.3</v>
      </c>
      <c r="L132" s="49">
        <v>114.6</v>
      </c>
      <c r="M132" s="49">
        <v>144.6</v>
      </c>
      <c r="N132" s="49">
        <v>121.9</v>
      </c>
      <c r="O132" s="49">
        <v>138.1</v>
      </c>
      <c r="P132" s="49">
        <v>137.6</v>
      </c>
      <c r="Q132" s="49">
        <v>143.6</v>
      </c>
      <c r="R132" s="49">
        <v>128.30000000000001</v>
      </c>
      <c r="S132" s="49">
        <v>121.4</v>
      </c>
      <c r="T132" s="49">
        <v>127.3</v>
      </c>
      <c r="U132" s="49">
        <v>127.3</v>
      </c>
      <c r="V132" s="49">
        <v>114.7</v>
      </c>
      <c r="W132" s="49">
        <v>123.9</v>
      </c>
      <c r="X132" s="49">
        <v>121.2</v>
      </c>
      <c r="Y132" s="49">
        <v>110.4</v>
      </c>
      <c r="Z132" s="49">
        <v>120.6</v>
      </c>
      <c r="AA132" s="49">
        <v>131.5</v>
      </c>
      <c r="AB132" s="49">
        <v>120.9</v>
      </c>
      <c r="AC132" s="49">
        <v>119.9</v>
      </c>
      <c r="AD132" s="49">
        <v>128.4</v>
      </c>
    </row>
    <row r="133" spans="1:30" x14ac:dyDescent="0.3">
      <c r="A133" s="49" t="s">
        <v>30</v>
      </c>
      <c r="B133" s="49">
        <v>2016</v>
      </c>
      <c r="C133" s="49" t="s">
        <v>50</v>
      </c>
      <c r="D133" s="49">
        <v>129.30000000000001</v>
      </c>
      <c r="E133" s="49">
        <v>139.30000000000001</v>
      </c>
      <c r="F133" s="49">
        <v>131.6</v>
      </c>
      <c r="G133" s="49">
        <v>134.1</v>
      </c>
      <c r="H133" s="49">
        <v>116.9</v>
      </c>
      <c r="I133" s="49">
        <v>138.1</v>
      </c>
      <c r="J133" s="49">
        <v>159.1</v>
      </c>
      <c r="K133" s="49">
        <v>175.6</v>
      </c>
      <c r="L133" s="49">
        <v>112.9</v>
      </c>
      <c r="M133" s="49">
        <v>138.1</v>
      </c>
      <c r="N133" s="49">
        <v>125.5</v>
      </c>
      <c r="O133" s="49">
        <v>139.5</v>
      </c>
      <c r="P133" s="49">
        <v>137.9</v>
      </c>
      <c r="Q133" s="49">
        <v>140.19999999999999</v>
      </c>
      <c r="R133" s="49">
        <v>134.1</v>
      </c>
      <c r="S133" s="49">
        <v>128.19999999999999</v>
      </c>
      <c r="T133" s="49">
        <v>133.19999999999999</v>
      </c>
      <c r="U133" s="49">
        <v>127.3</v>
      </c>
      <c r="V133" s="49">
        <v>123.6</v>
      </c>
      <c r="W133" s="49">
        <v>127.4</v>
      </c>
      <c r="X133" s="49">
        <v>124.8</v>
      </c>
      <c r="Y133" s="49">
        <v>113.1</v>
      </c>
      <c r="Z133" s="49">
        <v>122.7</v>
      </c>
      <c r="AA133" s="49">
        <v>131.69999999999999</v>
      </c>
      <c r="AB133" s="49">
        <v>121.5</v>
      </c>
      <c r="AC133" s="49">
        <v>122.1</v>
      </c>
      <c r="AD133" s="49">
        <v>131.1</v>
      </c>
    </row>
    <row r="134" spans="1:30" x14ac:dyDescent="0.3">
      <c r="A134" s="49" t="s">
        <v>41</v>
      </c>
      <c r="B134" s="49">
        <v>2016</v>
      </c>
      <c r="C134" s="49" t="s">
        <v>51</v>
      </c>
      <c r="D134" s="49">
        <v>130.80000000000001</v>
      </c>
      <c r="E134" s="49">
        <v>138.19999999999999</v>
      </c>
      <c r="F134" s="49">
        <v>130.5</v>
      </c>
      <c r="G134" s="49">
        <v>135.5</v>
      </c>
      <c r="H134" s="49">
        <v>120.2</v>
      </c>
      <c r="I134" s="49">
        <v>139.19999999999999</v>
      </c>
      <c r="J134" s="49">
        <v>149.5</v>
      </c>
      <c r="K134" s="49">
        <v>170.4</v>
      </c>
      <c r="L134" s="49">
        <v>113.1</v>
      </c>
      <c r="M134" s="49">
        <v>135.80000000000001</v>
      </c>
      <c r="N134" s="49">
        <v>128.80000000000001</v>
      </c>
      <c r="O134" s="49">
        <v>141.5</v>
      </c>
      <c r="P134" s="49">
        <v>137.19999999999999</v>
      </c>
      <c r="Q134" s="49">
        <v>139.9</v>
      </c>
      <c r="R134" s="49">
        <v>138.5</v>
      </c>
      <c r="S134" s="49">
        <v>133.5</v>
      </c>
      <c r="T134" s="49">
        <v>137.80000000000001</v>
      </c>
      <c r="U134" s="49" t="s">
        <v>43</v>
      </c>
      <c r="V134" s="49">
        <v>129.69999999999999</v>
      </c>
      <c r="W134" s="49">
        <v>131.1</v>
      </c>
      <c r="X134" s="49">
        <v>127.8</v>
      </c>
      <c r="Y134" s="49">
        <v>117</v>
      </c>
      <c r="Z134" s="49">
        <v>125.7</v>
      </c>
      <c r="AA134" s="49">
        <v>132.19999999999999</v>
      </c>
      <c r="AB134" s="49">
        <v>122.8</v>
      </c>
      <c r="AC134" s="49">
        <v>124.9</v>
      </c>
      <c r="AD134" s="49">
        <v>133.4</v>
      </c>
    </row>
    <row r="135" spans="1:30" x14ac:dyDescent="0.3">
      <c r="A135" s="49" t="s">
        <v>44</v>
      </c>
      <c r="B135" s="49">
        <v>2016</v>
      </c>
      <c r="C135" s="49" t="s">
        <v>51</v>
      </c>
      <c r="D135" s="49">
        <v>128.1</v>
      </c>
      <c r="E135" s="49">
        <v>137.69999999999999</v>
      </c>
      <c r="F135" s="49">
        <v>130.6</v>
      </c>
      <c r="G135" s="49">
        <v>132.6</v>
      </c>
      <c r="H135" s="49">
        <v>111.9</v>
      </c>
      <c r="I135" s="49">
        <v>132.5</v>
      </c>
      <c r="J135" s="49">
        <v>152.9</v>
      </c>
      <c r="K135" s="49">
        <v>173.6</v>
      </c>
      <c r="L135" s="49">
        <v>115.1</v>
      </c>
      <c r="M135" s="49">
        <v>144.80000000000001</v>
      </c>
      <c r="N135" s="49">
        <v>122.1</v>
      </c>
      <c r="O135" s="49">
        <v>138.80000000000001</v>
      </c>
      <c r="P135" s="49">
        <v>135.69999999999999</v>
      </c>
      <c r="Q135" s="49">
        <v>143.9</v>
      </c>
      <c r="R135" s="49">
        <v>128.69999999999999</v>
      </c>
      <c r="S135" s="49">
        <v>121.6</v>
      </c>
      <c r="T135" s="49">
        <v>127.7</v>
      </c>
      <c r="U135" s="49">
        <v>127.9</v>
      </c>
      <c r="V135" s="49">
        <v>114.8</v>
      </c>
      <c r="W135" s="49">
        <v>124.3</v>
      </c>
      <c r="X135" s="49">
        <v>121.4</v>
      </c>
      <c r="Y135" s="49">
        <v>111.8</v>
      </c>
      <c r="Z135" s="49">
        <v>120.8</v>
      </c>
      <c r="AA135" s="49">
        <v>131.6</v>
      </c>
      <c r="AB135" s="49">
        <v>121.2</v>
      </c>
      <c r="AC135" s="49">
        <v>120.5</v>
      </c>
      <c r="AD135" s="49">
        <v>128</v>
      </c>
    </row>
    <row r="136" spans="1:30" x14ac:dyDescent="0.3">
      <c r="A136" s="49" t="s">
        <v>30</v>
      </c>
      <c r="B136" s="49">
        <v>2016</v>
      </c>
      <c r="C136" s="49" t="s">
        <v>51</v>
      </c>
      <c r="D136" s="49">
        <v>129.9</v>
      </c>
      <c r="E136" s="49">
        <v>138</v>
      </c>
      <c r="F136" s="49">
        <v>130.5</v>
      </c>
      <c r="G136" s="49">
        <v>134.4</v>
      </c>
      <c r="H136" s="49">
        <v>117.2</v>
      </c>
      <c r="I136" s="49">
        <v>136.1</v>
      </c>
      <c r="J136" s="49">
        <v>150.69999999999999</v>
      </c>
      <c r="K136" s="49">
        <v>171.5</v>
      </c>
      <c r="L136" s="49">
        <v>113.8</v>
      </c>
      <c r="M136" s="49">
        <v>138.80000000000001</v>
      </c>
      <c r="N136" s="49">
        <v>126</v>
      </c>
      <c r="O136" s="49">
        <v>140.19999999999999</v>
      </c>
      <c r="P136" s="49">
        <v>136.6</v>
      </c>
      <c r="Q136" s="49">
        <v>141</v>
      </c>
      <c r="R136" s="49">
        <v>134.6</v>
      </c>
      <c r="S136" s="49">
        <v>128.6</v>
      </c>
      <c r="T136" s="49">
        <v>133.80000000000001</v>
      </c>
      <c r="U136" s="49">
        <v>127.9</v>
      </c>
      <c r="V136" s="49">
        <v>124.1</v>
      </c>
      <c r="W136" s="49">
        <v>127.9</v>
      </c>
      <c r="X136" s="49">
        <v>125.4</v>
      </c>
      <c r="Y136" s="49">
        <v>114.3</v>
      </c>
      <c r="Z136" s="49">
        <v>122.9</v>
      </c>
      <c r="AA136" s="49">
        <v>131.80000000000001</v>
      </c>
      <c r="AB136" s="49">
        <v>122.1</v>
      </c>
      <c r="AC136" s="49">
        <v>122.8</v>
      </c>
      <c r="AD136" s="49">
        <v>130.9</v>
      </c>
    </row>
    <row r="137" spans="1:30" x14ac:dyDescent="0.3">
      <c r="A137" s="49" t="s">
        <v>41</v>
      </c>
      <c r="B137" s="49">
        <v>2016</v>
      </c>
      <c r="C137" s="49" t="s">
        <v>52</v>
      </c>
      <c r="D137" s="49">
        <v>131.30000000000001</v>
      </c>
      <c r="E137" s="49">
        <v>137.6</v>
      </c>
      <c r="F137" s="49">
        <v>130.1</v>
      </c>
      <c r="G137" s="49">
        <v>136</v>
      </c>
      <c r="H137" s="49">
        <v>120.8</v>
      </c>
      <c r="I137" s="49">
        <v>138.4</v>
      </c>
      <c r="J137" s="49">
        <v>149.19999999999999</v>
      </c>
      <c r="K137" s="49">
        <v>170.2</v>
      </c>
      <c r="L137" s="49">
        <v>113.4</v>
      </c>
      <c r="M137" s="49">
        <v>136.30000000000001</v>
      </c>
      <c r="N137" s="49">
        <v>128.69999999999999</v>
      </c>
      <c r="O137" s="49">
        <v>142.4</v>
      </c>
      <c r="P137" s="49">
        <v>137.4</v>
      </c>
      <c r="Q137" s="49">
        <v>140.9</v>
      </c>
      <c r="R137" s="49">
        <v>139.6</v>
      </c>
      <c r="S137" s="49">
        <v>134.30000000000001</v>
      </c>
      <c r="T137" s="49">
        <v>138.80000000000001</v>
      </c>
      <c r="U137" s="49" t="s">
        <v>43</v>
      </c>
      <c r="V137" s="49">
        <v>129.80000000000001</v>
      </c>
      <c r="W137" s="49">
        <v>131.80000000000001</v>
      </c>
      <c r="X137" s="49">
        <v>128.69999999999999</v>
      </c>
      <c r="Y137" s="49">
        <v>117.8</v>
      </c>
      <c r="Z137" s="49">
        <v>126.5</v>
      </c>
      <c r="AA137" s="49">
        <v>133</v>
      </c>
      <c r="AB137" s="49">
        <v>123</v>
      </c>
      <c r="AC137" s="49">
        <v>125.7</v>
      </c>
      <c r="AD137" s="49">
        <v>133.80000000000001</v>
      </c>
    </row>
    <row r="138" spans="1:30" x14ac:dyDescent="0.3">
      <c r="A138" s="49" t="s">
        <v>44</v>
      </c>
      <c r="B138" s="49">
        <v>2016</v>
      </c>
      <c r="C138" s="49" t="s">
        <v>52</v>
      </c>
      <c r="D138" s="49">
        <v>128.69999999999999</v>
      </c>
      <c r="E138" s="49">
        <v>138.4</v>
      </c>
      <c r="F138" s="49">
        <v>130.30000000000001</v>
      </c>
      <c r="G138" s="49">
        <v>132.69999999999999</v>
      </c>
      <c r="H138" s="49">
        <v>112.5</v>
      </c>
      <c r="I138" s="49">
        <v>130.4</v>
      </c>
      <c r="J138" s="49">
        <v>155.1</v>
      </c>
      <c r="K138" s="49">
        <v>175.7</v>
      </c>
      <c r="L138" s="49">
        <v>115.4</v>
      </c>
      <c r="M138" s="49">
        <v>145.30000000000001</v>
      </c>
      <c r="N138" s="49">
        <v>122.5</v>
      </c>
      <c r="O138" s="49">
        <v>139.6</v>
      </c>
      <c r="P138" s="49">
        <v>136.30000000000001</v>
      </c>
      <c r="Q138" s="49">
        <v>144.30000000000001</v>
      </c>
      <c r="R138" s="49">
        <v>129.1</v>
      </c>
      <c r="S138" s="49">
        <v>121.9</v>
      </c>
      <c r="T138" s="49">
        <v>128</v>
      </c>
      <c r="U138" s="49">
        <v>128.69999999999999</v>
      </c>
      <c r="V138" s="49">
        <v>115.2</v>
      </c>
      <c r="W138" s="49">
        <v>124.5</v>
      </c>
      <c r="X138" s="49">
        <v>121.8</v>
      </c>
      <c r="Y138" s="49">
        <v>112.8</v>
      </c>
      <c r="Z138" s="49">
        <v>121.2</v>
      </c>
      <c r="AA138" s="49">
        <v>131.9</v>
      </c>
      <c r="AB138" s="49">
        <v>120.8</v>
      </c>
      <c r="AC138" s="49">
        <v>120.9</v>
      </c>
      <c r="AD138" s="49">
        <v>128.6</v>
      </c>
    </row>
    <row r="139" spans="1:30" x14ac:dyDescent="0.3">
      <c r="A139" s="49" t="s">
        <v>30</v>
      </c>
      <c r="B139" s="49">
        <v>2016</v>
      </c>
      <c r="C139" s="49" t="s">
        <v>52</v>
      </c>
      <c r="D139" s="49">
        <v>130.5</v>
      </c>
      <c r="E139" s="49">
        <v>137.9</v>
      </c>
      <c r="F139" s="49">
        <v>130.19999999999999</v>
      </c>
      <c r="G139" s="49">
        <v>134.80000000000001</v>
      </c>
      <c r="H139" s="49">
        <v>117.8</v>
      </c>
      <c r="I139" s="49">
        <v>134.69999999999999</v>
      </c>
      <c r="J139" s="49">
        <v>151.19999999999999</v>
      </c>
      <c r="K139" s="49">
        <v>172.1</v>
      </c>
      <c r="L139" s="49">
        <v>114.1</v>
      </c>
      <c r="M139" s="49">
        <v>139.30000000000001</v>
      </c>
      <c r="N139" s="49">
        <v>126.1</v>
      </c>
      <c r="O139" s="49">
        <v>141.1</v>
      </c>
      <c r="P139" s="49">
        <v>137</v>
      </c>
      <c r="Q139" s="49">
        <v>141.80000000000001</v>
      </c>
      <c r="R139" s="49">
        <v>135.5</v>
      </c>
      <c r="S139" s="49">
        <v>129.1</v>
      </c>
      <c r="T139" s="49">
        <v>134.5</v>
      </c>
      <c r="U139" s="49">
        <v>128.69999999999999</v>
      </c>
      <c r="V139" s="49">
        <v>124.3</v>
      </c>
      <c r="W139" s="49">
        <v>128.4</v>
      </c>
      <c r="X139" s="49">
        <v>126.1</v>
      </c>
      <c r="Y139" s="49">
        <v>115.2</v>
      </c>
      <c r="Z139" s="49">
        <v>123.5</v>
      </c>
      <c r="AA139" s="49">
        <v>132.4</v>
      </c>
      <c r="AB139" s="49">
        <v>122.1</v>
      </c>
      <c r="AC139" s="49">
        <v>123.4</v>
      </c>
      <c r="AD139" s="49">
        <v>131.4</v>
      </c>
    </row>
    <row r="140" spans="1:30" x14ac:dyDescent="0.3">
      <c r="A140" s="49" t="s">
        <v>41</v>
      </c>
      <c r="B140" s="49">
        <v>2016</v>
      </c>
      <c r="C140" s="49" t="s">
        <v>54</v>
      </c>
      <c r="D140" s="49">
        <v>132</v>
      </c>
      <c r="E140" s="49">
        <v>137.4</v>
      </c>
      <c r="F140" s="49">
        <v>130.6</v>
      </c>
      <c r="G140" s="49">
        <v>136.19999999999999</v>
      </c>
      <c r="H140" s="49">
        <v>121.1</v>
      </c>
      <c r="I140" s="49">
        <v>136.9</v>
      </c>
      <c r="J140" s="49">
        <v>141.80000000000001</v>
      </c>
      <c r="K140" s="49">
        <v>170</v>
      </c>
      <c r="L140" s="49">
        <v>113.4</v>
      </c>
      <c r="M140" s="49">
        <v>136.80000000000001</v>
      </c>
      <c r="N140" s="49">
        <v>128.69999999999999</v>
      </c>
      <c r="O140" s="49">
        <v>143.1</v>
      </c>
      <c r="P140" s="49">
        <v>136.6</v>
      </c>
      <c r="Q140" s="49">
        <v>141.19999999999999</v>
      </c>
      <c r="R140" s="49">
        <v>139.9</v>
      </c>
      <c r="S140" s="49">
        <v>134.5</v>
      </c>
      <c r="T140" s="49">
        <v>139.19999999999999</v>
      </c>
      <c r="U140" s="49" t="s">
        <v>43</v>
      </c>
      <c r="V140" s="49">
        <v>130.30000000000001</v>
      </c>
      <c r="W140" s="49">
        <v>132.1</v>
      </c>
      <c r="X140" s="49">
        <v>129.1</v>
      </c>
      <c r="Y140" s="49">
        <v>118.2</v>
      </c>
      <c r="Z140" s="49">
        <v>126.9</v>
      </c>
      <c r="AA140" s="49">
        <v>133.69999999999999</v>
      </c>
      <c r="AB140" s="49">
        <v>123.5</v>
      </c>
      <c r="AC140" s="49">
        <v>126.1</v>
      </c>
      <c r="AD140" s="49">
        <v>133.6</v>
      </c>
    </row>
    <row r="141" spans="1:30" x14ac:dyDescent="0.3">
      <c r="A141" s="49" t="s">
        <v>44</v>
      </c>
      <c r="B141" s="49">
        <v>2016</v>
      </c>
      <c r="C141" s="49" t="s">
        <v>54</v>
      </c>
      <c r="D141" s="49">
        <v>130.19999999999999</v>
      </c>
      <c r="E141" s="49">
        <v>138.5</v>
      </c>
      <c r="F141" s="49">
        <v>134.1</v>
      </c>
      <c r="G141" s="49">
        <v>132.9</v>
      </c>
      <c r="H141" s="49">
        <v>112.6</v>
      </c>
      <c r="I141" s="49">
        <v>130.80000000000001</v>
      </c>
      <c r="J141" s="49">
        <v>142</v>
      </c>
      <c r="K141" s="49">
        <v>174.9</v>
      </c>
      <c r="L141" s="49">
        <v>115.6</v>
      </c>
      <c r="M141" s="49">
        <v>145.4</v>
      </c>
      <c r="N141" s="49">
        <v>122.7</v>
      </c>
      <c r="O141" s="49">
        <v>140.30000000000001</v>
      </c>
      <c r="P141" s="49">
        <v>135.19999999999999</v>
      </c>
      <c r="Q141" s="49">
        <v>144.30000000000001</v>
      </c>
      <c r="R141" s="49">
        <v>129.6</v>
      </c>
      <c r="S141" s="49">
        <v>122.1</v>
      </c>
      <c r="T141" s="49">
        <v>128.5</v>
      </c>
      <c r="U141" s="49">
        <v>129.1</v>
      </c>
      <c r="V141" s="49">
        <v>116.2</v>
      </c>
      <c r="W141" s="49">
        <v>124.7</v>
      </c>
      <c r="X141" s="49">
        <v>122.1</v>
      </c>
      <c r="Y141" s="49">
        <v>113.4</v>
      </c>
      <c r="Z141" s="49">
        <v>121.7</v>
      </c>
      <c r="AA141" s="49">
        <v>132.1</v>
      </c>
      <c r="AB141" s="49">
        <v>121.3</v>
      </c>
      <c r="AC141" s="49">
        <v>121.3</v>
      </c>
      <c r="AD141" s="49">
        <v>128.5</v>
      </c>
    </row>
    <row r="142" spans="1:30" x14ac:dyDescent="0.3">
      <c r="A142" s="49" t="s">
        <v>30</v>
      </c>
      <c r="B142" s="49">
        <v>2016</v>
      </c>
      <c r="C142" s="49" t="s">
        <v>54</v>
      </c>
      <c r="D142" s="49">
        <v>131.4</v>
      </c>
      <c r="E142" s="49">
        <v>137.80000000000001</v>
      </c>
      <c r="F142" s="49">
        <v>132</v>
      </c>
      <c r="G142" s="49">
        <v>135</v>
      </c>
      <c r="H142" s="49">
        <v>118</v>
      </c>
      <c r="I142" s="49">
        <v>134.1</v>
      </c>
      <c r="J142" s="49">
        <v>141.9</v>
      </c>
      <c r="K142" s="49">
        <v>171.7</v>
      </c>
      <c r="L142" s="49">
        <v>114.1</v>
      </c>
      <c r="M142" s="49">
        <v>139.69999999999999</v>
      </c>
      <c r="N142" s="49">
        <v>126.2</v>
      </c>
      <c r="O142" s="49">
        <v>141.80000000000001</v>
      </c>
      <c r="P142" s="49">
        <v>136.1</v>
      </c>
      <c r="Q142" s="49">
        <v>142</v>
      </c>
      <c r="R142" s="49">
        <v>135.80000000000001</v>
      </c>
      <c r="S142" s="49">
        <v>129.30000000000001</v>
      </c>
      <c r="T142" s="49">
        <v>135</v>
      </c>
      <c r="U142" s="49">
        <v>129.1</v>
      </c>
      <c r="V142" s="49">
        <v>125</v>
      </c>
      <c r="W142" s="49">
        <v>128.6</v>
      </c>
      <c r="X142" s="49">
        <v>126.4</v>
      </c>
      <c r="Y142" s="49">
        <v>115.7</v>
      </c>
      <c r="Z142" s="49">
        <v>124</v>
      </c>
      <c r="AA142" s="49">
        <v>132.80000000000001</v>
      </c>
      <c r="AB142" s="49">
        <v>122.6</v>
      </c>
      <c r="AC142" s="49">
        <v>123.8</v>
      </c>
      <c r="AD142" s="49">
        <v>131.19999999999999</v>
      </c>
    </row>
    <row r="143" spans="1:30" x14ac:dyDescent="0.3">
      <c r="A143" s="49" t="s">
        <v>41</v>
      </c>
      <c r="B143" s="49">
        <v>2016</v>
      </c>
      <c r="C143" s="49" t="s">
        <v>55</v>
      </c>
      <c r="D143" s="49">
        <v>132.6</v>
      </c>
      <c r="E143" s="49">
        <v>137.30000000000001</v>
      </c>
      <c r="F143" s="49">
        <v>131.6</v>
      </c>
      <c r="G143" s="49">
        <v>136.30000000000001</v>
      </c>
      <c r="H143" s="49">
        <v>121.6</v>
      </c>
      <c r="I143" s="49">
        <v>135.6</v>
      </c>
      <c r="J143" s="49">
        <v>127.5</v>
      </c>
      <c r="K143" s="49">
        <v>167.9</v>
      </c>
      <c r="L143" s="49">
        <v>113.8</v>
      </c>
      <c r="M143" s="49">
        <v>137.5</v>
      </c>
      <c r="N143" s="49">
        <v>129.1</v>
      </c>
      <c r="O143" s="49">
        <v>143.6</v>
      </c>
      <c r="P143" s="49">
        <v>134.69999999999999</v>
      </c>
      <c r="Q143" s="49">
        <v>142.4</v>
      </c>
      <c r="R143" s="49">
        <v>140.4</v>
      </c>
      <c r="S143" s="49">
        <v>135.19999999999999</v>
      </c>
      <c r="T143" s="49">
        <v>139.69999999999999</v>
      </c>
      <c r="U143" s="49" t="s">
        <v>43</v>
      </c>
      <c r="V143" s="49">
        <v>132</v>
      </c>
      <c r="W143" s="49">
        <v>132.9</v>
      </c>
      <c r="X143" s="49">
        <v>129.69999999999999</v>
      </c>
      <c r="Y143" s="49">
        <v>118.6</v>
      </c>
      <c r="Z143" s="49">
        <v>127.3</v>
      </c>
      <c r="AA143" s="49">
        <v>134.19999999999999</v>
      </c>
      <c r="AB143" s="49">
        <v>121.9</v>
      </c>
      <c r="AC143" s="49">
        <v>126.3</v>
      </c>
      <c r="AD143" s="49">
        <v>132.80000000000001</v>
      </c>
    </row>
    <row r="144" spans="1:30" x14ac:dyDescent="0.3">
      <c r="A144" s="49" t="s">
        <v>44</v>
      </c>
      <c r="B144" s="49">
        <v>2016</v>
      </c>
      <c r="C144" s="49" t="s">
        <v>55</v>
      </c>
      <c r="D144" s="49">
        <v>131.6</v>
      </c>
      <c r="E144" s="49">
        <v>138.19999999999999</v>
      </c>
      <c r="F144" s="49">
        <v>134.9</v>
      </c>
      <c r="G144" s="49">
        <v>133.1</v>
      </c>
      <c r="H144" s="49">
        <v>113.5</v>
      </c>
      <c r="I144" s="49">
        <v>129.30000000000001</v>
      </c>
      <c r="J144" s="49">
        <v>121.1</v>
      </c>
      <c r="K144" s="49">
        <v>170.3</v>
      </c>
      <c r="L144" s="49">
        <v>115.5</v>
      </c>
      <c r="M144" s="49">
        <v>145.5</v>
      </c>
      <c r="N144" s="49">
        <v>123.1</v>
      </c>
      <c r="O144" s="49">
        <v>140.9</v>
      </c>
      <c r="P144" s="49">
        <v>132.80000000000001</v>
      </c>
      <c r="Q144" s="49">
        <v>145</v>
      </c>
      <c r="R144" s="49">
        <v>130</v>
      </c>
      <c r="S144" s="49">
        <v>122.2</v>
      </c>
      <c r="T144" s="49">
        <v>128.80000000000001</v>
      </c>
      <c r="U144" s="49">
        <v>128.5</v>
      </c>
      <c r="V144" s="49">
        <v>117.8</v>
      </c>
      <c r="W144" s="49">
        <v>125</v>
      </c>
      <c r="X144" s="49">
        <v>122.3</v>
      </c>
      <c r="Y144" s="49">
        <v>113.7</v>
      </c>
      <c r="Z144" s="49">
        <v>121.8</v>
      </c>
      <c r="AA144" s="49">
        <v>132.30000000000001</v>
      </c>
      <c r="AB144" s="49">
        <v>119.9</v>
      </c>
      <c r="AC144" s="49">
        <v>121.4</v>
      </c>
      <c r="AD144" s="49">
        <v>127.6</v>
      </c>
    </row>
    <row r="145" spans="1:30" x14ac:dyDescent="0.3">
      <c r="A145" s="49" t="s">
        <v>30</v>
      </c>
      <c r="B145" s="49">
        <v>2016</v>
      </c>
      <c r="C145" s="49" t="s">
        <v>55</v>
      </c>
      <c r="D145" s="49">
        <v>132.30000000000001</v>
      </c>
      <c r="E145" s="49">
        <v>137.6</v>
      </c>
      <c r="F145" s="49">
        <v>132.9</v>
      </c>
      <c r="G145" s="49">
        <v>135.1</v>
      </c>
      <c r="H145" s="49">
        <v>118.6</v>
      </c>
      <c r="I145" s="49">
        <v>132.69999999999999</v>
      </c>
      <c r="J145" s="49">
        <v>125.3</v>
      </c>
      <c r="K145" s="49">
        <v>168.7</v>
      </c>
      <c r="L145" s="49">
        <v>114.4</v>
      </c>
      <c r="M145" s="49">
        <v>140.19999999999999</v>
      </c>
      <c r="N145" s="49">
        <v>126.6</v>
      </c>
      <c r="O145" s="49">
        <v>142.30000000000001</v>
      </c>
      <c r="P145" s="49">
        <v>134</v>
      </c>
      <c r="Q145" s="49">
        <v>143.1</v>
      </c>
      <c r="R145" s="49">
        <v>136.30000000000001</v>
      </c>
      <c r="S145" s="49">
        <v>129.80000000000001</v>
      </c>
      <c r="T145" s="49">
        <v>135.4</v>
      </c>
      <c r="U145" s="49">
        <v>128.5</v>
      </c>
      <c r="V145" s="49">
        <v>126.6</v>
      </c>
      <c r="W145" s="49">
        <v>129.19999999999999</v>
      </c>
      <c r="X145" s="49">
        <v>126.9</v>
      </c>
      <c r="Y145" s="49">
        <v>116</v>
      </c>
      <c r="Z145" s="49">
        <v>124.2</v>
      </c>
      <c r="AA145" s="49">
        <v>133.1</v>
      </c>
      <c r="AB145" s="49">
        <v>121.1</v>
      </c>
      <c r="AC145" s="49">
        <v>123.9</v>
      </c>
      <c r="AD145" s="49">
        <v>130.4</v>
      </c>
    </row>
    <row r="146" spans="1:30" x14ac:dyDescent="0.3">
      <c r="A146" s="49" t="s">
        <v>41</v>
      </c>
      <c r="B146" s="49">
        <v>2017</v>
      </c>
      <c r="C146" s="49" t="s">
        <v>42</v>
      </c>
      <c r="D146" s="49">
        <v>133.1</v>
      </c>
      <c r="E146" s="49">
        <v>137.80000000000001</v>
      </c>
      <c r="F146" s="49">
        <v>131.9</v>
      </c>
      <c r="G146" s="49">
        <v>136.69999999999999</v>
      </c>
      <c r="H146" s="49">
        <v>122</v>
      </c>
      <c r="I146" s="49">
        <v>136</v>
      </c>
      <c r="J146" s="49">
        <v>119.8</v>
      </c>
      <c r="K146" s="49">
        <v>161.69999999999999</v>
      </c>
      <c r="L146" s="49">
        <v>114.8</v>
      </c>
      <c r="M146" s="49">
        <v>136.9</v>
      </c>
      <c r="N146" s="49">
        <v>129</v>
      </c>
      <c r="O146" s="49">
        <v>143.9</v>
      </c>
      <c r="P146" s="49">
        <v>133.69999999999999</v>
      </c>
      <c r="Q146" s="49">
        <v>143.1</v>
      </c>
      <c r="R146" s="49">
        <v>140.69999999999999</v>
      </c>
      <c r="S146" s="49">
        <v>135.80000000000001</v>
      </c>
      <c r="T146" s="49">
        <v>140</v>
      </c>
      <c r="U146" s="49" t="s">
        <v>43</v>
      </c>
      <c r="V146" s="49">
        <v>132.1</v>
      </c>
      <c r="W146" s="49">
        <v>133.19999999999999</v>
      </c>
      <c r="X146" s="49">
        <v>129.9</v>
      </c>
      <c r="Y146" s="49">
        <v>119.1</v>
      </c>
      <c r="Z146" s="49">
        <v>127</v>
      </c>
      <c r="AA146" s="49">
        <v>134.6</v>
      </c>
      <c r="AB146" s="49">
        <v>122.3</v>
      </c>
      <c r="AC146" s="49">
        <v>126.6</v>
      </c>
      <c r="AD146" s="49">
        <v>132.4</v>
      </c>
    </row>
    <row r="147" spans="1:30" x14ac:dyDescent="0.3">
      <c r="A147" s="49" t="s">
        <v>44</v>
      </c>
      <c r="B147" s="49">
        <v>2017</v>
      </c>
      <c r="C147" s="49" t="s">
        <v>42</v>
      </c>
      <c r="D147" s="49">
        <v>132.19999999999999</v>
      </c>
      <c r="E147" s="49">
        <v>138.9</v>
      </c>
      <c r="F147" s="49">
        <v>132.6</v>
      </c>
      <c r="G147" s="49">
        <v>133.1</v>
      </c>
      <c r="H147" s="49">
        <v>114</v>
      </c>
      <c r="I147" s="49">
        <v>129.6</v>
      </c>
      <c r="J147" s="49">
        <v>118.7</v>
      </c>
      <c r="K147" s="49">
        <v>155.1</v>
      </c>
      <c r="L147" s="49">
        <v>117.3</v>
      </c>
      <c r="M147" s="49">
        <v>144.9</v>
      </c>
      <c r="N147" s="49">
        <v>123.2</v>
      </c>
      <c r="O147" s="49">
        <v>141.6</v>
      </c>
      <c r="P147" s="49">
        <v>132</v>
      </c>
      <c r="Q147" s="49">
        <v>145.6</v>
      </c>
      <c r="R147" s="49">
        <v>130.19999999999999</v>
      </c>
      <c r="S147" s="49">
        <v>122.3</v>
      </c>
      <c r="T147" s="49">
        <v>129</v>
      </c>
      <c r="U147" s="49">
        <v>129.6</v>
      </c>
      <c r="V147" s="49">
        <v>118</v>
      </c>
      <c r="W147" s="49">
        <v>125.1</v>
      </c>
      <c r="X147" s="49">
        <v>122.6</v>
      </c>
      <c r="Y147" s="49">
        <v>115.2</v>
      </c>
      <c r="Z147" s="49">
        <v>122</v>
      </c>
      <c r="AA147" s="49">
        <v>132.4</v>
      </c>
      <c r="AB147" s="49">
        <v>120.9</v>
      </c>
      <c r="AC147" s="49">
        <v>122.1</v>
      </c>
      <c r="AD147" s="49">
        <v>127.8</v>
      </c>
    </row>
    <row r="148" spans="1:30" x14ac:dyDescent="0.3">
      <c r="A148" s="49" t="s">
        <v>30</v>
      </c>
      <c r="B148" s="49">
        <v>2017</v>
      </c>
      <c r="C148" s="49" t="s">
        <v>42</v>
      </c>
      <c r="D148" s="49">
        <v>132.80000000000001</v>
      </c>
      <c r="E148" s="49">
        <v>138.19999999999999</v>
      </c>
      <c r="F148" s="49">
        <v>132.19999999999999</v>
      </c>
      <c r="G148" s="49">
        <v>135.4</v>
      </c>
      <c r="H148" s="49">
        <v>119.1</v>
      </c>
      <c r="I148" s="49">
        <v>133</v>
      </c>
      <c r="J148" s="49">
        <v>119.4</v>
      </c>
      <c r="K148" s="49">
        <v>159.5</v>
      </c>
      <c r="L148" s="49">
        <v>115.6</v>
      </c>
      <c r="M148" s="49">
        <v>139.6</v>
      </c>
      <c r="N148" s="49">
        <v>126.6</v>
      </c>
      <c r="O148" s="49">
        <v>142.80000000000001</v>
      </c>
      <c r="P148" s="49">
        <v>133.1</v>
      </c>
      <c r="Q148" s="49">
        <v>143.80000000000001</v>
      </c>
      <c r="R148" s="49">
        <v>136.6</v>
      </c>
      <c r="S148" s="49">
        <v>130.19999999999999</v>
      </c>
      <c r="T148" s="49">
        <v>135.6</v>
      </c>
      <c r="U148" s="49">
        <v>129.6</v>
      </c>
      <c r="V148" s="49">
        <v>126.8</v>
      </c>
      <c r="W148" s="49">
        <v>129.4</v>
      </c>
      <c r="X148" s="49">
        <v>127.1</v>
      </c>
      <c r="Y148" s="49">
        <v>117</v>
      </c>
      <c r="Z148" s="49">
        <v>124.2</v>
      </c>
      <c r="AA148" s="49">
        <v>133.30000000000001</v>
      </c>
      <c r="AB148" s="49">
        <v>121.7</v>
      </c>
      <c r="AC148" s="49">
        <v>124.4</v>
      </c>
      <c r="AD148" s="49">
        <v>130.30000000000001</v>
      </c>
    </row>
    <row r="149" spans="1:30" x14ac:dyDescent="0.3">
      <c r="A149" s="49" t="s">
        <v>41</v>
      </c>
      <c r="B149" s="49">
        <v>2017</v>
      </c>
      <c r="C149" s="49" t="s">
        <v>45</v>
      </c>
      <c r="D149" s="49">
        <v>133.30000000000001</v>
      </c>
      <c r="E149" s="49">
        <v>138.30000000000001</v>
      </c>
      <c r="F149" s="49">
        <v>129.30000000000001</v>
      </c>
      <c r="G149" s="49">
        <v>137.19999999999999</v>
      </c>
      <c r="H149" s="49">
        <v>122.1</v>
      </c>
      <c r="I149" s="49">
        <v>138.69999999999999</v>
      </c>
      <c r="J149" s="49">
        <v>119.1</v>
      </c>
      <c r="K149" s="49">
        <v>156.9</v>
      </c>
      <c r="L149" s="49">
        <v>116.2</v>
      </c>
      <c r="M149" s="49">
        <v>136</v>
      </c>
      <c r="N149" s="49">
        <v>129.4</v>
      </c>
      <c r="O149" s="49">
        <v>144.4</v>
      </c>
      <c r="P149" s="49">
        <v>133.6</v>
      </c>
      <c r="Q149" s="49">
        <v>143.69999999999999</v>
      </c>
      <c r="R149" s="49">
        <v>140.9</v>
      </c>
      <c r="S149" s="49">
        <v>135.80000000000001</v>
      </c>
      <c r="T149" s="49">
        <v>140.19999999999999</v>
      </c>
      <c r="U149" s="49" t="s">
        <v>43</v>
      </c>
      <c r="V149" s="49">
        <v>133.19999999999999</v>
      </c>
      <c r="W149" s="49">
        <v>133.6</v>
      </c>
      <c r="X149" s="49">
        <v>130.1</v>
      </c>
      <c r="Y149" s="49">
        <v>119.5</v>
      </c>
      <c r="Z149" s="49">
        <v>127.7</v>
      </c>
      <c r="AA149" s="49">
        <v>134.9</v>
      </c>
      <c r="AB149" s="49">
        <v>123.2</v>
      </c>
      <c r="AC149" s="49">
        <v>127</v>
      </c>
      <c r="AD149" s="49">
        <v>132.6</v>
      </c>
    </row>
    <row r="150" spans="1:30" x14ac:dyDescent="0.3">
      <c r="A150" s="49" t="s">
        <v>44</v>
      </c>
      <c r="B150" s="49">
        <v>2017</v>
      </c>
      <c r="C150" s="49" t="s">
        <v>45</v>
      </c>
      <c r="D150" s="49">
        <v>132.80000000000001</v>
      </c>
      <c r="E150" s="49">
        <v>139.80000000000001</v>
      </c>
      <c r="F150" s="49">
        <v>129.30000000000001</v>
      </c>
      <c r="G150" s="49">
        <v>133.5</v>
      </c>
      <c r="H150" s="49">
        <v>114.3</v>
      </c>
      <c r="I150" s="49">
        <v>131.4</v>
      </c>
      <c r="J150" s="49">
        <v>120.2</v>
      </c>
      <c r="K150" s="49">
        <v>143.1</v>
      </c>
      <c r="L150" s="49">
        <v>119.5</v>
      </c>
      <c r="M150" s="49">
        <v>144</v>
      </c>
      <c r="N150" s="49">
        <v>123.4</v>
      </c>
      <c r="O150" s="49">
        <v>141.9</v>
      </c>
      <c r="P150" s="49">
        <v>132.1</v>
      </c>
      <c r="Q150" s="49">
        <v>146.30000000000001</v>
      </c>
      <c r="R150" s="49">
        <v>130.5</v>
      </c>
      <c r="S150" s="49">
        <v>122.5</v>
      </c>
      <c r="T150" s="49">
        <v>129.30000000000001</v>
      </c>
      <c r="U150" s="49">
        <v>130.5</v>
      </c>
      <c r="V150" s="49">
        <v>119.2</v>
      </c>
      <c r="W150" s="49">
        <v>125.3</v>
      </c>
      <c r="X150" s="49">
        <v>122.9</v>
      </c>
      <c r="Y150" s="49">
        <v>115.5</v>
      </c>
      <c r="Z150" s="49">
        <v>122.2</v>
      </c>
      <c r="AA150" s="49">
        <v>132.4</v>
      </c>
      <c r="AB150" s="49">
        <v>121.7</v>
      </c>
      <c r="AC150" s="49">
        <v>122.4</v>
      </c>
      <c r="AD150" s="49">
        <v>128.19999999999999</v>
      </c>
    </row>
    <row r="151" spans="1:30" x14ac:dyDescent="0.3">
      <c r="A151" s="49" t="s">
        <v>30</v>
      </c>
      <c r="B151" s="49">
        <v>2017</v>
      </c>
      <c r="C151" s="49" t="s">
        <v>45</v>
      </c>
      <c r="D151" s="49">
        <v>133.1</v>
      </c>
      <c r="E151" s="49">
        <v>138.80000000000001</v>
      </c>
      <c r="F151" s="49">
        <v>129.30000000000001</v>
      </c>
      <c r="G151" s="49">
        <v>135.80000000000001</v>
      </c>
      <c r="H151" s="49">
        <v>119.2</v>
      </c>
      <c r="I151" s="49">
        <v>135.30000000000001</v>
      </c>
      <c r="J151" s="49">
        <v>119.5</v>
      </c>
      <c r="K151" s="49">
        <v>152.19999999999999</v>
      </c>
      <c r="L151" s="49">
        <v>117.3</v>
      </c>
      <c r="M151" s="49">
        <v>138.69999999999999</v>
      </c>
      <c r="N151" s="49">
        <v>126.9</v>
      </c>
      <c r="O151" s="49">
        <v>143.19999999999999</v>
      </c>
      <c r="P151" s="49">
        <v>133</v>
      </c>
      <c r="Q151" s="49">
        <v>144.4</v>
      </c>
      <c r="R151" s="49">
        <v>136.80000000000001</v>
      </c>
      <c r="S151" s="49">
        <v>130.30000000000001</v>
      </c>
      <c r="T151" s="49">
        <v>135.9</v>
      </c>
      <c r="U151" s="49">
        <v>130.5</v>
      </c>
      <c r="V151" s="49">
        <v>127.9</v>
      </c>
      <c r="W151" s="49">
        <v>129.69999999999999</v>
      </c>
      <c r="X151" s="49">
        <v>127.4</v>
      </c>
      <c r="Y151" s="49">
        <v>117.4</v>
      </c>
      <c r="Z151" s="49">
        <v>124.6</v>
      </c>
      <c r="AA151" s="49">
        <v>133.4</v>
      </c>
      <c r="AB151" s="49">
        <v>122.6</v>
      </c>
      <c r="AC151" s="49">
        <v>124.8</v>
      </c>
      <c r="AD151" s="49">
        <v>130.6</v>
      </c>
    </row>
    <row r="152" spans="1:30" x14ac:dyDescent="0.3">
      <c r="A152" s="49" t="s">
        <v>41</v>
      </c>
      <c r="B152" s="49">
        <v>2017</v>
      </c>
      <c r="C152" s="49" t="s">
        <v>46</v>
      </c>
      <c r="D152" s="49">
        <v>133.6</v>
      </c>
      <c r="E152" s="49">
        <v>138.80000000000001</v>
      </c>
      <c r="F152" s="49">
        <v>128.80000000000001</v>
      </c>
      <c r="G152" s="49">
        <v>137.19999999999999</v>
      </c>
      <c r="H152" s="49">
        <v>121.6</v>
      </c>
      <c r="I152" s="49">
        <v>139.69999999999999</v>
      </c>
      <c r="J152" s="49">
        <v>119.7</v>
      </c>
      <c r="K152" s="49">
        <v>148</v>
      </c>
      <c r="L152" s="49">
        <v>116.9</v>
      </c>
      <c r="M152" s="49">
        <v>135.6</v>
      </c>
      <c r="N152" s="49">
        <v>129.80000000000001</v>
      </c>
      <c r="O152" s="49">
        <v>145.4</v>
      </c>
      <c r="P152" s="49">
        <v>133.4</v>
      </c>
      <c r="Q152" s="49">
        <v>144.19999999999999</v>
      </c>
      <c r="R152" s="49">
        <v>141.6</v>
      </c>
      <c r="S152" s="49">
        <v>136.19999999999999</v>
      </c>
      <c r="T152" s="49">
        <v>140.80000000000001</v>
      </c>
      <c r="U152" s="49" t="s">
        <v>43</v>
      </c>
      <c r="V152" s="49">
        <v>134.19999999999999</v>
      </c>
      <c r="W152" s="49">
        <v>134.1</v>
      </c>
      <c r="X152" s="49">
        <v>130.6</v>
      </c>
      <c r="Y152" s="49">
        <v>119.8</v>
      </c>
      <c r="Z152" s="49">
        <v>128.30000000000001</v>
      </c>
      <c r="AA152" s="49">
        <v>135.19999999999999</v>
      </c>
      <c r="AB152" s="49">
        <v>123.3</v>
      </c>
      <c r="AC152" s="49">
        <v>127.4</v>
      </c>
      <c r="AD152" s="49">
        <v>132.80000000000001</v>
      </c>
    </row>
    <row r="153" spans="1:30" x14ac:dyDescent="0.3">
      <c r="A153" s="49" t="s">
        <v>44</v>
      </c>
      <c r="B153" s="49">
        <v>2017</v>
      </c>
      <c r="C153" s="49" t="s">
        <v>46</v>
      </c>
      <c r="D153" s="49">
        <v>132.69999999999999</v>
      </c>
      <c r="E153" s="49">
        <v>139.4</v>
      </c>
      <c r="F153" s="49">
        <v>128.4</v>
      </c>
      <c r="G153" s="49">
        <v>134.9</v>
      </c>
      <c r="H153" s="49">
        <v>114</v>
      </c>
      <c r="I153" s="49">
        <v>136.80000000000001</v>
      </c>
      <c r="J153" s="49">
        <v>122.2</v>
      </c>
      <c r="K153" s="49">
        <v>135.80000000000001</v>
      </c>
      <c r="L153" s="49">
        <v>120.3</v>
      </c>
      <c r="M153" s="49">
        <v>142.6</v>
      </c>
      <c r="N153" s="49">
        <v>123.6</v>
      </c>
      <c r="O153" s="49">
        <v>142.4</v>
      </c>
      <c r="P153" s="49">
        <v>132.6</v>
      </c>
      <c r="Q153" s="49">
        <v>147.5</v>
      </c>
      <c r="R153" s="49">
        <v>130.80000000000001</v>
      </c>
      <c r="S153" s="49">
        <v>122.8</v>
      </c>
      <c r="T153" s="49">
        <v>129.6</v>
      </c>
      <c r="U153" s="49">
        <v>131.1</v>
      </c>
      <c r="V153" s="49">
        <v>120.8</v>
      </c>
      <c r="W153" s="49">
        <v>125.6</v>
      </c>
      <c r="X153" s="49">
        <v>123.1</v>
      </c>
      <c r="Y153" s="49">
        <v>115.6</v>
      </c>
      <c r="Z153" s="49">
        <v>122.4</v>
      </c>
      <c r="AA153" s="49">
        <v>132.80000000000001</v>
      </c>
      <c r="AB153" s="49">
        <v>121.7</v>
      </c>
      <c r="AC153" s="49">
        <v>122.6</v>
      </c>
      <c r="AD153" s="49">
        <v>128.69999999999999</v>
      </c>
    </row>
    <row r="154" spans="1:30" x14ac:dyDescent="0.3">
      <c r="A154" s="49" t="s">
        <v>30</v>
      </c>
      <c r="B154" s="49">
        <v>2017</v>
      </c>
      <c r="C154" s="49" t="s">
        <v>46</v>
      </c>
      <c r="D154" s="49">
        <v>133.30000000000001</v>
      </c>
      <c r="E154" s="49">
        <v>139</v>
      </c>
      <c r="F154" s="49">
        <v>128.6</v>
      </c>
      <c r="G154" s="49">
        <v>136.30000000000001</v>
      </c>
      <c r="H154" s="49">
        <v>118.8</v>
      </c>
      <c r="I154" s="49">
        <v>138.30000000000001</v>
      </c>
      <c r="J154" s="49">
        <v>120.5</v>
      </c>
      <c r="K154" s="49">
        <v>143.9</v>
      </c>
      <c r="L154" s="49">
        <v>118</v>
      </c>
      <c r="M154" s="49">
        <v>137.9</v>
      </c>
      <c r="N154" s="49">
        <v>127.2</v>
      </c>
      <c r="O154" s="49">
        <v>144</v>
      </c>
      <c r="P154" s="49">
        <v>133.1</v>
      </c>
      <c r="Q154" s="49">
        <v>145.1</v>
      </c>
      <c r="R154" s="49">
        <v>137.30000000000001</v>
      </c>
      <c r="S154" s="49">
        <v>130.6</v>
      </c>
      <c r="T154" s="49">
        <v>136.4</v>
      </c>
      <c r="U154" s="49">
        <v>131.1</v>
      </c>
      <c r="V154" s="49">
        <v>129.1</v>
      </c>
      <c r="W154" s="49">
        <v>130.1</v>
      </c>
      <c r="X154" s="49">
        <v>127.8</v>
      </c>
      <c r="Y154" s="49">
        <v>117.6</v>
      </c>
      <c r="Z154" s="49">
        <v>125</v>
      </c>
      <c r="AA154" s="49">
        <v>133.80000000000001</v>
      </c>
      <c r="AB154" s="49">
        <v>122.6</v>
      </c>
      <c r="AC154" s="49">
        <v>125.1</v>
      </c>
      <c r="AD154" s="49">
        <v>130.9</v>
      </c>
    </row>
    <row r="155" spans="1:30" x14ac:dyDescent="0.3">
      <c r="A155" s="49" t="s">
        <v>41</v>
      </c>
      <c r="B155" s="49">
        <v>2017</v>
      </c>
      <c r="C155" s="49" t="s">
        <v>47</v>
      </c>
      <c r="D155" s="49">
        <v>133.19999999999999</v>
      </c>
      <c r="E155" s="49">
        <v>138.69999999999999</v>
      </c>
      <c r="F155" s="49">
        <v>127.1</v>
      </c>
      <c r="G155" s="49">
        <v>137.69999999999999</v>
      </c>
      <c r="H155" s="49">
        <v>121.3</v>
      </c>
      <c r="I155" s="49">
        <v>141.80000000000001</v>
      </c>
      <c r="J155" s="49">
        <v>121.5</v>
      </c>
      <c r="K155" s="49">
        <v>144.5</v>
      </c>
      <c r="L155" s="49">
        <v>117.4</v>
      </c>
      <c r="M155" s="49">
        <v>134.1</v>
      </c>
      <c r="N155" s="49">
        <v>130</v>
      </c>
      <c r="O155" s="49">
        <v>145.5</v>
      </c>
      <c r="P155" s="49">
        <v>133.5</v>
      </c>
      <c r="Q155" s="49">
        <v>144.4</v>
      </c>
      <c r="R155" s="49">
        <v>142.4</v>
      </c>
      <c r="S155" s="49">
        <v>136.80000000000001</v>
      </c>
      <c r="T155" s="49">
        <v>141.6</v>
      </c>
      <c r="U155" s="49" t="s">
        <v>43</v>
      </c>
      <c r="V155" s="49">
        <v>135</v>
      </c>
      <c r="W155" s="49">
        <v>134.30000000000001</v>
      </c>
      <c r="X155" s="49">
        <v>131</v>
      </c>
      <c r="Y155" s="49">
        <v>119.2</v>
      </c>
      <c r="Z155" s="49">
        <v>128.30000000000001</v>
      </c>
      <c r="AA155" s="49">
        <v>135.69999999999999</v>
      </c>
      <c r="AB155" s="49">
        <v>123.7</v>
      </c>
      <c r="AC155" s="49">
        <v>127.5</v>
      </c>
      <c r="AD155" s="49">
        <v>132.9</v>
      </c>
    </row>
    <row r="156" spans="1:30" x14ac:dyDescent="0.3">
      <c r="A156" s="49" t="s">
        <v>44</v>
      </c>
      <c r="B156" s="49">
        <v>2017</v>
      </c>
      <c r="C156" s="49" t="s">
        <v>47</v>
      </c>
      <c r="D156" s="49">
        <v>132.69999999999999</v>
      </c>
      <c r="E156" s="49">
        <v>140.6</v>
      </c>
      <c r="F156" s="49">
        <v>124.5</v>
      </c>
      <c r="G156" s="49">
        <v>136.30000000000001</v>
      </c>
      <c r="H156" s="49">
        <v>113.5</v>
      </c>
      <c r="I156" s="49">
        <v>137.69999999999999</v>
      </c>
      <c r="J156" s="49">
        <v>127.1</v>
      </c>
      <c r="K156" s="49">
        <v>133.80000000000001</v>
      </c>
      <c r="L156" s="49">
        <v>120.8</v>
      </c>
      <c r="M156" s="49">
        <v>141.30000000000001</v>
      </c>
      <c r="N156" s="49">
        <v>123.8</v>
      </c>
      <c r="O156" s="49">
        <v>142.6</v>
      </c>
      <c r="P156" s="49">
        <v>133.4</v>
      </c>
      <c r="Q156" s="49">
        <v>148</v>
      </c>
      <c r="R156" s="49">
        <v>131.19999999999999</v>
      </c>
      <c r="S156" s="49">
        <v>123</v>
      </c>
      <c r="T156" s="49">
        <v>130</v>
      </c>
      <c r="U156" s="49">
        <v>131.69999999999999</v>
      </c>
      <c r="V156" s="49">
        <v>121.4</v>
      </c>
      <c r="W156" s="49">
        <v>126</v>
      </c>
      <c r="X156" s="49">
        <v>123.4</v>
      </c>
      <c r="Y156" s="49">
        <v>114.3</v>
      </c>
      <c r="Z156" s="49">
        <v>122.6</v>
      </c>
      <c r="AA156" s="49">
        <v>133.6</v>
      </c>
      <c r="AB156" s="49">
        <v>122.2</v>
      </c>
      <c r="AC156" s="49">
        <v>122.5</v>
      </c>
      <c r="AD156" s="49">
        <v>129.1</v>
      </c>
    </row>
    <row r="157" spans="1:30" x14ac:dyDescent="0.3">
      <c r="A157" s="49" t="s">
        <v>30</v>
      </c>
      <c r="B157" s="49">
        <v>2017</v>
      </c>
      <c r="C157" s="49" t="s">
        <v>47</v>
      </c>
      <c r="D157" s="49">
        <v>133</v>
      </c>
      <c r="E157" s="49">
        <v>139.4</v>
      </c>
      <c r="F157" s="49">
        <v>126.1</v>
      </c>
      <c r="G157" s="49">
        <v>137.19999999999999</v>
      </c>
      <c r="H157" s="49">
        <v>118.4</v>
      </c>
      <c r="I157" s="49">
        <v>139.9</v>
      </c>
      <c r="J157" s="49">
        <v>123.4</v>
      </c>
      <c r="K157" s="49">
        <v>140.9</v>
      </c>
      <c r="L157" s="49">
        <v>118.5</v>
      </c>
      <c r="M157" s="49">
        <v>136.5</v>
      </c>
      <c r="N157" s="49">
        <v>127.4</v>
      </c>
      <c r="O157" s="49">
        <v>144.19999999999999</v>
      </c>
      <c r="P157" s="49">
        <v>133.5</v>
      </c>
      <c r="Q157" s="49">
        <v>145.4</v>
      </c>
      <c r="R157" s="49">
        <v>138</v>
      </c>
      <c r="S157" s="49">
        <v>131.1</v>
      </c>
      <c r="T157" s="49">
        <v>137</v>
      </c>
      <c r="U157" s="49">
        <v>131.69999999999999</v>
      </c>
      <c r="V157" s="49">
        <v>129.80000000000001</v>
      </c>
      <c r="W157" s="49">
        <v>130.4</v>
      </c>
      <c r="X157" s="49">
        <v>128.1</v>
      </c>
      <c r="Y157" s="49">
        <v>116.6</v>
      </c>
      <c r="Z157" s="49">
        <v>125.1</v>
      </c>
      <c r="AA157" s="49">
        <v>134.5</v>
      </c>
      <c r="AB157" s="49">
        <v>123.1</v>
      </c>
      <c r="AC157" s="49">
        <v>125.1</v>
      </c>
      <c r="AD157" s="49">
        <v>131.1</v>
      </c>
    </row>
    <row r="158" spans="1:30" x14ac:dyDescent="0.3">
      <c r="A158" s="49" t="s">
        <v>41</v>
      </c>
      <c r="B158" s="49">
        <v>2017</v>
      </c>
      <c r="C158" s="49" t="s">
        <v>31</v>
      </c>
      <c r="D158" s="49">
        <v>133.1</v>
      </c>
      <c r="E158" s="49">
        <v>140.30000000000001</v>
      </c>
      <c r="F158" s="49">
        <v>126.8</v>
      </c>
      <c r="G158" s="49">
        <v>138.19999999999999</v>
      </c>
      <c r="H158" s="49">
        <v>120.8</v>
      </c>
      <c r="I158" s="49">
        <v>140.19999999999999</v>
      </c>
      <c r="J158" s="49">
        <v>123.8</v>
      </c>
      <c r="K158" s="49">
        <v>141.80000000000001</v>
      </c>
      <c r="L158" s="49">
        <v>118.6</v>
      </c>
      <c r="M158" s="49">
        <v>134</v>
      </c>
      <c r="N158" s="49">
        <v>130.30000000000001</v>
      </c>
      <c r="O158" s="49">
        <v>145.80000000000001</v>
      </c>
      <c r="P158" s="49">
        <v>133.80000000000001</v>
      </c>
      <c r="Q158" s="49">
        <v>145.5</v>
      </c>
      <c r="R158" s="49">
        <v>142.5</v>
      </c>
      <c r="S158" s="49">
        <v>137.30000000000001</v>
      </c>
      <c r="T158" s="49">
        <v>141.80000000000001</v>
      </c>
      <c r="U158" s="49" t="s">
        <v>43</v>
      </c>
      <c r="V158" s="49">
        <v>135</v>
      </c>
      <c r="W158" s="49">
        <v>134.9</v>
      </c>
      <c r="X158" s="49">
        <v>131.4</v>
      </c>
      <c r="Y158" s="49">
        <v>119.4</v>
      </c>
      <c r="Z158" s="49">
        <v>129.4</v>
      </c>
      <c r="AA158" s="49">
        <v>136.30000000000001</v>
      </c>
      <c r="AB158" s="49">
        <v>123.7</v>
      </c>
      <c r="AC158" s="49">
        <v>127.9</v>
      </c>
      <c r="AD158" s="49">
        <v>133.30000000000001</v>
      </c>
    </row>
    <row r="159" spans="1:30" x14ac:dyDescent="0.3">
      <c r="A159" s="49" t="s">
        <v>44</v>
      </c>
      <c r="B159" s="49">
        <v>2017</v>
      </c>
      <c r="C159" s="49" t="s">
        <v>31</v>
      </c>
      <c r="D159" s="49">
        <v>132.6</v>
      </c>
      <c r="E159" s="49">
        <v>144.1</v>
      </c>
      <c r="F159" s="49">
        <v>125.6</v>
      </c>
      <c r="G159" s="49">
        <v>136.80000000000001</v>
      </c>
      <c r="H159" s="49">
        <v>113.4</v>
      </c>
      <c r="I159" s="49">
        <v>135.19999999999999</v>
      </c>
      <c r="J159" s="49">
        <v>129.19999999999999</v>
      </c>
      <c r="K159" s="49">
        <v>131.5</v>
      </c>
      <c r="L159" s="49">
        <v>121</v>
      </c>
      <c r="M159" s="49">
        <v>139.9</v>
      </c>
      <c r="N159" s="49">
        <v>123.8</v>
      </c>
      <c r="O159" s="49">
        <v>142.9</v>
      </c>
      <c r="P159" s="49">
        <v>133.6</v>
      </c>
      <c r="Q159" s="49">
        <v>148.30000000000001</v>
      </c>
      <c r="R159" s="49">
        <v>131.5</v>
      </c>
      <c r="S159" s="49">
        <v>123.2</v>
      </c>
      <c r="T159" s="49">
        <v>130.19999999999999</v>
      </c>
      <c r="U159" s="49">
        <v>132.1</v>
      </c>
      <c r="V159" s="49">
        <v>120.1</v>
      </c>
      <c r="W159" s="49">
        <v>126.5</v>
      </c>
      <c r="X159" s="49">
        <v>123.6</v>
      </c>
      <c r="Y159" s="49">
        <v>114.3</v>
      </c>
      <c r="Z159" s="49">
        <v>122.8</v>
      </c>
      <c r="AA159" s="49">
        <v>133.80000000000001</v>
      </c>
      <c r="AB159" s="49">
        <v>122</v>
      </c>
      <c r="AC159" s="49">
        <v>122.6</v>
      </c>
      <c r="AD159" s="49">
        <v>129.30000000000001</v>
      </c>
    </row>
    <row r="160" spans="1:30" x14ac:dyDescent="0.3">
      <c r="A160" s="49" t="s">
        <v>30</v>
      </c>
      <c r="B160" s="49">
        <v>2017</v>
      </c>
      <c r="C160" s="49" t="s">
        <v>31</v>
      </c>
      <c r="D160" s="49">
        <v>132.9</v>
      </c>
      <c r="E160" s="49">
        <v>141.6</v>
      </c>
      <c r="F160" s="49">
        <v>126.3</v>
      </c>
      <c r="G160" s="49">
        <v>137.69999999999999</v>
      </c>
      <c r="H160" s="49">
        <v>118.1</v>
      </c>
      <c r="I160" s="49">
        <v>137.9</v>
      </c>
      <c r="J160" s="49">
        <v>125.6</v>
      </c>
      <c r="K160" s="49">
        <v>138.30000000000001</v>
      </c>
      <c r="L160" s="49">
        <v>119.4</v>
      </c>
      <c r="M160" s="49">
        <v>136</v>
      </c>
      <c r="N160" s="49">
        <v>127.6</v>
      </c>
      <c r="O160" s="49">
        <v>144.5</v>
      </c>
      <c r="P160" s="49">
        <v>133.69999999999999</v>
      </c>
      <c r="Q160" s="49">
        <v>146.19999999999999</v>
      </c>
      <c r="R160" s="49">
        <v>138.19999999999999</v>
      </c>
      <c r="S160" s="49">
        <v>131.4</v>
      </c>
      <c r="T160" s="49">
        <v>137.19999999999999</v>
      </c>
      <c r="U160" s="49">
        <v>132.1</v>
      </c>
      <c r="V160" s="49">
        <v>129.4</v>
      </c>
      <c r="W160" s="49">
        <v>130.9</v>
      </c>
      <c r="X160" s="49">
        <v>128.4</v>
      </c>
      <c r="Y160" s="49">
        <v>116.7</v>
      </c>
      <c r="Z160" s="49">
        <v>125.7</v>
      </c>
      <c r="AA160" s="49">
        <v>134.80000000000001</v>
      </c>
      <c r="AB160" s="49">
        <v>123</v>
      </c>
      <c r="AC160" s="49">
        <v>125.3</v>
      </c>
      <c r="AD160" s="49">
        <v>131.4</v>
      </c>
    </row>
    <row r="161" spans="1:30" x14ac:dyDescent="0.3">
      <c r="A161" s="49" t="s">
        <v>41</v>
      </c>
      <c r="B161" s="49">
        <v>2017</v>
      </c>
      <c r="C161" s="49" t="s">
        <v>48</v>
      </c>
      <c r="D161" s="49">
        <v>133.5</v>
      </c>
      <c r="E161" s="49">
        <v>143.69999999999999</v>
      </c>
      <c r="F161" s="49">
        <v>128</v>
      </c>
      <c r="G161" s="49">
        <v>138.6</v>
      </c>
      <c r="H161" s="49">
        <v>120.9</v>
      </c>
      <c r="I161" s="49">
        <v>140.9</v>
      </c>
      <c r="J161" s="49">
        <v>128.80000000000001</v>
      </c>
      <c r="K161" s="49">
        <v>140.19999999999999</v>
      </c>
      <c r="L161" s="49">
        <v>118.9</v>
      </c>
      <c r="M161" s="49">
        <v>133.5</v>
      </c>
      <c r="N161" s="49">
        <v>130.4</v>
      </c>
      <c r="O161" s="49">
        <v>146.5</v>
      </c>
      <c r="P161" s="49">
        <v>134.9</v>
      </c>
      <c r="Q161" s="49">
        <v>145.80000000000001</v>
      </c>
      <c r="R161" s="49">
        <v>143.1</v>
      </c>
      <c r="S161" s="49">
        <v>137.69999999999999</v>
      </c>
      <c r="T161" s="49">
        <v>142.30000000000001</v>
      </c>
      <c r="U161" s="49" t="s">
        <v>43</v>
      </c>
      <c r="V161" s="49">
        <v>134.80000000000001</v>
      </c>
      <c r="W161" s="49">
        <v>135.19999999999999</v>
      </c>
      <c r="X161" s="49">
        <v>131.30000000000001</v>
      </c>
      <c r="Y161" s="49">
        <v>119.4</v>
      </c>
      <c r="Z161" s="49">
        <v>129.80000000000001</v>
      </c>
      <c r="AA161" s="49">
        <v>136.9</v>
      </c>
      <c r="AB161" s="49">
        <v>124.1</v>
      </c>
      <c r="AC161" s="49">
        <v>128.1</v>
      </c>
      <c r="AD161" s="49">
        <v>133.9</v>
      </c>
    </row>
    <row r="162" spans="1:30" x14ac:dyDescent="0.3">
      <c r="A162" s="49" t="s">
        <v>44</v>
      </c>
      <c r="B162" s="49">
        <v>2017</v>
      </c>
      <c r="C162" s="49" t="s">
        <v>48</v>
      </c>
      <c r="D162" s="49">
        <v>132.9</v>
      </c>
      <c r="E162" s="49">
        <v>148.69999999999999</v>
      </c>
      <c r="F162" s="49">
        <v>128.30000000000001</v>
      </c>
      <c r="G162" s="49">
        <v>137.30000000000001</v>
      </c>
      <c r="H162" s="49">
        <v>113.5</v>
      </c>
      <c r="I162" s="49">
        <v>137.19999999999999</v>
      </c>
      <c r="J162" s="49">
        <v>142.19999999999999</v>
      </c>
      <c r="K162" s="49">
        <v>128.19999999999999</v>
      </c>
      <c r="L162" s="49">
        <v>120.9</v>
      </c>
      <c r="M162" s="49">
        <v>138.80000000000001</v>
      </c>
      <c r="N162" s="49">
        <v>124.2</v>
      </c>
      <c r="O162" s="49">
        <v>143.1</v>
      </c>
      <c r="P162" s="49">
        <v>135.69999999999999</v>
      </c>
      <c r="Q162" s="49">
        <v>148.6</v>
      </c>
      <c r="R162" s="49">
        <v>131.5</v>
      </c>
      <c r="S162" s="49">
        <v>123.2</v>
      </c>
      <c r="T162" s="49">
        <v>130.19999999999999</v>
      </c>
      <c r="U162" s="49">
        <v>131.4</v>
      </c>
      <c r="V162" s="49">
        <v>119</v>
      </c>
      <c r="W162" s="49">
        <v>126.8</v>
      </c>
      <c r="X162" s="49">
        <v>123.8</v>
      </c>
      <c r="Y162" s="49">
        <v>113.9</v>
      </c>
      <c r="Z162" s="49">
        <v>122.9</v>
      </c>
      <c r="AA162" s="49">
        <v>134.30000000000001</v>
      </c>
      <c r="AB162" s="49">
        <v>122.5</v>
      </c>
      <c r="AC162" s="49">
        <v>122.7</v>
      </c>
      <c r="AD162" s="49">
        <v>129.9</v>
      </c>
    </row>
    <row r="163" spans="1:30" x14ac:dyDescent="0.3">
      <c r="A163" s="49" t="s">
        <v>30</v>
      </c>
      <c r="B163" s="49">
        <v>2017</v>
      </c>
      <c r="C163" s="49" t="s">
        <v>48</v>
      </c>
      <c r="D163" s="49">
        <v>133.30000000000001</v>
      </c>
      <c r="E163" s="49">
        <v>145.5</v>
      </c>
      <c r="F163" s="49">
        <v>128.1</v>
      </c>
      <c r="G163" s="49">
        <v>138.1</v>
      </c>
      <c r="H163" s="49">
        <v>118.2</v>
      </c>
      <c r="I163" s="49">
        <v>139.19999999999999</v>
      </c>
      <c r="J163" s="49">
        <v>133.30000000000001</v>
      </c>
      <c r="K163" s="49">
        <v>136.19999999999999</v>
      </c>
      <c r="L163" s="49">
        <v>119.6</v>
      </c>
      <c r="M163" s="49">
        <v>135.30000000000001</v>
      </c>
      <c r="N163" s="49">
        <v>127.8</v>
      </c>
      <c r="O163" s="49">
        <v>144.9</v>
      </c>
      <c r="P163" s="49">
        <v>135.19999999999999</v>
      </c>
      <c r="Q163" s="49">
        <v>146.5</v>
      </c>
      <c r="R163" s="49">
        <v>138.5</v>
      </c>
      <c r="S163" s="49">
        <v>131.69999999999999</v>
      </c>
      <c r="T163" s="49">
        <v>137.5</v>
      </c>
      <c r="U163" s="49">
        <v>131.4</v>
      </c>
      <c r="V163" s="49">
        <v>128.80000000000001</v>
      </c>
      <c r="W163" s="49">
        <v>131.19999999999999</v>
      </c>
      <c r="X163" s="49">
        <v>128.5</v>
      </c>
      <c r="Y163" s="49">
        <v>116.5</v>
      </c>
      <c r="Z163" s="49">
        <v>125.9</v>
      </c>
      <c r="AA163" s="49">
        <v>135.4</v>
      </c>
      <c r="AB163" s="49">
        <v>123.4</v>
      </c>
      <c r="AC163" s="49">
        <v>125.5</v>
      </c>
      <c r="AD163" s="49">
        <v>132</v>
      </c>
    </row>
    <row r="164" spans="1:30" x14ac:dyDescent="0.3">
      <c r="A164" s="49" t="s">
        <v>41</v>
      </c>
      <c r="B164" s="49">
        <v>2017</v>
      </c>
      <c r="C164" s="49" t="s">
        <v>49</v>
      </c>
      <c r="D164" s="49">
        <v>134</v>
      </c>
      <c r="E164" s="49">
        <v>144.19999999999999</v>
      </c>
      <c r="F164" s="49">
        <v>129.80000000000001</v>
      </c>
      <c r="G164" s="49">
        <v>139</v>
      </c>
      <c r="H164" s="49">
        <v>120.9</v>
      </c>
      <c r="I164" s="49">
        <v>143.9</v>
      </c>
      <c r="J164" s="49">
        <v>151.5</v>
      </c>
      <c r="K164" s="49">
        <v>138.1</v>
      </c>
      <c r="L164" s="49">
        <v>120</v>
      </c>
      <c r="M164" s="49">
        <v>133.9</v>
      </c>
      <c r="N164" s="49">
        <v>131.4</v>
      </c>
      <c r="O164" s="49">
        <v>147.69999999999999</v>
      </c>
      <c r="P164" s="49">
        <v>138.5</v>
      </c>
      <c r="Q164" s="49">
        <v>147.4</v>
      </c>
      <c r="R164" s="49">
        <v>144.30000000000001</v>
      </c>
      <c r="S164" s="49">
        <v>138.1</v>
      </c>
      <c r="T164" s="49">
        <v>143.5</v>
      </c>
      <c r="U164" s="49" t="s">
        <v>43</v>
      </c>
      <c r="V164" s="49">
        <v>135.30000000000001</v>
      </c>
      <c r="W164" s="49">
        <v>136.1</v>
      </c>
      <c r="X164" s="49">
        <v>132.1</v>
      </c>
      <c r="Y164" s="49">
        <v>119.1</v>
      </c>
      <c r="Z164" s="49">
        <v>130.6</v>
      </c>
      <c r="AA164" s="49">
        <v>138.6</v>
      </c>
      <c r="AB164" s="49">
        <v>124.4</v>
      </c>
      <c r="AC164" s="49">
        <v>128.6</v>
      </c>
      <c r="AD164" s="49">
        <v>136.19999999999999</v>
      </c>
    </row>
    <row r="165" spans="1:30" x14ac:dyDescent="0.3">
      <c r="A165" s="49" t="s">
        <v>44</v>
      </c>
      <c r="B165" s="49">
        <v>2017</v>
      </c>
      <c r="C165" s="49" t="s">
        <v>49</v>
      </c>
      <c r="D165" s="49">
        <v>132.80000000000001</v>
      </c>
      <c r="E165" s="49">
        <v>148.4</v>
      </c>
      <c r="F165" s="49">
        <v>129.4</v>
      </c>
      <c r="G165" s="49">
        <v>137.69999999999999</v>
      </c>
      <c r="H165" s="49">
        <v>113.4</v>
      </c>
      <c r="I165" s="49">
        <v>139.4</v>
      </c>
      <c r="J165" s="49">
        <v>175.1</v>
      </c>
      <c r="K165" s="49">
        <v>124.7</v>
      </c>
      <c r="L165" s="49">
        <v>121.5</v>
      </c>
      <c r="M165" s="49">
        <v>137.80000000000001</v>
      </c>
      <c r="N165" s="49">
        <v>124.4</v>
      </c>
      <c r="O165" s="49">
        <v>143.69999999999999</v>
      </c>
      <c r="P165" s="49">
        <v>139.80000000000001</v>
      </c>
      <c r="Q165" s="49">
        <v>150.5</v>
      </c>
      <c r="R165" s="49">
        <v>131.6</v>
      </c>
      <c r="S165" s="49">
        <v>123.7</v>
      </c>
      <c r="T165" s="49">
        <v>130.4</v>
      </c>
      <c r="U165" s="49">
        <v>132.6</v>
      </c>
      <c r="V165" s="49">
        <v>119.7</v>
      </c>
      <c r="W165" s="49">
        <v>127.2</v>
      </c>
      <c r="X165" s="49">
        <v>125</v>
      </c>
      <c r="Y165" s="49">
        <v>113.2</v>
      </c>
      <c r="Z165" s="49">
        <v>123.5</v>
      </c>
      <c r="AA165" s="49">
        <v>135.5</v>
      </c>
      <c r="AB165" s="49">
        <v>122.4</v>
      </c>
      <c r="AC165" s="49">
        <v>123</v>
      </c>
      <c r="AD165" s="49">
        <v>131.80000000000001</v>
      </c>
    </row>
    <row r="166" spans="1:30" x14ac:dyDescent="0.3">
      <c r="A166" s="49" t="s">
        <v>30</v>
      </c>
      <c r="B166" s="49">
        <v>2017</v>
      </c>
      <c r="C166" s="49" t="s">
        <v>49</v>
      </c>
      <c r="D166" s="49">
        <v>133.6</v>
      </c>
      <c r="E166" s="49">
        <v>145.69999999999999</v>
      </c>
      <c r="F166" s="49">
        <v>129.6</v>
      </c>
      <c r="G166" s="49">
        <v>138.5</v>
      </c>
      <c r="H166" s="49">
        <v>118.1</v>
      </c>
      <c r="I166" s="49">
        <v>141.80000000000001</v>
      </c>
      <c r="J166" s="49">
        <v>159.5</v>
      </c>
      <c r="K166" s="49">
        <v>133.6</v>
      </c>
      <c r="L166" s="49">
        <v>120.5</v>
      </c>
      <c r="M166" s="49">
        <v>135.19999999999999</v>
      </c>
      <c r="N166" s="49">
        <v>128.5</v>
      </c>
      <c r="O166" s="49">
        <v>145.80000000000001</v>
      </c>
      <c r="P166" s="49">
        <v>139</v>
      </c>
      <c r="Q166" s="49">
        <v>148.19999999999999</v>
      </c>
      <c r="R166" s="49">
        <v>139.30000000000001</v>
      </c>
      <c r="S166" s="49">
        <v>132.1</v>
      </c>
      <c r="T166" s="49">
        <v>138.30000000000001</v>
      </c>
      <c r="U166" s="49">
        <v>132.6</v>
      </c>
      <c r="V166" s="49">
        <v>129.4</v>
      </c>
      <c r="W166" s="49">
        <v>131.9</v>
      </c>
      <c r="X166" s="49">
        <v>129.4</v>
      </c>
      <c r="Y166" s="49">
        <v>116</v>
      </c>
      <c r="Z166" s="49">
        <v>126.6</v>
      </c>
      <c r="AA166" s="49">
        <v>136.80000000000001</v>
      </c>
      <c r="AB166" s="49">
        <v>123.6</v>
      </c>
      <c r="AC166" s="49">
        <v>125.9</v>
      </c>
      <c r="AD166" s="49">
        <v>134.19999999999999</v>
      </c>
    </row>
    <row r="167" spans="1:30" x14ac:dyDescent="0.3">
      <c r="A167" s="49" t="s">
        <v>41</v>
      </c>
      <c r="B167" s="49">
        <v>2017</v>
      </c>
      <c r="C167" s="49" t="s">
        <v>50</v>
      </c>
      <c r="D167" s="49">
        <v>134.80000000000001</v>
      </c>
      <c r="E167" s="49">
        <v>143.1</v>
      </c>
      <c r="F167" s="49">
        <v>130</v>
      </c>
      <c r="G167" s="49">
        <v>139.4</v>
      </c>
      <c r="H167" s="49">
        <v>120.5</v>
      </c>
      <c r="I167" s="49">
        <v>148</v>
      </c>
      <c r="J167" s="49">
        <v>162.9</v>
      </c>
      <c r="K167" s="49">
        <v>137.4</v>
      </c>
      <c r="L167" s="49">
        <v>120.8</v>
      </c>
      <c r="M167" s="49">
        <v>134.69999999999999</v>
      </c>
      <c r="N167" s="49">
        <v>131.6</v>
      </c>
      <c r="O167" s="49">
        <v>148.69999999999999</v>
      </c>
      <c r="P167" s="49">
        <v>140.6</v>
      </c>
      <c r="Q167" s="49">
        <v>149</v>
      </c>
      <c r="R167" s="49">
        <v>145.30000000000001</v>
      </c>
      <c r="S167" s="49">
        <v>139.19999999999999</v>
      </c>
      <c r="T167" s="49">
        <v>144.5</v>
      </c>
      <c r="U167" s="49" t="s">
        <v>43</v>
      </c>
      <c r="V167" s="49">
        <v>136.4</v>
      </c>
      <c r="W167" s="49">
        <v>137.30000000000001</v>
      </c>
      <c r="X167" s="49">
        <v>133</v>
      </c>
      <c r="Y167" s="49">
        <v>120.3</v>
      </c>
      <c r="Z167" s="49">
        <v>131.5</v>
      </c>
      <c r="AA167" s="49">
        <v>140.19999999999999</v>
      </c>
      <c r="AB167" s="49">
        <v>125.4</v>
      </c>
      <c r="AC167" s="49">
        <v>129.69999999999999</v>
      </c>
      <c r="AD167" s="49">
        <v>137.80000000000001</v>
      </c>
    </row>
    <row r="168" spans="1:30" x14ac:dyDescent="0.3">
      <c r="A168" s="49" t="s">
        <v>44</v>
      </c>
      <c r="B168" s="49">
        <v>2017</v>
      </c>
      <c r="C168" s="49" t="s">
        <v>50</v>
      </c>
      <c r="D168" s="49">
        <v>133.19999999999999</v>
      </c>
      <c r="E168" s="49">
        <v>143.9</v>
      </c>
      <c r="F168" s="49">
        <v>128.30000000000001</v>
      </c>
      <c r="G168" s="49">
        <v>138.30000000000001</v>
      </c>
      <c r="H168" s="49">
        <v>114.1</v>
      </c>
      <c r="I168" s="49">
        <v>142.69999999999999</v>
      </c>
      <c r="J168" s="49">
        <v>179.8</v>
      </c>
      <c r="K168" s="49">
        <v>123.5</v>
      </c>
      <c r="L168" s="49">
        <v>122.1</v>
      </c>
      <c r="M168" s="49">
        <v>137.5</v>
      </c>
      <c r="N168" s="49">
        <v>124.6</v>
      </c>
      <c r="O168" s="49">
        <v>144.5</v>
      </c>
      <c r="P168" s="49">
        <v>140.5</v>
      </c>
      <c r="Q168" s="49">
        <v>152.1</v>
      </c>
      <c r="R168" s="49">
        <v>132.69999999999999</v>
      </c>
      <c r="S168" s="49">
        <v>124.3</v>
      </c>
      <c r="T168" s="49">
        <v>131.4</v>
      </c>
      <c r="U168" s="49">
        <v>134.4</v>
      </c>
      <c r="V168" s="49">
        <v>118.9</v>
      </c>
      <c r="W168" s="49">
        <v>127.7</v>
      </c>
      <c r="X168" s="49">
        <v>125.7</v>
      </c>
      <c r="Y168" s="49">
        <v>114.6</v>
      </c>
      <c r="Z168" s="49">
        <v>124.1</v>
      </c>
      <c r="AA168" s="49">
        <v>135.69999999999999</v>
      </c>
      <c r="AB168" s="49">
        <v>123.3</v>
      </c>
      <c r="AC168" s="49">
        <v>123.8</v>
      </c>
      <c r="AD168" s="49">
        <v>132.69999999999999</v>
      </c>
    </row>
    <row r="169" spans="1:30" x14ac:dyDescent="0.3">
      <c r="A169" s="49" t="s">
        <v>30</v>
      </c>
      <c r="B169" s="49">
        <v>2017</v>
      </c>
      <c r="C169" s="49" t="s">
        <v>50</v>
      </c>
      <c r="D169" s="49">
        <v>134.30000000000001</v>
      </c>
      <c r="E169" s="49">
        <v>143.4</v>
      </c>
      <c r="F169" s="49">
        <v>129.30000000000001</v>
      </c>
      <c r="G169" s="49">
        <v>139</v>
      </c>
      <c r="H169" s="49">
        <v>118.1</v>
      </c>
      <c r="I169" s="49">
        <v>145.5</v>
      </c>
      <c r="J169" s="49">
        <v>168.6</v>
      </c>
      <c r="K169" s="49">
        <v>132.69999999999999</v>
      </c>
      <c r="L169" s="49">
        <v>121.2</v>
      </c>
      <c r="M169" s="49">
        <v>135.6</v>
      </c>
      <c r="N169" s="49">
        <v>128.69999999999999</v>
      </c>
      <c r="O169" s="49">
        <v>146.80000000000001</v>
      </c>
      <c r="P169" s="49">
        <v>140.6</v>
      </c>
      <c r="Q169" s="49">
        <v>149.80000000000001</v>
      </c>
      <c r="R169" s="49">
        <v>140.30000000000001</v>
      </c>
      <c r="S169" s="49">
        <v>133</v>
      </c>
      <c r="T169" s="49">
        <v>139.30000000000001</v>
      </c>
      <c r="U169" s="49">
        <v>134.4</v>
      </c>
      <c r="V169" s="49">
        <v>129.80000000000001</v>
      </c>
      <c r="W169" s="49">
        <v>132.80000000000001</v>
      </c>
      <c r="X169" s="49">
        <v>130.19999999999999</v>
      </c>
      <c r="Y169" s="49">
        <v>117.3</v>
      </c>
      <c r="Z169" s="49">
        <v>127.3</v>
      </c>
      <c r="AA169" s="49">
        <v>137.6</v>
      </c>
      <c r="AB169" s="49">
        <v>124.5</v>
      </c>
      <c r="AC169" s="49">
        <v>126.8</v>
      </c>
      <c r="AD169" s="49">
        <v>135.4</v>
      </c>
    </row>
    <row r="170" spans="1:30" x14ac:dyDescent="0.3">
      <c r="A170" s="49" t="s">
        <v>41</v>
      </c>
      <c r="B170" s="49">
        <v>2017</v>
      </c>
      <c r="C170" s="49" t="s">
        <v>51</v>
      </c>
      <c r="D170" s="49">
        <v>135.19999999999999</v>
      </c>
      <c r="E170" s="49">
        <v>142</v>
      </c>
      <c r="F170" s="49">
        <v>130.5</v>
      </c>
      <c r="G170" s="49">
        <v>140.19999999999999</v>
      </c>
      <c r="H170" s="49">
        <v>120.7</v>
      </c>
      <c r="I170" s="49">
        <v>147.80000000000001</v>
      </c>
      <c r="J170" s="49">
        <v>154.5</v>
      </c>
      <c r="K170" s="49">
        <v>137.1</v>
      </c>
      <c r="L170" s="49">
        <v>121</v>
      </c>
      <c r="M170" s="49">
        <v>134.69999999999999</v>
      </c>
      <c r="N170" s="49">
        <v>131.69999999999999</v>
      </c>
      <c r="O170" s="49">
        <v>149.30000000000001</v>
      </c>
      <c r="P170" s="49">
        <v>139.6</v>
      </c>
      <c r="Q170" s="49">
        <v>149.80000000000001</v>
      </c>
      <c r="R170" s="49">
        <v>146.1</v>
      </c>
      <c r="S170" s="49">
        <v>139.69999999999999</v>
      </c>
      <c r="T170" s="49">
        <v>145.19999999999999</v>
      </c>
      <c r="U170" s="49" t="s">
        <v>43</v>
      </c>
      <c r="V170" s="49">
        <v>137.4</v>
      </c>
      <c r="W170" s="49">
        <v>137.9</v>
      </c>
      <c r="X170" s="49">
        <v>133.4</v>
      </c>
      <c r="Y170" s="49">
        <v>121.2</v>
      </c>
      <c r="Z170" s="49">
        <v>132.30000000000001</v>
      </c>
      <c r="AA170" s="49">
        <v>139.6</v>
      </c>
      <c r="AB170" s="49">
        <v>126.7</v>
      </c>
      <c r="AC170" s="49">
        <v>130.30000000000001</v>
      </c>
      <c r="AD170" s="49">
        <v>137.6</v>
      </c>
    </row>
    <row r="171" spans="1:30" x14ac:dyDescent="0.3">
      <c r="A171" s="49" t="s">
        <v>44</v>
      </c>
      <c r="B171" s="49">
        <v>2017</v>
      </c>
      <c r="C171" s="49" t="s">
        <v>51</v>
      </c>
      <c r="D171" s="49">
        <v>133.6</v>
      </c>
      <c r="E171" s="49">
        <v>143</v>
      </c>
      <c r="F171" s="49">
        <v>129.69999999999999</v>
      </c>
      <c r="G171" s="49">
        <v>138.69999999999999</v>
      </c>
      <c r="H171" s="49">
        <v>114.5</v>
      </c>
      <c r="I171" s="49">
        <v>137.5</v>
      </c>
      <c r="J171" s="49">
        <v>160.69999999999999</v>
      </c>
      <c r="K171" s="49">
        <v>124.5</v>
      </c>
      <c r="L171" s="49">
        <v>122.4</v>
      </c>
      <c r="M171" s="49">
        <v>137.30000000000001</v>
      </c>
      <c r="N171" s="49">
        <v>124.8</v>
      </c>
      <c r="O171" s="49">
        <v>145</v>
      </c>
      <c r="P171" s="49">
        <v>138</v>
      </c>
      <c r="Q171" s="49">
        <v>153.6</v>
      </c>
      <c r="R171" s="49">
        <v>133.30000000000001</v>
      </c>
      <c r="S171" s="49">
        <v>124.6</v>
      </c>
      <c r="T171" s="49">
        <v>132</v>
      </c>
      <c r="U171" s="49">
        <v>135.69999999999999</v>
      </c>
      <c r="V171" s="49">
        <v>120.6</v>
      </c>
      <c r="W171" s="49">
        <v>128.1</v>
      </c>
      <c r="X171" s="49">
        <v>126.1</v>
      </c>
      <c r="Y171" s="49">
        <v>115.7</v>
      </c>
      <c r="Z171" s="49">
        <v>124.5</v>
      </c>
      <c r="AA171" s="49">
        <v>135.9</v>
      </c>
      <c r="AB171" s="49">
        <v>124.4</v>
      </c>
      <c r="AC171" s="49">
        <v>124.5</v>
      </c>
      <c r="AD171" s="49">
        <v>132.4</v>
      </c>
    </row>
    <row r="172" spans="1:30" x14ac:dyDescent="0.3">
      <c r="A172" s="49" t="s">
        <v>30</v>
      </c>
      <c r="B172" s="49">
        <v>2017</v>
      </c>
      <c r="C172" s="49" t="s">
        <v>51</v>
      </c>
      <c r="D172" s="49">
        <v>134.69999999999999</v>
      </c>
      <c r="E172" s="49">
        <v>142.4</v>
      </c>
      <c r="F172" s="49">
        <v>130.19999999999999</v>
      </c>
      <c r="G172" s="49">
        <v>139.6</v>
      </c>
      <c r="H172" s="49">
        <v>118.4</v>
      </c>
      <c r="I172" s="49">
        <v>143</v>
      </c>
      <c r="J172" s="49">
        <v>156.6</v>
      </c>
      <c r="K172" s="49">
        <v>132.9</v>
      </c>
      <c r="L172" s="49">
        <v>121.5</v>
      </c>
      <c r="M172" s="49">
        <v>135.6</v>
      </c>
      <c r="N172" s="49">
        <v>128.80000000000001</v>
      </c>
      <c r="O172" s="49">
        <v>147.30000000000001</v>
      </c>
      <c r="P172" s="49">
        <v>139</v>
      </c>
      <c r="Q172" s="49">
        <v>150.80000000000001</v>
      </c>
      <c r="R172" s="49">
        <v>141.1</v>
      </c>
      <c r="S172" s="49">
        <v>133.4</v>
      </c>
      <c r="T172" s="49">
        <v>140</v>
      </c>
      <c r="U172" s="49">
        <v>135.69999999999999</v>
      </c>
      <c r="V172" s="49">
        <v>131</v>
      </c>
      <c r="W172" s="49">
        <v>133.30000000000001</v>
      </c>
      <c r="X172" s="49">
        <v>130.6</v>
      </c>
      <c r="Y172" s="49">
        <v>118.3</v>
      </c>
      <c r="Z172" s="49">
        <v>127.9</v>
      </c>
      <c r="AA172" s="49">
        <v>137.4</v>
      </c>
      <c r="AB172" s="49">
        <v>125.7</v>
      </c>
      <c r="AC172" s="49">
        <v>127.5</v>
      </c>
      <c r="AD172" s="49">
        <v>135.19999999999999</v>
      </c>
    </row>
    <row r="173" spans="1:30" x14ac:dyDescent="0.3">
      <c r="A173" s="49" t="s">
        <v>41</v>
      </c>
      <c r="B173" s="49">
        <v>2017</v>
      </c>
      <c r="C173" s="49" t="s">
        <v>52</v>
      </c>
      <c r="D173" s="49">
        <v>135.9</v>
      </c>
      <c r="E173" s="49">
        <v>141.9</v>
      </c>
      <c r="F173" s="49">
        <v>131</v>
      </c>
      <c r="G173" s="49">
        <v>141.5</v>
      </c>
      <c r="H173" s="49">
        <v>121.4</v>
      </c>
      <c r="I173" s="49">
        <v>146.69999999999999</v>
      </c>
      <c r="J173" s="49">
        <v>157.1</v>
      </c>
      <c r="K173" s="49">
        <v>136.4</v>
      </c>
      <c r="L173" s="49">
        <v>121.4</v>
      </c>
      <c r="M173" s="49">
        <v>135.6</v>
      </c>
      <c r="N173" s="49">
        <v>131.30000000000001</v>
      </c>
      <c r="O173" s="49">
        <v>150.30000000000001</v>
      </c>
      <c r="P173" s="49">
        <v>140.4</v>
      </c>
      <c r="Q173" s="49">
        <v>150.5</v>
      </c>
      <c r="R173" s="49">
        <v>147.19999999999999</v>
      </c>
      <c r="S173" s="49">
        <v>140.6</v>
      </c>
      <c r="T173" s="49">
        <v>146.19999999999999</v>
      </c>
      <c r="U173" s="49" t="s">
        <v>43</v>
      </c>
      <c r="V173" s="49">
        <v>138.1</v>
      </c>
      <c r="W173" s="49">
        <v>138.4</v>
      </c>
      <c r="X173" s="49">
        <v>134.19999999999999</v>
      </c>
      <c r="Y173" s="49">
        <v>121</v>
      </c>
      <c r="Z173" s="49">
        <v>133</v>
      </c>
      <c r="AA173" s="49">
        <v>140.1</v>
      </c>
      <c r="AB173" s="49">
        <v>127.4</v>
      </c>
      <c r="AC173" s="49">
        <v>130.69999999999999</v>
      </c>
      <c r="AD173" s="49">
        <v>138.30000000000001</v>
      </c>
    </row>
    <row r="174" spans="1:30" x14ac:dyDescent="0.3">
      <c r="A174" s="49" t="s">
        <v>44</v>
      </c>
      <c r="B174" s="49">
        <v>2017</v>
      </c>
      <c r="C174" s="49" t="s">
        <v>52</v>
      </c>
      <c r="D174" s="49">
        <v>133.9</v>
      </c>
      <c r="E174" s="49">
        <v>142.80000000000001</v>
      </c>
      <c r="F174" s="49">
        <v>131.4</v>
      </c>
      <c r="G174" s="49">
        <v>139.1</v>
      </c>
      <c r="H174" s="49">
        <v>114.9</v>
      </c>
      <c r="I174" s="49">
        <v>135.6</v>
      </c>
      <c r="J174" s="49">
        <v>173.2</v>
      </c>
      <c r="K174" s="49">
        <v>124.1</v>
      </c>
      <c r="L174" s="49">
        <v>122.6</v>
      </c>
      <c r="M174" s="49">
        <v>137.80000000000001</v>
      </c>
      <c r="N174" s="49">
        <v>125.1</v>
      </c>
      <c r="O174" s="49">
        <v>145.5</v>
      </c>
      <c r="P174" s="49">
        <v>139.69999999999999</v>
      </c>
      <c r="Q174" s="49">
        <v>154.6</v>
      </c>
      <c r="R174" s="49">
        <v>134</v>
      </c>
      <c r="S174" s="49">
        <v>124.9</v>
      </c>
      <c r="T174" s="49">
        <v>132.6</v>
      </c>
      <c r="U174" s="49">
        <v>137.30000000000001</v>
      </c>
      <c r="V174" s="49">
        <v>122.6</v>
      </c>
      <c r="W174" s="49">
        <v>128.30000000000001</v>
      </c>
      <c r="X174" s="49">
        <v>126.6</v>
      </c>
      <c r="Y174" s="49">
        <v>115</v>
      </c>
      <c r="Z174" s="49">
        <v>124.8</v>
      </c>
      <c r="AA174" s="49">
        <v>136.30000000000001</v>
      </c>
      <c r="AB174" s="49">
        <v>124.6</v>
      </c>
      <c r="AC174" s="49">
        <v>124.5</v>
      </c>
      <c r="AD174" s="49">
        <v>133.5</v>
      </c>
    </row>
    <row r="175" spans="1:30" x14ac:dyDescent="0.3">
      <c r="A175" s="49" t="s">
        <v>30</v>
      </c>
      <c r="B175" s="49">
        <v>2017</v>
      </c>
      <c r="C175" s="49" t="s">
        <v>52</v>
      </c>
      <c r="D175" s="49">
        <v>135.30000000000001</v>
      </c>
      <c r="E175" s="49">
        <v>142.19999999999999</v>
      </c>
      <c r="F175" s="49">
        <v>131.19999999999999</v>
      </c>
      <c r="G175" s="49">
        <v>140.6</v>
      </c>
      <c r="H175" s="49">
        <v>119</v>
      </c>
      <c r="I175" s="49">
        <v>141.5</v>
      </c>
      <c r="J175" s="49">
        <v>162.6</v>
      </c>
      <c r="K175" s="49">
        <v>132.30000000000001</v>
      </c>
      <c r="L175" s="49">
        <v>121.8</v>
      </c>
      <c r="M175" s="49">
        <v>136.30000000000001</v>
      </c>
      <c r="N175" s="49">
        <v>128.69999999999999</v>
      </c>
      <c r="O175" s="49">
        <v>148.1</v>
      </c>
      <c r="P175" s="49">
        <v>140.1</v>
      </c>
      <c r="Q175" s="49">
        <v>151.6</v>
      </c>
      <c r="R175" s="49">
        <v>142</v>
      </c>
      <c r="S175" s="49">
        <v>134.1</v>
      </c>
      <c r="T175" s="49">
        <v>140.80000000000001</v>
      </c>
      <c r="U175" s="49">
        <v>137.30000000000001</v>
      </c>
      <c r="V175" s="49">
        <v>132.19999999999999</v>
      </c>
      <c r="W175" s="49">
        <v>133.6</v>
      </c>
      <c r="X175" s="49">
        <v>131.30000000000001</v>
      </c>
      <c r="Y175" s="49">
        <v>117.8</v>
      </c>
      <c r="Z175" s="49">
        <v>128.4</v>
      </c>
      <c r="AA175" s="49">
        <v>137.9</v>
      </c>
      <c r="AB175" s="49">
        <v>126.2</v>
      </c>
      <c r="AC175" s="49">
        <v>127.7</v>
      </c>
      <c r="AD175" s="49">
        <v>136.1</v>
      </c>
    </row>
    <row r="176" spans="1:30" x14ac:dyDescent="0.3">
      <c r="A176" s="49" t="s">
        <v>41</v>
      </c>
      <c r="B176" s="49">
        <v>2017</v>
      </c>
      <c r="C176" s="49" t="s">
        <v>54</v>
      </c>
      <c r="D176" s="49">
        <v>136.30000000000001</v>
      </c>
      <c r="E176" s="49">
        <v>142.5</v>
      </c>
      <c r="F176" s="49">
        <v>140.5</v>
      </c>
      <c r="G176" s="49">
        <v>141.5</v>
      </c>
      <c r="H176" s="49">
        <v>121.6</v>
      </c>
      <c r="I176" s="49">
        <v>147.30000000000001</v>
      </c>
      <c r="J176" s="49">
        <v>168</v>
      </c>
      <c r="K176" s="49">
        <v>135.80000000000001</v>
      </c>
      <c r="L176" s="49">
        <v>122.5</v>
      </c>
      <c r="M176" s="49">
        <v>136</v>
      </c>
      <c r="N176" s="49">
        <v>131.9</v>
      </c>
      <c r="O176" s="49">
        <v>151.4</v>
      </c>
      <c r="P176" s="49">
        <v>142.4</v>
      </c>
      <c r="Q176" s="49">
        <v>152.1</v>
      </c>
      <c r="R176" s="49">
        <v>148.19999999999999</v>
      </c>
      <c r="S176" s="49">
        <v>141.5</v>
      </c>
      <c r="T176" s="49">
        <v>147.30000000000001</v>
      </c>
      <c r="U176" s="49" t="s">
        <v>43</v>
      </c>
      <c r="V176" s="49">
        <v>141.1</v>
      </c>
      <c r="W176" s="49">
        <v>139.4</v>
      </c>
      <c r="X176" s="49">
        <v>135.80000000000001</v>
      </c>
      <c r="Y176" s="49">
        <v>121.6</v>
      </c>
      <c r="Z176" s="49">
        <v>133.69999999999999</v>
      </c>
      <c r="AA176" s="49">
        <v>141.5</v>
      </c>
      <c r="AB176" s="49">
        <v>128.1</v>
      </c>
      <c r="AC176" s="49">
        <v>131.69999999999999</v>
      </c>
      <c r="AD176" s="49">
        <v>140</v>
      </c>
    </row>
    <row r="177" spans="1:30" x14ac:dyDescent="0.3">
      <c r="A177" s="49" t="s">
        <v>44</v>
      </c>
      <c r="B177" s="49">
        <v>2017</v>
      </c>
      <c r="C177" s="49" t="s">
        <v>54</v>
      </c>
      <c r="D177" s="49">
        <v>134.30000000000001</v>
      </c>
      <c r="E177" s="49">
        <v>142.1</v>
      </c>
      <c r="F177" s="49">
        <v>146.69999999999999</v>
      </c>
      <c r="G177" s="49">
        <v>139.5</v>
      </c>
      <c r="H177" s="49">
        <v>115.2</v>
      </c>
      <c r="I177" s="49">
        <v>136.4</v>
      </c>
      <c r="J177" s="49">
        <v>185.2</v>
      </c>
      <c r="K177" s="49">
        <v>122.2</v>
      </c>
      <c r="L177" s="49">
        <v>123.9</v>
      </c>
      <c r="M177" s="49">
        <v>138.30000000000001</v>
      </c>
      <c r="N177" s="49">
        <v>125.4</v>
      </c>
      <c r="O177" s="49">
        <v>146</v>
      </c>
      <c r="P177" s="49">
        <v>141.5</v>
      </c>
      <c r="Q177" s="49">
        <v>156.19999999999999</v>
      </c>
      <c r="R177" s="49">
        <v>135</v>
      </c>
      <c r="S177" s="49">
        <v>125.4</v>
      </c>
      <c r="T177" s="49">
        <v>133.5</v>
      </c>
      <c r="U177" s="49">
        <v>138.6</v>
      </c>
      <c r="V177" s="49">
        <v>125.7</v>
      </c>
      <c r="W177" s="49">
        <v>128.80000000000001</v>
      </c>
      <c r="X177" s="49">
        <v>127.4</v>
      </c>
      <c r="Y177" s="49">
        <v>115.3</v>
      </c>
      <c r="Z177" s="49">
        <v>125.1</v>
      </c>
      <c r="AA177" s="49">
        <v>136.6</v>
      </c>
      <c r="AB177" s="49">
        <v>124.9</v>
      </c>
      <c r="AC177" s="49">
        <v>124.9</v>
      </c>
      <c r="AD177" s="49">
        <v>134.80000000000001</v>
      </c>
    </row>
    <row r="178" spans="1:30" x14ac:dyDescent="0.3">
      <c r="A178" s="49" t="s">
        <v>30</v>
      </c>
      <c r="B178" s="49">
        <v>2017</v>
      </c>
      <c r="C178" s="49" t="s">
        <v>54</v>
      </c>
      <c r="D178" s="49">
        <v>135.69999999999999</v>
      </c>
      <c r="E178" s="49">
        <v>142.4</v>
      </c>
      <c r="F178" s="49">
        <v>142.9</v>
      </c>
      <c r="G178" s="49">
        <v>140.80000000000001</v>
      </c>
      <c r="H178" s="49">
        <v>119.2</v>
      </c>
      <c r="I178" s="49">
        <v>142.19999999999999</v>
      </c>
      <c r="J178" s="49">
        <v>173.8</v>
      </c>
      <c r="K178" s="49">
        <v>131.19999999999999</v>
      </c>
      <c r="L178" s="49">
        <v>123</v>
      </c>
      <c r="M178" s="49">
        <v>136.80000000000001</v>
      </c>
      <c r="N178" s="49">
        <v>129.19999999999999</v>
      </c>
      <c r="O178" s="49">
        <v>148.9</v>
      </c>
      <c r="P178" s="49">
        <v>142.1</v>
      </c>
      <c r="Q178" s="49">
        <v>153.19999999999999</v>
      </c>
      <c r="R178" s="49">
        <v>143</v>
      </c>
      <c r="S178" s="49">
        <v>134.80000000000001</v>
      </c>
      <c r="T178" s="49">
        <v>141.80000000000001</v>
      </c>
      <c r="U178" s="49">
        <v>138.6</v>
      </c>
      <c r="V178" s="49">
        <v>135.30000000000001</v>
      </c>
      <c r="W178" s="49">
        <v>134.4</v>
      </c>
      <c r="X178" s="49">
        <v>132.6</v>
      </c>
      <c r="Y178" s="49">
        <v>118.3</v>
      </c>
      <c r="Z178" s="49">
        <v>128.9</v>
      </c>
      <c r="AA178" s="49">
        <v>138.6</v>
      </c>
      <c r="AB178" s="49">
        <v>126.8</v>
      </c>
      <c r="AC178" s="49">
        <v>128.4</v>
      </c>
      <c r="AD178" s="49">
        <v>137.6</v>
      </c>
    </row>
    <row r="179" spans="1:30" x14ac:dyDescent="0.3">
      <c r="A179" s="49" t="s">
        <v>41</v>
      </c>
      <c r="B179" s="49">
        <v>2017</v>
      </c>
      <c r="C179" s="49" t="s">
        <v>55</v>
      </c>
      <c r="D179" s="49">
        <v>136.4</v>
      </c>
      <c r="E179" s="49">
        <v>143.69999999999999</v>
      </c>
      <c r="F179" s="49">
        <v>144.80000000000001</v>
      </c>
      <c r="G179" s="49">
        <v>141.9</v>
      </c>
      <c r="H179" s="49">
        <v>123.1</v>
      </c>
      <c r="I179" s="49">
        <v>147.19999999999999</v>
      </c>
      <c r="J179" s="49">
        <v>161</v>
      </c>
      <c r="K179" s="49">
        <v>133.80000000000001</v>
      </c>
      <c r="L179" s="49">
        <v>121.9</v>
      </c>
      <c r="M179" s="49">
        <v>135.80000000000001</v>
      </c>
      <c r="N179" s="49">
        <v>131.1</v>
      </c>
      <c r="O179" s="49">
        <v>151.4</v>
      </c>
      <c r="P179" s="49">
        <v>141.5</v>
      </c>
      <c r="Q179" s="49">
        <v>153.19999999999999</v>
      </c>
      <c r="R179" s="49">
        <v>148</v>
      </c>
      <c r="S179" s="49">
        <v>141.9</v>
      </c>
      <c r="T179" s="49">
        <v>147.19999999999999</v>
      </c>
      <c r="U179" s="49" t="s">
        <v>43</v>
      </c>
      <c r="V179" s="49">
        <v>142.6</v>
      </c>
      <c r="W179" s="49">
        <v>139.5</v>
      </c>
      <c r="X179" s="49">
        <v>136.1</v>
      </c>
      <c r="Y179" s="49">
        <v>122</v>
      </c>
      <c r="Z179" s="49">
        <v>133.4</v>
      </c>
      <c r="AA179" s="49">
        <v>141.1</v>
      </c>
      <c r="AB179" s="49">
        <v>127.8</v>
      </c>
      <c r="AC179" s="49">
        <v>131.9</v>
      </c>
      <c r="AD179" s="49">
        <v>139.80000000000001</v>
      </c>
    </row>
    <row r="180" spans="1:30" x14ac:dyDescent="0.3">
      <c r="A180" s="49" t="s">
        <v>44</v>
      </c>
      <c r="B180" s="49">
        <v>2017</v>
      </c>
      <c r="C180" s="49" t="s">
        <v>55</v>
      </c>
      <c r="D180" s="49">
        <v>134.4</v>
      </c>
      <c r="E180" s="49">
        <v>142.6</v>
      </c>
      <c r="F180" s="49">
        <v>145.9</v>
      </c>
      <c r="G180" s="49">
        <v>139.5</v>
      </c>
      <c r="H180" s="49">
        <v>115.9</v>
      </c>
      <c r="I180" s="49">
        <v>135</v>
      </c>
      <c r="J180" s="49">
        <v>163.19999999999999</v>
      </c>
      <c r="K180" s="49">
        <v>119.8</v>
      </c>
      <c r="L180" s="49">
        <v>120.7</v>
      </c>
      <c r="M180" s="49">
        <v>139.69999999999999</v>
      </c>
      <c r="N180" s="49">
        <v>125.7</v>
      </c>
      <c r="O180" s="49">
        <v>146.30000000000001</v>
      </c>
      <c r="P180" s="49">
        <v>138.80000000000001</v>
      </c>
      <c r="Q180" s="49">
        <v>157</v>
      </c>
      <c r="R180" s="49">
        <v>135.6</v>
      </c>
      <c r="S180" s="49">
        <v>125.6</v>
      </c>
      <c r="T180" s="49">
        <v>134</v>
      </c>
      <c r="U180" s="49">
        <v>139.1</v>
      </c>
      <c r="V180" s="49">
        <v>126.8</v>
      </c>
      <c r="W180" s="49">
        <v>129.30000000000001</v>
      </c>
      <c r="X180" s="49">
        <v>128.19999999999999</v>
      </c>
      <c r="Y180" s="49">
        <v>115.3</v>
      </c>
      <c r="Z180" s="49">
        <v>125.6</v>
      </c>
      <c r="AA180" s="49">
        <v>136.69999999999999</v>
      </c>
      <c r="AB180" s="49">
        <v>124.6</v>
      </c>
      <c r="AC180" s="49">
        <v>125.1</v>
      </c>
      <c r="AD180" s="49">
        <v>134.1</v>
      </c>
    </row>
    <row r="181" spans="1:30" x14ac:dyDescent="0.3">
      <c r="A181" s="49" t="s">
        <v>30</v>
      </c>
      <c r="B181" s="49">
        <v>2017</v>
      </c>
      <c r="C181" s="49" t="s">
        <v>55</v>
      </c>
      <c r="D181" s="49">
        <v>135.80000000000001</v>
      </c>
      <c r="E181" s="49">
        <v>143.30000000000001</v>
      </c>
      <c r="F181" s="49">
        <v>145.19999999999999</v>
      </c>
      <c r="G181" s="49">
        <v>141</v>
      </c>
      <c r="H181" s="49">
        <v>120.5</v>
      </c>
      <c r="I181" s="49">
        <v>141.5</v>
      </c>
      <c r="J181" s="49">
        <v>161.69999999999999</v>
      </c>
      <c r="K181" s="49">
        <v>129.1</v>
      </c>
      <c r="L181" s="49">
        <v>121.5</v>
      </c>
      <c r="M181" s="49">
        <v>137.1</v>
      </c>
      <c r="N181" s="49">
        <v>128.80000000000001</v>
      </c>
      <c r="O181" s="49">
        <v>149</v>
      </c>
      <c r="P181" s="49">
        <v>140.5</v>
      </c>
      <c r="Q181" s="49">
        <v>154.19999999999999</v>
      </c>
      <c r="R181" s="49">
        <v>143.1</v>
      </c>
      <c r="S181" s="49">
        <v>135.1</v>
      </c>
      <c r="T181" s="49">
        <v>142</v>
      </c>
      <c r="U181" s="49">
        <v>139.1</v>
      </c>
      <c r="V181" s="49">
        <v>136.6</v>
      </c>
      <c r="W181" s="49">
        <v>134.69999999999999</v>
      </c>
      <c r="X181" s="49">
        <v>133.1</v>
      </c>
      <c r="Y181" s="49">
        <v>118.5</v>
      </c>
      <c r="Z181" s="49">
        <v>129</v>
      </c>
      <c r="AA181" s="49">
        <v>138.5</v>
      </c>
      <c r="AB181" s="49">
        <v>126.5</v>
      </c>
      <c r="AC181" s="49">
        <v>128.6</v>
      </c>
      <c r="AD181" s="49">
        <v>137.19999999999999</v>
      </c>
    </row>
    <row r="182" spans="1:30" x14ac:dyDescent="0.3">
      <c r="A182" s="49" t="s">
        <v>41</v>
      </c>
      <c r="B182" s="49">
        <v>2018</v>
      </c>
      <c r="C182" s="49" t="s">
        <v>42</v>
      </c>
      <c r="D182" s="49">
        <v>136.6</v>
      </c>
      <c r="E182" s="49">
        <v>144.4</v>
      </c>
      <c r="F182" s="49">
        <v>143.80000000000001</v>
      </c>
      <c r="G182" s="49">
        <v>142</v>
      </c>
      <c r="H182" s="49">
        <v>123.2</v>
      </c>
      <c r="I182" s="49">
        <v>147.9</v>
      </c>
      <c r="J182" s="49">
        <v>152.1</v>
      </c>
      <c r="K182" s="49">
        <v>131.80000000000001</v>
      </c>
      <c r="L182" s="49">
        <v>119.5</v>
      </c>
      <c r="M182" s="49">
        <v>136</v>
      </c>
      <c r="N182" s="49">
        <v>131.19999999999999</v>
      </c>
      <c r="O182" s="49">
        <v>151.80000000000001</v>
      </c>
      <c r="P182" s="49">
        <v>140.4</v>
      </c>
      <c r="Q182" s="49">
        <v>153.6</v>
      </c>
      <c r="R182" s="49">
        <v>148.30000000000001</v>
      </c>
      <c r="S182" s="49">
        <v>142.30000000000001</v>
      </c>
      <c r="T182" s="49">
        <v>147.5</v>
      </c>
      <c r="U182" s="49" t="s">
        <v>43</v>
      </c>
      <c r="V182" s="49">
        <v>142.30000000000001</v>
      </c>
      <c r="W182" s="49">
        <v>139.80000000000001</v>
      </c>
      <c r="X182" s="49">
        <v>136</v>
      </c>
      <c r="Y182" s="49">
        <v>122.7</v>
      </c>
      <c r="Z182" s="49">
        <v>134.30000000000001</v>
      </c>
      <c r="AA182" s="49">
        <v>141.6</v>
      </c>
      <c r="AB182" s="49">
        <v>128.6</v>
      </c>
      <c r="AC182" s="49">
        <v>132.30000000000001</v>
      </c>
      <c r="AD182" s="49">
        <v>139.30000000000001</v>
      </c>
    </row>
    <row r="183" spans="1:30" x14ac:dyDescent="0.3">
      <c r="A183" s="49" t="s">
        <v>44</v>
      </c>
      <c r="B183" s="49">
        <v>2018</v>
      </c>
      <c r="C183" s="49" t="s">
        <v>42</v>
      </c>
      <c r="D183" s="49">
        <v>134.6</v>
      </c>
      <c r="E183" s="49">
        <v>143.69999999999999</v>
      </c>
      <c r="F183" s="49">
        <v>143.6</v>
      </c>
      <c r="G183" s="49">
        <v>139.6</v>
      </c>
      <c r="H183" s="49">
        <v>116.4</v>
      </c>
      <c r="I183" s="49">
        <v>133.80000000000001</v>
      </c>
      <c r="J183" s="49">
        <v>150.5</v>
      </c>
      <c r="K183" s="49">
        <v>118.4</v>
      </c>
      <c r="L183" s="49">
        <v>117.3</v>
      </c>
      <c r="M183" s="49">
        <v>140.5</v>
      </c>
      <c r="N183" s="49">
        <v>125.9</v>
      </c>
      <c r="O183" s="49">
        <v>146.80000000000001</v>
      </c>
      <c r="P183" s="49">
        <v>137.19999999999999</v>
      </c>
      <c r="Q183" s="49">
        <v>157.69999999999999</v>
      </c>
      <c r="R183" s="49">
        <v>136</v>
      </c>
      <c r="S183" s="49">
        <v>125.9</v>
      </c>
      <c r="T183" s="49">
        <v>134.4</v>
      </c>
      <c r="U183" s="49">
        <v>140.4</v>
      </c>
      <c r="V183" s="49">
        <v>127.3</v>
      </c>
      <c r="W183" s="49">
        <v>129.5</v>
      </c>
      <c r="X183" s="49">
        <v>129</v>
      </c>
      <c r="Y183" s="49">
        <v>116.3</v>
      </c>
      <c r="Z183" s="49">
        <v>126.2</v>
      </c>
      <c r="AA183" s="49">
        <v>137.1</v>
      </c>
      <c r="AB183" s="49">
        <v>125.5</v>
      </c>
      <c r="AC183" s="49">
        <v>125.8</v>
      </c>
      <c r="AD183" s="49">
        <v>134.1</v>
      </c>
    </row>
    <row r="184" spans="1:30" x14ac:dyDescent="0.3">
      <c r="A184" s="49" t="s">
        <v>30</v>
      </c>
      <c r="B184" s="49">
        <v>2018</v>
      </c>
      <c r="C184" s="49" t="s">
        <v>42</v>
      </c>
      <c r="D184" s="49">
        <v>136</v>
      </c>
      <c r="E184" s="49">
        <v>144.19999999999999</v>
      </c>
      <c r="F184" s="49">
        <v>143.69999999999999</v>
      </c>
      <c r="G184" s="49">
        <v>141.1</v>
      </c>
      <c r="H184" s="49">
        <v>120.7</v>
      </c>
      <c r="I184" s="49">
        <v>141.30000000000001</v>
      </c>
      <c r="J184" s="49">
        <v>151.6</v>
      </c>
      <c r="K184" s="49">
        <v>127.3</v>
      </c>
      <c r="L184" s="49">
        <v>118.8</v>
      </c>
      <c r="M184" s="49">
        <v>137.5</v>
      </c>
      <c r="N184" s="49">
        <v>129</v>
      </c>
      <c r="O184" s="49">
        <v>149.5</v>
      </c>
      <c r="P184" s="49">
        <v>139.19999999999999</v>
      </c>
      <c r="Q184" s="49">
        <v>154.69999999999999</v>
      </c>
      <c r="R184" s="49">
        <v>143.5</v>
      </c>
      <c r="S184" s="49">
        <v>135.5</v>
      </c>
      <c r="T184" s="49">
        <v>142.30000000000001</v>
      </c>
      <c r="U184" s="49">
        <v>140.4</v>
      </c>
      <c r="V184" s="49">
        <v>136.6</v>
      </c>
      <c r="W184" s="49">
        <v>134.9</v>
      </c>
      <c r="X184" s="49">
        <v>133.30000000000001</v>
      </c>
      <c r="Y184" s="49">
        <v>119.3</v>
      </c>
      <c r="Z184" s="49">
        <v>129.69999999999999</v>
      </c>
      <c r="AA184" s="49">
        <v>139</v>
      </c>
      <c r="AB184" s="49">
        <v>127.3</v>
      </c>
      <c r="AC184" s="49">
        <v>129.1</v>
      </c>
      <c r="AD184" s="49">
        <v>136.9</v>
      </c>
    </row>
    <row r="185" spans="1:30" x14ac:dyDescent="0.3">
      <c r="A185" s="49" t="s">
        <v>41</v>
      </c>
      <c r="B185" s="49">
        <v>2018</v>
      </c>
      <c r="C185" s="49" t="s">
        <v>45</v>
      </c>
      <c r="D185" s="49">
        <v>136.4</v>
      </c>
      <c r="E185" s="49">
        <v>143.69999999999999</v>
      </c>
      <c r="F185" s="49">
        <v>140.6</v>
      </c>
      <c r="G185" s="49">
        <v>141.5</v>
      </c>
      <c r="H185" s="49">
        <v>122.9</v>
      </c>
      <c r="I185" s="49">
        <v>149.4</v>
      </c>
      <c r="J185" s="49">
        <v>142.4</v>
      </c>
      <c r="K185" s="49">
        <v>130.19999999999999</v>
      </c>
      <c r="L185" s="49">
        <v>117.9</v>
      </c>
      <c r="M185" s="49">
        <v>135.6</v>
      </c>
      <c r="N185" s="49">
        <v>130.5</v>
      </c>
      <c r="O185" s="49">
        <v>151.69999999999999</v>
      </c>
      <c r="P185" s="49">
        <v>138.69999999999999</v>
      </c>
      <c r="Q185" s="49">
        <v>153.30000000000001</v>
      </c>
      <c r="R185" s="49">
        <v>148.69999999999999</v>
      </c>
      <c r="S185" s="49">
        <v>142.4</v>
      </c>
      <c r="T185" s="49">
        <v>147.80000000000001</v>
      </c>
      <c r="U185" s="49" t="s">
        <v>43</v>
      </c>
      <c r="V185" s="49">
        <v>142.4</v>
      </c>
      <c r="W185" s="49">
        <v>139.9</v>
      </c>
      <c r="X185" s="49">
        <v>136.19999999999999</v>
      </c>
      <c r="Y185" s="49">
        <v>123.3</v>
      </c>
      <c r="Z185" s="49">
        <v>134.30000000000001</v>
      </c>
      <c r="AA185" s="49">
        <v>141.5</v>
      </c>
      <c r="AB185" s="49">
        <v>128.80000000000001</v>
      </c>
      <c r="AC185" s="49">
        <v>132.5</v>
      </c>
      <c r="AD185" s="49">
        <v>138.5</v>
      </c>
    </row>
    <row r="186" spans="1:30" x14ac:dyDescent="0.3">
      <c r="A186" s="49" t="s">
        <v>44</v>
      </c>
      <c r="B186" s="49">
        <v>2018</v>
      </c>
      <c r="C186" s="49" t="s">
        <v>45</v>
      </c>
      <c r="D186" s="49">
        <v>134.80000000000001</v>
      </c>
      <c r="E186" s="49">
        <v>143</v>
      </c>
      <c r="F186" s="49">
        <v>139.9</v>
      </c>
      <c r="G186" s="49">
        <v>139.9</v>
      </c>
      <c r="H186" s="49">
        <v>116.2</v>
      </c>
      <c r="I186" s="49">
        <v>135.5</v>
      </c>
      <c r="J186" s="49">
        <v>136.9</v>
      </c>
      <c r="K186" s="49">
        <v>117</v>
      </c>
      <c r="L186" s="49">
        <v>115.4</v>
      </c>
      <c r="M186" s="49">
        <v>140.69999999999999</v>
      </c>
      <c r="N186" s="49">
        <v>125.9</v>
      </c>
      <c r="O186" s="49">
        <v>147.1</v>
      </c>
      <c r="P186" s="49">
        <v>135.6</v>
      </c>
      <c r="Q186" s="49">
        <v>159.30000000000001</v>
      </c>
      <c r="R186" s="49">
        <v>136.30000000000001</v>
      </c>
      <c r="S186" s="49">
        <v>126.1</v>
      </c>
      <c r="T186" s="49">
        <v>134.69999999999999</v>
      </c>
      <c r="U186" s="49">
        <v>141.30000000000001</v>
      </c>
      <c r="V186" s="49">
        <v>127.3</v>
      </c>
      <c r="W186" s="49">
        <v>129.9</v>
      </c>
      <c r="X186" s="49">
        <v>129.80000000000001</v>
      </c>
      <c r="Y186" s="49">
        <v>117.4</v>
      </c>
      <c r="Z186" s="49">
        <v>126.5</v>
      </c>
      <c r="AA186" s="49">
        <v>137.19999999999999</v>
      </c>
      <c r="AB186" s="49">
        <v>126.2</v>
      </c>
      <c r="AC186" s="49">
        <v>126.5</v>
      </c>
      <c r="AD186" s="49">
        <v>134</v>
      </c>
    </row>
    <row r="187" spans="1:30" x14ac:dyDescent="0.3">
      <c r="A187" s="49" t="s">
        <v>30</v>
      </c>
      <c r="B187" s="49">
        <v>2018</v>
      </c>
      <c r="C187" s="49" t="s">
        <v>45</v>
      </c>
      <c r="D187" s="49">
        <v>135.9</v>
      </c>
      <c r="E187" s="49">
        <v>143.5</v>
      </c>
      <c r="F187" s="49">
        <v>140.30000000000001</v>
      </c>
      <c r="G187" s="49">
        <v>140.9</v>
      </c>
      <c r="H187" s="49">
        <v>120.4</v>
      </c>
      <c r="I187" s="49">
        <v>142.9</v>
      </c>
      <c r="J187" s="49">
        <v>140.5</v>
      </c>
      <c r="K187" s="49">
        <v>125.8</v>
      </c>
      <c r="L187" s="49">
        <v>117.1</v>
      </c>
      <c r="M187" s="49">
        <v>137.30000000000001</v>
      </c>
      <c r="N187" s="49">
        <v>128.6</v>
      </c>
      <c r="O187" s="49">
        <v>149.6</v>
      </c>
      <c r="P187" s="49">
        <v>137.6</v>
      </c>
      <c r="Q187" s="49">
        <v>154.9</v>
      </c>
      <c r="R187" s="49">
        <v>143.80000000000001</v>
      </c>
      <c r="S187" s="49">
        <v>135.6</v>
      </c>
      <c r="T187" s="49">
        <v>142.6</v>
      </c>
      <c r="U187" s="49">
        <v>141.30000000000001</v>
      </c>
      <c r="V187" s="49">
        <v>136.69999999999999</v>
      </c>
      <c r="W187" s="49">
        <v>135.19999999999999</v>
      </c>
      <c r="X187" s="49">
        <v>133.80000000000001</v>
      </c>
      <c r="Y187" s="49">
        <v>120.2</v>
      </c>
      <c r="Z187" s="49">
        <v>129.9</v>
      </c>
      <c r="AA187" s="49">
        <v>139</v>
      </c>
      <c r="AB187" s="49">
        <v>127.7</v>
      </c>
      <c r="AC187" s="49">
        <v>129.6</v>
      </c>
      <c r="AD187" s="49">
        <v>136.4</v>
      </c>
    </row>
    <row r="188" spans="1:30" x14ac:dyDescent="0.3">
      <c r="A188" s="49" t="s">
        <v>41</v>
      </c>
      <c r="B188" s="49">
        <v>2018</v>
      </c>
      <c r="C188" s="49" t="s">
        <v>46</v>
      </c>
      <c r="D188" s="49">
        <v>136.80000000000001</v>
      </c>
      <c r="E188" s="49">
        <v>143.80000000000001</v>
      </c>
      <c r="F188" s="49">
        <v>140</v>
      </c>
      <c r="G188" s="49">
        <v>142</v>
      </c>
      <c r="H188" s="49">
        <v>123.2</v>
      </c>
      <c r="I188" s="49">
        <v>152.9</v>
      </c>
      <c r="J188" s="49">
        <v>138</v>
      </c>
      <c r="K188" s="49">
        <v>129.30000000000001</v>
      </c>
      <c r="L188" s="49">
        <v>117.1</v>
      </c>
      <c r="M188" s="49">
        <v>136.30000000000001</v>
      </c>
      <c r="N188" s="49">
        <v>131.19999999999999</v>
      </c>
      <c r="O188" s="49">
        <v>152.80000000000001</v>
      </c>
      <c r="P188" s="49">
        <v>138.6</v>
      </c>
      <c r="Q188" s="49">
        <v>155.1</v>
      </c>
      <c r="R188" s="49">
        <v>149.19999999999999</v>
      </c>
      <c r="S188" s="49">
        <v>143</v>
      </c>
      <c r="T188" s="49">
        <v>148.30000000000001</v>
      </c>
      <c r="U188" s="49" t="s">
        <v>43</v>
      </c>
      <c r="V188" s="49">
        <v>142.6</v>
      </c>
      <c r="W188" s="49">
        <v>139.9</v>
      </c>
      <c r="X188" s="49">
        <v>136.69999999999999</v>
      </c>
      <c r="Y188" s="49">
        <v>124.6</v>
      </c>
      <c r="Z188" s="49">
        <v>135.1</v>
      </c>
      <c r="AA188" s="49">
        <v>142.69999999999999</v>
      </c>
      <c r="AB188" s="49">
        <v>129.30000000000001</v>
      </c>
      <c r="AC188" s="49">
        <v>133.30000000000001</v>
      </c>
      <c r="AD188" s="49">
        <v>138.69999999999999</v>
      </c>
    </row>
    <row r="189" spans="1:30" x14ac:dyDescent="0.3">
      <c r="A189" s="49" t="s">
        <v>44</v>
      </c>
      <c r="B189" s="49">
        <v>2018</v>
      </c>
      <c r="C189" s="49" t="s">
        <v>46</v>
      </c>
      <c r="D189" s="49">
        <v>135</v>
      </c>
      <c r="E189" s="49">
        <v>143.1</v>
      </c>
      <c r="F189" s="49">
        <v>135.5</v>
      </c>
      <c r="G189" s="49">
        <v>139.9</v>
      </c>
      <c r="H189" s="49">
        <v>116.5</v>
      </c>
      <c r="I189" s="49">
        <v>138.5</v>
      </c>
      <c r="J189" s="49">
        <v>128</v>
      </c>
      <c r="K189" s="49">
        <v>115.5</v>
      </c>
      <c r="L189" s="49">
        <v>114.2</v>
      </c>
      <c r="M189" s="49">
        <v>140.69999999999999</v>
      </c>
      <c r="N189" s="49">
        <v>126.2</v>
      </c>
      <c r="O189" s="49">
        <v>147.6</v>
      </c>
      <c r="P189" s="49">
        <v>134.80000000000001</v>
      </c>
      <c r="Q189" s="49">
        <v>159.69999999999999</v>
      </c>
      <c r="R189" s="49">
        <v>136.69999999999999</v>
      </c>
      <c r="S189" s="49">
        <v>126.7</v>
      </c>
      <c r="T189" s="49">
        <v>135.19999999999999</v>
      </c>
      <c r="U189" s="49">
        <v>142</v>
      </c>
      <c r="V189" s="49">
        <v>126.4</v>
      </c>
      <c r="W189" s="49">
        <v>130.80000000000001</v>
      </c>
      <c r="X189" s="49">
        <v>130.5</v>
      </c>
      <c r="Y189" s="49">
        <v>117.8</v>
      </c>
      <c r="Z189" s="49">
        <v>126.8</v>
      </c>
      <c r="AA189" s="49">
        <v>137.80000000000001</v>
      </c>
      <c r="AB189" s="49">
        <v>126.7</v>
      </c>
      <c r="AC189" s="49">
        <v>127.1</v>
      </c>
      <c r="AD189" s="49">
        <v>134</v>
      </c>
    </row>
    <row r="190" spans="1:30" x14ac:dyDescent="0.3">
      <c r="A190" s="49" t="s">
        <v>30</v>
      </c>
      <c r="B190" s="49">
        <v>2018</v>
      </c>
      <c r="C190" s="49" t="s">
        <v>46</v>
      </c>
      <c r="D190" s="49">
        <v>136.19999999999999</v>
      </c>
      <c r="E190" s="49">
        <v>143.6</v>
      </c>
      <c r="F190" s="49">
        <v>138.30000000000001</v>
      </c>
      <c r="G190" s="49">
        <v>141.19999999999999</v>
      </c>
      <c r="H190" s="49">
        <v>120.7</v>
      </c>
      <c r="I190" s="49">
        <v>146.19999999999999</v>
      </c>
      <c r="J190" s="49">
        <v>134.6</v>
      </c>
      <c r="K190" s="49">
        <v>124.6</v>
      </c>
      <c r="L190" s="49">
        <v>116.1</v>
      </c>
      <c r="M190" s="49">
        <v>137.80000000000001</v>
      </c>
      <c r="N190" s="49">
        <v>129.1</v>
      </c>
      <c r="O190" s="49">
        <v>150.4</v>
      </c>
      <c r="P190" s="49">
        <v>137.19999999999999</v>
      </c>
      <c r="Q190" s="49">
        <v>156.30000000000001</v>
      </c>
      <c r="R190" s="49">
        <v>144.30000000000001</v>
      </c>
      <c r="S190" s="49">
        <v>136.19999999999999</v>
      </c>
      <c r="T190" s="49">
        <v>143.1</v>
      </c>
      <c r="U190" s="49">
        <v>142</v>
      </c>
      <c r="V190" s="49">
        <v>136.5</v>
      </c>
      <c r="W190" s="49">
        <v>135.6</v>
      </c>
      <c r="X190" s="49">
        <v>134.30000000000001</v>
      </c>
      <c r="Y190" s="49">
        <v>121</v>
      </c>
      <c r="Z190" s="49">
        <v>130.4</v>
      </c>
      <c r="AA190" s="49">
        <v>139.80000000000001</v>
      </c>
      <c r="AB190" s="49">
        <v>128.19999999999999</v>
      </c>
      <c r="AC190" s="49">
        <v>130.30000000000001</v>
      </c>
      <c r="AD190" s="49">
        <v>136.5</v>
      </c>
    </row>
    <row r="191" spans="1:30" x14ac:dyDescent="0.3">
      <c r="A191" s="49" t="s">
        <v>41</v>
      </c>
      <c r="B191" s="49">
        <v>2018</v>
      </c>
      <c r="C191" s="49" t="s">
        <v>47</v>
      </c>
      <c r="D191" s="49">
        <v>137.1</v>
      </c>
      <c r="E191" s="49">
        <v>144.5</v>
      </c>
      <c r="F191" s="49">
        <v>135.9</v>
      </c>
      <c r="G191" s="49">
        <v>142.4</v>
      </c>
      <c r="H191" s="49">
        <v>123.5</v>
      </c>
      <c r="I191" s="49">
        <v>156.4</v>
      </c>
      <c r="J191" s="49">
        <v>135.1</v>
      </c>
      <c r="K191" s="49">
        <v>128.4</v>
      </c>
      <c r="L191" s="49">
        <v>115.2</v>
      </c>
      <c r="M191" s="49">
        <v>137.19999999999999</v>
      </c>
      <c r="N191" s="49">
        <v>131.9</v>
      </c>
      <c r="O191" s="49">
        <v>153.80000000000001</v>
      </c>
      <c r="P191" s="49">
        <v>138.6</v>
      </c>
      <c r="Q191" s="49">
        <v>156.1</v>
      </c>
      <c r="R191" s="49">
        <v>150.1</v>
      </c>
      <c r="S191" s="49">
        <v>143.30000000000001</v>
      </c>
      <c r="T191" s="49">
        <v>149.1</v>
      </c>
      <c r="U191" s="49" t="s">
        <v>43</v>
      </c>
      <c r="V191" s="49">
        <v>143.80000000000001</v>
      </c>
      <c r="W191" s="49">
        <v>140.9</v>
      </c>
      <c r="X191" s="49">
        <v>137.6</v>
      </c>
      <c r="Y191" s="49">
        <v>125.3</v>
      </c>
      <c r="Z191" s="49">
        <v>136</v>
      </c>
      <c r="AA191" s="49">
        <v>143.69999999999999</v>
      </c>
      <c r="AB191" s="49">
        <v>130.4</v>
      </c>
      <c r="AC191" s="49">
        <v>134.19999999999999</v>
      </c>
      <c r="AD191" s="49">
        <v>139.1</v>
      </c>
    </row>
    <row r="192" spans="1:30" x14ac:dyDescent="0.3">
      <c r="A192" s="49" t="s">
        <v>44</v>
      </c>
      <c r="B192" s="49">
        <v>2018</v>
      </c>
      <c r="C192" s="49" t="s">
        <v>47</v>
      </c>
      <c r="D192" s="49">
        <v>135</v>
      </c>
      <c r="E192" s="49">
        <v>144.30000000000001</v>
      </c>
      <c r="F192" s="49">
        <v>130.80000000000001</v>
      </c>
      <c r="G192" s="49">
        <v>140.30000000000001</v>
      </c>
      <c r="H192" s="49">
        <v>116.6</v>
      </c>
      <c r="I192" s="49">
        <v>150.1</v>
      </c>
      <c r="J192" s="49">
        <v>127.6</v>
      </c>
      <c r="K192" s="49">
        <v>114</v>
      </c>
      <c r="L192" s="49">
        <v>110.6</v>
      </c>
      <c r="M192" s="49">
        <v>140.19999999999999</v>
      </c>
      <c r="N192" s="49">
        <v>126.5</v>
      </c>
      <c r="O192" s="49">
        <v>148.30000000000001</v>
      </c>
      <c r="P192" s="49">
        <v>135.69999999999999</v>
      </c>
      <c r="Q192" s="49">
        <v>159.19999999999999</v>
      </c>
      <c r="R192" s="49">
        <v>137.80000000000001</v>
      </c>
      <c r="S192" s="49">
        <v>127.4</v>
      </c>
      <c r="T192" s="49">
        <v>136.19999999999999</v>
      </c>
      <c r="U192" s="49">
        <v>142.9</v>
      </c>
      <c r="V192" s="49">
        <v>124.6</v>
      </c>
      <c r="W192" s="49">
        <v>131.80000000000001</v>
      </c>
      <c r="X192" s="49">
        <v>131.30000000000001</v>
      </c>
      <c r="Y192" s="49">
        <v>118.9</v>
      </c>
      <c r="Z192" s="49">
        <v>127.6</v>
      </c>
      <c r="AA192" s="49">
        <v>139.69999999999999</v>
      </c>
      <c r="AB192" s="49">
        <v>127.6</v>
      </c>
      <c r="AC192" s="49">
        <v>128.19999999999999</v>
      </c>
      <c r="AD192" s="49">
        <v>134.80000000000001</v>
      </c>
    </row>
    <row r="193" spans="1:30" x14ac:dyDescent="0.3">
      <c r="A193" s="49" t="s">
        <v>30</v>
      </c>
      <c r="B193" s="49">
        <v>2018</v>
      </c>
      <c r="C193" s="49" t="s">
        <v>47</v>
      </c>
      <c r="D193" s="49">
        <v>136.4</v>
      </c>
      <c r="E193" s="49">
        <v>144.4</v>
      </c>
      <c r="F193" s="49">
        <v>133.9</v>
      </c>
      <c r="G193" s="49">
        <v>141.6</v>
      </c>
      <c r="H193" s="49">
        <v>121</v>
      </c>
      <c r="I193" s="49">
        <v>153.5</v>
      </c>
      <c r="J193" s="49">
        <v>132.6</v>
      </c>
      <c r="K193" s="49">
        <v>123.5</v>
      </c>
      <c r="L193" s="49">
        <v>113.7</v>
      </c>
      <c r="M193" s="49">
        <v>138.19999999999999</v>
      </c>
      <c r="N193" s="49">
        <v>129.6</v>
      </c>
      <c r="O193" s="49">
        <v>151.19999999999999</v>
      </c>
      <c r="P193" s="49">
        <v>137.5</v>
      </c>
      <c r="Q193" s="49">
        <v>156.9</v>
      </c>
      <c r="R193" s="49">
        <v>145.30000000000001</v>
      </c>
      <c r="S193" s="49">
        <v>136.69999999999999</v>
      </c>
      <c r="T193" s="49">
        <v>144</v>
      </c>
      <c r="U193" s="49">
        <v>142.9</v>
      </c>
      <c r="V193" s="49">
        <v>136.5</v>
      </c>
      <c r="W193" s="49">
        <v>136.6</v>
      </c>
      <c r="X193" s="49">
        <v>135.19999999999999</v>
      </c>
      <c r="Y193" s="49">
        <v>121.9</v>
      </c>
      <c r="Z193" s="49">
        <v>131.30000000000001</v>
      </c>
      <c r="AA193" s="49">
        <v>141.4</v>
      </c>
      <c r="AB193" s="49">
        <v>129.19999999999999</v>
      </c>
      <c r="AC193" s="49">
        <v>131.30000000000001</v>
      </c>
      <c r="AD193" s="49">
        <v>137.1</v>
      </c>
    </row>
    <row r="194" spans="1:30" x14ac:dyDescent="0.3">
      <c r="A194" s="49" t="s">
        <v>41</v>
      </c>
      <c r="B194" s="49">
        <v>2018</v>
      </c>
      <c r="C194" s="49" t="s">
        <v>31</v>
      </c>
      <c r="D194" s="49">
        <v>137.4</v>
      </c>
      <c r="E194" s="49">
        <v>145.69999999999999</v>
      </c>
      <c r="F194" s="49">
        <v>135.5</v>
      </c>
      <c r="G194" s="49">
        <v>142.9</v>
      </c>
      <c r="H194" s="49">
        <v>123.6</v>
      </c>
      <c r="I194" s="49">
        <v>157.5</v>
      </c>
      <c r="J194" s="49">
        <v>137.80000000000001</v>
      </c>
      <c r="K194" s="49">
        <v>127.2</v>
      </c>
      <c r="L194" s="49">
        <v>111.8</v>
      </c>
      <c r="M194" s="49">
        <v>137.4</v>
      </c>
      <c r="N194" s="49">
        <v>132.19999999999999</v>
      </c>
      <c r="O194" s="49">
        <v>154.30000000000001</v>
      </c>
      <c r="P194" s="49">
        <v>139.1</v>
      </c>
      <c r="Q194" s="49">
        <v>157</v>
      </c>
      <c r="R194" s="49">
        <v>150.80000000000001</v>
      </c>
      <c r="S194" s="49">
        <v>144.1</v>
      </c>
      <c r="T194" s="49">
        <v>149.80000000000001</v>
      </c>
      <c r="U194" s="49" t="s">
        <v>43</v>
      </c>
      <c r="V194" s="49">
        <v>144.30000000000001</v>
      </c>
      <c r="W194" s="49">
        <v>141.80000000000001</v>
      </c>
      <c r="X194" s="49">
        <v>138.4</v>
      </c>
      <c r="Y194" s="49">
        <v>126.4</v>
      </c>
      <c r="Z194" s="49">
        <v>136.80000000000001</v>
      </c>
      <c r="AA194" s="49">
        <v>144.4</v>
      </c>
      <c r="AB194" s="49">
        <v>131.19999999999999</v>
      </c>
      <c r="AC194" s="49">
        <v>135.1</v>
      </c>
      <c r="AD194" s="49">
        <v>139.80000000000001</v>
      </c>
    </row>
    <row r="195" spans="1:30" x14ac:dyDescent="0.3">
      <c r="A195" s="49" t="s">
        <v>44</v>
      </c>
      <c r="B195" s="49">
        <v>2018</v>
      </c>
      <c r="C195" s="49" t="s">
        <v>31</v>
      </c>
      <c r="D195" s="49">
        <v>135</v>
      </c>
      <c r="E195" s="49">
        <v>148.19999999999999</v>
      </c>
      <c r="F195" s="49">
        <v>130.5</v>
      </c>
      <c r="G195" s="49">
        <v>140.69999999999999</v>
      </c>
      <c r="H195" s="49">
        <v>116.4</v>
      </c>
      <c r="I195" s="49">
        <v>151.30000000000001</v>
      </c>
      <c r="J195" s="49">
        <v>131.4</v>
      </c>
      <c r="K195" s="49">
        <v>112.8</v>
      </c>
      <c r="L195" s="49">
        <v>105.3</v>
      </c>
      <c r="M195" s="49">
        <v>139.6</v>
      </c>
      <c r="N195" s="49">
        <v>126.6</v>
      </c>
      <c r="O195" s="49">
        <v>148.69999999999999</v>
      </c>
      <c r="P195" s="49">
        <v>136.4</v>
      </c>
      <c r="Q195" s="49">
        <v>160.30000000000001</v>
      </c>
      <c r="R195" s="49">
        <v>138.6</v>
      </c>
      <c r="S195" s="49">
        <v>127.9</v>
      </c>
      <c r="T195" s="49">
        <v>137</v>
      </c>
      <c r="U195" s="49">
        <v>143.19999999999999</v>
      </c>
      <c r="V195" s="49">
        <v>124.7</v>
      </c>
      <c r="W195" s="49">
        <v>132.5</v>
      </c>
      <c r="X195" s="49">
        <v>132</v>
      </c>
      <c r="Y195" s="49">
        <v>119.8</v>
      </c>
      <c r="Z195" s="49">
        <v>128</v>
      </c>
      <c r="AA195" s="49">
        <v>140.4</v>
      </c>
      <c r="AB195" s="49">
        <v>128.1</v>
      </c>
      <c r="AC195" s="49">
        <v>128.9</v>
      </c>
      <c r="AD195" s="49">
        <v>135.4</v>
      </c>
    </row>
    <row r="196" spans="1:30" x14ac:dyDescent="0.3">
      <c r="A196" s="49" t="s">
        <v>30</v>
      </c>
      <c r="B196" s="49">
        <v>2018</v>
      </c>
      <c r="C196" s="49" t="s">
        <v>31</v>
      </c>
      <c r="D196" s="49">
        <v>136.6</v>
      </c>
      <c r="E196" s="49">
        <v>146.6</v>
      </c>
      <c r="F196" s="49">
        <v>133.6</v>
      </c>
      <c r="G196" s="49">
        <v>142.1</v>
      </c>
      <c r="H196" s="49">
        <v>121</v>
      </c>
      <c r="I196" s="49">
        <v>154.6</v>
      </c>
      <c r="J196" s="49">
        <v>135.6</v>
      </c>
      <c r="K196" s="49">
        <v>122.3</v>
      </c>
      <c r="L196" s="49">
        <v>109.6</v>
      </c>
      <c r="M196" s="49">
        <v>138.1</v>
      </c>
      <c r="N196" s="49">
        <v>129.9</v>
      </c>
      <c r="O196" s="49">
        <v>151.69999999999999</v>
      </c>
      <c r="P196" s="49">
        <v>138.1</v>
      </c>
      <c r="Q196" s="49">
        <v>157.9</v>
      </c>
      <c r="R196" s="49">
        <v>146</v>
      </c>
      <c r="S196" s="49">
        <v>137.4</v>
      </c>
      <c r="T196" s="49">
        <v>144.69999999999999</v>
      </c>
      <c r="U196" s="49">
        <v>143.19999999999999</v>
      </c>
      <c r="V196" s="49">
        <v>136.9</v>
      </c>
      <c r="W196" s="49">
        <v>137.4</v>
      </c>
      <c r="X196" s="49">
        <v>136</v>
      </c>
      <c r="Y196" s="49">
        <v>122.9</v>
      </c>
      <c r="Z196" s="49">
        <v>131.80000000000001</v>
      </c>
      <c r="AA196" s="49">
        <v>142.1</v>
      </c>
      <c r="AB196" s="49">
        <v>129.9</v>
      </c>
      <c r="AC196" s="49">
        <v>132.1</v>
      </c>
      <c r="AD196" s="49">
        <v>137.80000000000001</v>
      </c>
    </row>
    <row r="197" spans="1:30" x14ac:dyDescent="0.3">
      <c r="A197" s="49" t="s">
        <v>41</v>
      </c>
      <c r="B197" s="49">
        <v>2018</v>
      </c>
      <c r="C197" s="49" t="s">
        <v>48</v>
      </c>
      <c r="D197" s="49">
        <v>137.6</v>
      </c>
      <c r="E197" s="49">
        <v>148.1</v>
      </c>
      <c r="F197" s="49">
        <v>136.69999999999999</v>
      </c>
      <c r="G197" s="49">
        <v>143.19999999999999</v>
      </c>
      <c r="H197" s="49">
        <v>124</v>
      </c>
      <c r="I197" s="49">
        <v>154.1</v>
      </c>
      <c r="J197" s="49">
        <v>143.5</v>
      </c>
      <c r="K197" s="49">
        <v>126</v>
      </c>
      <c r="L197" s="49">
        <v>112.4</v>
      </c>
      <c r="M197" s="49">
        <v>137.6</v>
      </c>
      <c r="N197" s="49">
        <v>132.80000000000001</v>
      </c>
      <c r="O197" s="49">
        <v>154.30000000000001</v>
      </c>
      <c r="P197" s="49">
        <v>140</v>
      </c>
      <c r="Q197" s="49">
        <v>157.30000000000001</v>
      </c>
      <c r="R197" s="49">
        <v>151.30000000000001</v>
      </c>
      <c r="S197" s="49">
        <v>144.69999999999999</v>
      </c>
      <c r="T197" s="49">
        <v>150.30000000000001</v>
      </c>
      <c r="U197" s="49" t="s">
        <v>43</v>
      </c>
      <c r="V197" s="49">
        <v>145.1</v>
      </c>
      <c r="W197" s="49">
        <v>142.19999999999999</v>
      </c>
      <c r="X197" s="49">
        <v>138.4</v>
      </c>
      <c r="Y197" s="49">
        <v>127.4</v>
      </c>
      <c r="Z197" s="49">
        <v>137.80000000000001</v>
      </c>
      <c r="AA197" s="49">
        <v>145.1</v>
      </c>
      <c r="AB197" s="49">
        <v>131.4</v>
      </c>
      <c r="AC197" s="49">
        <v>135.6</v>
      </c>
      <c r="AD197" s="49">
        <v>140.5</v>
      </c>
    </row>
    <row r="198" spans="1:30" x14ac:dyDescent="0.3">
      <c r="A198" s="49" t="s">
        <v>44</v>
      </c>
      <c r="B198" s="49">
        <v>2018</v>
      </c>
      <c r="C198" s="49" t="s">
        <v>48</v>
      </c>
      <c r="D198" s="49">
        <v>135.30000000000001</v>
      </c>
      <c r="E198" s="49">
        <v>149.69999999999999</v>
      </c>
      <c r="F198" s="49">
        <v>133.9</v>
      </c>
      <c r="G198" s="49">
        <v>140.80000000000001</v>
      </c>
      <c r="H198" s="49">
        <v>116.6</v>
      </c>
      <c r="I198" s="49">
        <v>152.19999999999999</v>
      </c>
      <c r="J198" s="49">
        <v>144</v>
      </c>
      <c r="K198" s="49">
        <v>112.3</v>
      </c>
      <c r="L198" s="49">
        <v>108.4</v>
      </c>
      <c r="M198" s="49">
        <v>140</v>
      </c>
      <c r="N198" s="49">
        <v>126.7</v>
      </c>
      <c r="O198" s="49">
        <v>149</v>
      </c>
      <c r="P198" s="49">
        <v>138.4</v>
      </c>
      <c r="Q198" s="49">
        <v>161</v>
      </c>
      <c r="R198" s="49">
        <v>138.9</v>
      </c>
      <c r="S198" s="49">
        <v>128.69999999999999</v>
      </c>
      <c r="T198" s="49">
        <v>137.4</v>
      </c>
      <c r="U198" s="49">
        <v>142.5</v>
      </c>
      <c r="V198" s="49">
        <v>126.5</v>
      </c>
      <c r="W198" s="49">
        <v>133.1</v>
      </c>
      <c r="X198" s="49">
        <v>132.6</v>
      </c>
      <c r="Y198" s="49">
        <v>120.4</v>
      </c>
      <c r="Z198" s="49">
        <v>128.5</v>
      </c>
      <c r="AA198" s="49">
        <v>141.19999999999999</v>
      </c>
      <c r="AB198" s="49">
        <v>128.19999999999999</v>
      </c>
      <c r="AC198" s="49">
        <v>129.5</v>
      </c>
      <c r="AD198" s="49">
        <v>136.19999999999999</v>
      </c>
    </row>
    <row r="199" spans="1:30" x14ac:dyDescent="0.3">
      <c r="A199" s="49" t="s">
        <v>30</v>
      </c>
      <c r="B199" s="49">
        <v>2018</v>
      </c>
      <c r="C199" s="49" t="s">
        <v>48</v>
      </c>
      <c r="D199" s="49">
        <v>136.9</v>
      </c>
      <c r="E199" s="49">
        <v>148.69999999999999</v>
      </c>
      <c r="F199" s="49">
        <v>135.6</v>
      </c>
      <c r="G199" s="49">
        <v>142.30000000000001</v>
      </c>
      <c r="H199" s="49">
        <v>121.3</v>
      </c>
      <c r="I199" s="49">
        <v>153.19999999999999</v>
      </c>
      <c r="J199" s="49">
        <v>143.69999999999999</v>
      </c>
      <c r="K199" s="49">
        <v>121.4</v>
      </c>
      <c r="L199" s="49">
        <v>111.1</v>
      </c>
      <c r="M199" s="49">
        <v>138.4</v>
      </c>
      <c r="N199" s="49">
        <v>130.30000000000001</v>
      </c>
      <c r="O199" s="49">
        <v>151.80000000000001</v>
      </c>
      <c r="P199" s="49">
        <v>139.4</v>
      </c>
      <c r="Q199" s="49">
        <v>158.30000000000001</v>
      </c>
      <c r="R199" s="49">
        <v>146.4</v>
      </c>
      <c r="S199" s="49">
        <v>138.1</v>
      </c>
      <c r="T199" s="49">
        <v>145.19999999999999</v>
      </c>
      <c r="U199" s="49">
        <v>142.5</v>
      </c>
      <c r="V199" s="49">
        <v>138.1</v>
      </c>
      <c r="W199" s="49">
        <v>137.9</v>
      </c>
      <c r="X199" s="49">
        <v>136.19999999999999</v>
      </c>
      <c r="Y199" s="49">
        <v>123.7</v>
      </c>
      <c r="Z199" s="49">
        <v>132.6</v>
      </c>
      <c r="AA199" s="49">
        <v>142.80000000000001</v>
      </c>
      <c r="AB199" s="49">
        <v>130.1</v>
      </c>
      <c r="AC199" s="49">
        <v>132.6</v>
      </c>
      <c r="AD199" s="49">
        <v>138.5</v>
      </c>
    </row>
    <row r="200" spans="1:30" x14ac:dyDescent="0.3">
      <c r="A200" s="49" t="s">
        <v>41</v>
      </c>
      <c r="B200" s="49">
        <v>2018</v>
      </c>
      <c r="C200" s="49" t="s">
        <v>49</v>
      </c>
      <c r="D200" s="49">
        <v>138.4</v>
      </c>
      <c r="E200" s="49">
        <v>149.30000000000001</v>
      </c>
      <c r="F200" s="49">
        <v>139.30000000000001</v>
      </c>
      <c r="G200" s="49">
        <v>143.4</v>
      </c>
      <c r="H200" s="49">
        <v>124.1</v>
      </c>
      <c r="I200" s="49">
        <v>153.30000000000001</v>
      </c>
      <c r="J200" s="49">
        <v>154.19999999999999</v>
      </c>
      <c r="K200" s="49">
        <v>126.4</v>
      </c>
      <c r="L200" s="49">
        <v>114.3</v>
      </c>
      <c r="M200" s="49">
        <v>138.19999999999999</v>
      </c>
      <c r="N200" s="49">
        <v>132.80000000000001</v>
      </c>
      <c r="O200" s="49">
        <v>154.80000000000001</v>
      </c>
      <c r="P200" s="49">
        <v>142</v>
      </c>
      <c r="Q200" s="49">
        <v>156.1</v>
      </c>
      <c r="R200" s="49">
        <v>151.5</v>
      </c>
      <c r="S200" s="49">
        <v>145.1</v>
      </c>
      <c r="T200" s="49">
        <v>150.6</v>
      </c>
      <c r="U200" s="49" t="s">
        <v>43</v>
      </c>
      <c r="V200" s="49">
        <v>146.80000000000001</v>
      </c>
      <c r="W200" s="49">
        <v>143.1</v>
      </c>
      <c r="X200" s="49">
        <v>139</v>
      </c>
      <c r="Y200" s="49">
        <v>127.5</v>
      </c>
      <c r="Z200" s="49">
        <v>138.4</v>
      </c>
      <c r="AA200" s="49">
        <v>145.80000000000001</v>
      </c>
      <c r="AB200" s="49">
        <v>131.4</v>
      </c>
      <c r="AC200" s="49">
        <v>136</v>
      </c>
      <c r="AD200" s="49">
        <v>141.80000000000001</v>
      </c>
    </row>
    <row r="201" spans="1:30" x14ac:dyDescent="0.3">
      <c r="A201" s="49" t="s">
        <v>44</v>
      </c>
      <c r="B201" s="49">
        <v>2018</v>
      </c>
      <c r="C201" s="49" t="s">
        <v>49</v>
      </c>
      <c r="D201" s="49">
        <v>135.6</v>
      </c>
      <c r="E201" s="49">
        <v>148.6</v>
      </c>
      <c r="F201" s="49">
        <v>139.1</v>
      </c>
      <c r="G201" s="49">
        <v>141</v>
      </c>
      <c r="H201" s="49">
        <v>116.7</v>
      </c>
      <c r="I201" s="49">
        <v>149.69999999999999</v>
      </c>
      <c r="J201" s="49">
        <v>159.19999999999999</v>
      </c>
      <c r="K201" s="49">
        <v>112.6</v>
      </c>
      <c r="L201" s="49">
        <v>111.8</v>
      </c>
      <c r="M201" s="49">
        <v>140.30000000000001</v>
      </c>
      <c r="N201" s="49">
        <v>126.8</v>
      </c>
      <c r="O201" s="49">
        <v>149.4</v>
      </c>
      <c r="P201" s="49">
        <v>140.30000000000001</v>
      </c>
      <c r="Q201" s="49">
        <v>161.4</v>
      </c>
      <c r="R201" s="49">
        <v>139.6</v>
      </c>
      <c r="S201" s="49">
        <v>128.9</v>
      </c>
      <c r="T201" s="49">
        <v>137.9</v>
      </c>
      <c r="U201" s="49">
        <v>143.6</v>
      </c>
      <c r="V201" s="49">
        <v>128.1</v>
      </c>
      <c r="W201" s="49">
        <v>133.6</v>
      </c>
      <c r="X201" s="49">
        <v>133.6</v>
      </c>
      <c r="Y201" s="49">
        <v>120.1</v>
      </c>
      <c r="Z201" s="49">
        <v>129</v>
      </c>
      <c r="AA201" s="49">
        <v>144</v>
      </c>
      <c r="AB201" s="49">
        <v>128.19999999999999</v>
      </c>
      <c r="AC201" s="49">
        <v>130.19999999999999</v>
      </c>
      <c r="AD201" s="49">
        <v>137.5</v>
      </c>
    </row>
    <row r="202" spans="1:30" x14ac:dyDescent="0.3">
      <c r="A202" s="49" t="s">
        <v>30</v>
      </c>
      <c r="B202" s="49">
        <v>2018</v>
      </c>
      <c r="C202" s="49" t="s">
        <v>49</v>
      </c>
      <c r="D202" s="49">
        <v>137.5</v>
      </c>
      <c r="E202" s="49">
        <v>149.1</v>
      </c>
      <c r="F202" s="49">
        <v>139.19999999999999</v>
      </c>
      <c r="G202" s="49">
        <v>142.5</v>
      </c>
      <c r="H202" s="49">
        <v>121.4</v>
      </c>
      <c r="I202" s="49">
        <v>151.6</v>
      </c>
      <c r="J202" s="49">
        <v>155.9</v>
      </c>
      <c r="K202" s="49">
        <v>121.7</v>
      </c>
      <c r="L202" s="49">
        <v>113.5</v>
      </c>
      <c r="M202" s="49">
        <v>138.9</v>
      </c>
      <c r="N202" s="49">
        <v>130.30000000000001</v>
      </c>
      <c r="O202" s="49">
        <v>152.30000000000001</v>
      </c>
      <c r="P202" s="49">
        <v>141.4</v>
      </c>
      <c r="Q202" s="49">
        <v>157.5</v>
      </c>
      <c r="R202" s="49">
        <v>146.80000000000001</v>
      </c>
      <c r="S202" s="49">
        <v>138.4</v>
      </c>
      <c r="T202" s="49">
        <v>145.6</v>
      </c>
      <c r="U202" s="49">
        <v>143.6</v>
      </c>
      <c r="V202" s="49">
        <v>139.69999999999999</v>
      </c>
      <c r="W202" s="49">
        <v>138.6</v>
      </c>
      <c r="X202" s="49">
        <v>137</v>
      </c>
      <c r="Y202" s="49">
        <v>123.6</v>
      </c>
      <c r="Z202" s="49">
        <v>133.1</v>
      </c>
      <c r="AA202" s="49">
        <v>144.69999999999999</v>
      </c>
      <c r="AB202" s="49">
        <v>130.1</v>
      </c>
      <c r="AC202" s="49">
        <v>133.19999999999999</v>
      </c>
      <c r="AD202" s="49">
        <v>139.80000000000001</v>
      </c>
    </row>
    <row r="203" spans="1:30" x14ac:dyDescent="0.3">
      <c r="A203" s="49" t="s">
        <v>41</v>
      </c>
      <c r="B203" s="49">
        <v>2018</v>
      </c>
      <c r="C203" s="49" t="s">
        <v>50</v>
      </c>
      <c r="D203" s="49">
        <v>139.19999999999999</v>
      </c>
      <c r="E203" s="49">
        <v>148.80000000000001</v>
      </c>
      <c r="F203" s="49">
        <v>139.1</v>
      </c>
      <c r="G203" s="49">
        <v>143.5</v>
      </c>
      <c r="H203" s="49">
        <v>125</v>
      </c>
      <c r="I203" s="49">
        <v>154.4</v>
      </c>
      <c r="J203" s="49">
        <v>156.30000000000001</v>
      </c>
      <c r="K203" s="49">
        <v>126.8</v>
      </c>
      <c r="L203" s="49">
        <v>115.4</v>
      </c>
      <c r="M203" s="49">
        <v>138.6</v>
      </c>
      <c r="N203" s="49">
        <v>133.80000000000001</v>
      </c>
      <c r="O203" s="49">
        <v>155.19999999999999</v>
      </c>
      <c r="P203" s="49">
        <v>142.69999999999999</v>
      </c>
      <c r="Q203" s="49">
        <v>156.4</v>
      </c>
      <c r="R203" s="49">
        <v>152.1</v>
      </c>
      <c r="S203" s="49">
        <v>145.80000000000001</v>
      </c>
      <c r="T203" s="49">
        <v>151.30000000000001</v>
      </c>
      <c r="U203" s="49" t="s">
        <v>43</v>
      </c>
      <c r="V203" s="49">
        <v>147.69999999999999</v>
      </c>
      <c r="W203" s="49">
        <v>143.80000000000001</v>
      </c>
      <c r="X203" s="49">
        <v>139.4</v>
      </c>
      <c r="Y203" s="49">
        <v>128.30000000000001</v>
      </c>
      <c r="Z203" s="49">
        <v>138.6</v>
      </c>
      <c r="AA203" s="49">
        <v>146.9</v>
      </c>
      <c r="AB203" s="49">
        <v>131.30000000000001</v>
      </c>
      <c r="AC203" s="49">
        <v>136.6</v>
      </c>
      <c r="AD203" s="49">
        <v>142.5</v>
      </c>
    </row>
    <row r="204" spans="1:30" x14ac:dyDescent="0.3">
      <c r="A204" s="49" t="s">
        <v>44</v>
      </c>
      <c r="B204" s="49">
        <v>2018</v>
      </c>
      <c r="C204" s="49" t="s">
        <v>50</v>
      </c>
      <c r="D204" s="49">
        <v>136.5</v>
      </c>
      <c r="E204" s="49">
        <v>146.4</v>
      </c>
      <c r="F204" s="49">
        <v>136.6</v>
      </c>
      <c r="G204" s="49">
        <v>141.19999999999999</v>
      </c>
      <c r="H204" s="49">
        <v>117.4</v>
      </c>
      <c r="I204" s="49">
        <v>146.30000000000001</v>
      </c>
      <c r="J204" s="49">
        <v>157.30000000000001</v>
      </c>
      <c r="K204" s="49">
        <v>113.6</v>
      </c>
      <c r="L204" s="49">
        <v>113.3</v>
      </c>
      <c r="M204" s="49">
        <v>141.1</v>
      </c>
      <c r="N204" s="49">
        <v>127.4</v>
      </c>
      <c r="O204" s="49">
        <v>150.4</v>
      </c>
      <c r="P204" s="49">
        <v>140.1</v>
      </c>
      <c r="Q204" s="49">
        <v>162.1</v>
      </c>
      <c r="R204" s="49">
        <v>140</v>
      </c>
      <c r="S204" s="49">
        <v>129</v>
      </c>
      <c r="T204" s="49">
        <v>138.30000000000001</v>
      </c>
      <c r="U204" s="49">
        <v>144.6</v>
      </c>
      <c r="V204" s="49">
        <v>129.80000000000001</v>
      </c>
      <c r="W204" s="49">
        <v>134.4</v>
      </c>
      <c r="X204" s="49">
        <v>134.9</v>
      </c>
      <c r="Y204" s="49">
        <v>120.7</v>
      </c>
      <c r="Z204" s="49">
        <v>129.80000000000001</v>
      </c>
      <c r="AA204" s="49">
        <v>145.30000000000001</v>
      </c>
      <c r="AB204" s="49">
        <v>128.30000000000001</v>
      </c>
      <c r="AC204" s="49">
        <v>131</v>
      </c>
      <c r="AD204" s="49">
        <v>138</v>
      </c>
    </row>
    <row r="205" spans="1:30" x14ac:dyDescent="0.3">
      <c r="A205" s="49" t="s">
        <v>30</v>
      </c>
      <c r="B205" s="49">
        <v>2018</v>
      </c>
      <c r="C205" s="49" t="s">
        <v>50</v>
      </c>
      <c r="D205" s="49">
        <v>138.30000000000001</v>
      </c>
      <c r="E205" s="49">
        <v>148</v>
      </c>
      <c r="F205" s="49">
        <v>138.1</v>
      </c>
      <c r="G205" s="49">
        <v>142.6</v>
      </c>
      <c r="H205" s="49">
        <v>122.2</v>
      </c>
      <c r="I205" s="49">
        <v>150.6</v>
      </c>
      <c r="J205" s="49">
        <v>156.6</v>
      </c>
      <c r="K205" s="49">
        <v>122.4</v>
      </c>
      <c r="L205" s="49">
        <v>114.7</v>
      </c>
      <c r="M205" s="49">
        <v>139.4</v>
      </c>
      <c r="N205" s="49">
        <v>131.1</v>
      </c>
      <c r="O205" s="49">
        <v>153</v>
      </c>
      <c r="P205" s="49">
        <v>141.69999999999999</v>
      </c>
      <c r="Q205" s="49">
        <v>157.9</v>
      </c>
      <c r="R205" s="49">
        <v>147.30000000000001</v>
      </c>
      <c r="S205" s="49">
        <v>138.80000000000001</v>
      </c>
      <c r="T205" s="49">
        <v>146.1</v>
      </c>
      <c r="U205" s="49">
        <v>144.6</v>
      </c>
      <c r="V205" s="49">
        <v>140.9</v>
      </c>
      <c r="W205" s="49">
        <v>139.4</v>
      </c>
      <c r="X205" s="49">
        <v>137.69999999999999</v>
      </c>
      <c r="Y205" s="49">
        <v>124.3</v>
      </c>
      <c r="Z205" s="49">
        <v>133.6</v>
      </c>
      <c r="AA205" s="49">
        <v>146</v>
      </c>
      <c r="AB205" s="49">
        <v>130.1</v>
      </c>
      <c r="AC205" s="49">
        <v>133.9</v>
      </c>
      <c r="AD205" s="49">
        <v>140.4</v>
      </c>
    </row>
    <row r="206" spans="1:30" x14ac:dyDescent="0.3">
      <c r="A206" s="49" t="s">
        <v>41</v>
      </c>
      <c r="B206" s="49">
        <v>2018</v>
      </c>
      <c r="C206" s="49" t="s">
        <v>51</v>
      </c>
      <c r="D206" s="49">
        <v>139.4</v>
      </c>
      <c r="E206" s="49">
        <v>147.19999999999999</v>
      </c>
      <c r="F206" s="49">
        <v>136.6</v>
      </c>
      <c r="G206" s="49">
        <v>143.69999999999999</v>
      </c>
      <c r="H206" s="49">
        <v>124.6</v>
      </c>
      <c r="I206" s="49">
        <v>150.1</v>
      </c>
      <c r="J206" s="49">
        <v>149.4</v>
      </c>
      <c r="K206" s="49">
        <v>125.4</v>
      </c>
      <c r="L206" s="49">
        <v>114.4</v>
      </c>
      <c r="M206" s="49">
        <v>138.69999999999999</v>
      </c>
      <c r="N206" s="49">
        <v>133.1</v>
      </c>
      <c r="O206" s="49">
        <v>155.9</v>
      </c>
      <c r="P206" s="49">
        <v>141.30000000000001</v>
      </c>
      <c r="Q206" s="49">
        <v>157.69999999999999</v>
      </c>
      <c r="R206" s="49">
        <v>152.1</v>
      </c>
      <c r="S206" s="49">
        <v>146.1</v>
      </c>
      <c r="T206" s="49">
        <v>151.30000000000001</v>
      </c>
      <c r="U206" s="49" t="s">
        <v>43</v>
      </c>
      <c r="V206" s="49">
        <v>149</v>
      </c>
      <c r="W206" s="49">
        <v>144</v>
      </c>
      <c r="X206" s="49">
        <v>140</v>
      </c>
      <c r="Y206" s="49">
        <v>129.9</v>
      </c>
      <c r="Z206" s="49">
        <v>140</v>
      </c>
      <c r="AA206" s="49">
        <v>147.6</v>
      </c>
      <c r="AB206" s="49">
        <v>132</v>
      </c>
      <c r="AC206" s="49">
        <v>137.4</v>
      </c>
      <c r="AD206" s="49">
        <v>142.1</v>
      </c>
    </row>
    <row r="207" spans="1:30" x14ac:dyDescent="0.3">
      <c r="A207" s="49" t="s">
        <v>44</v>
      </c>
      <c r="B207" s="49">
        <v>2018</v>
      </c>
      <c r="C207" s="49" t="s">
        <v>51</v>
      </c>
      <c r="D207" s="49">
        <v>137</v>
      </c>
      <c r="E207" s="49">
        <v>143.1</v>
      </c>
      <c r="F207" s="49">
        <v>132.80000000000001</v>
      </c>
      <c r="G207" s="49">
        <v>141.5</v>
      </c>
      <c r="H207" s="49">
        <v>117.8</v>
      </c>
      <c r="I207" s="49">
        <v>140</v>
      </c>
      <c r="J207" s="49">
        <v>151.30000000000001</v>
      </c>
      <c r="K207" s="49">
        <v>113.5</v>
      </c>
      <c r="L207" s="49">
        <v>112.3</v>
      </c>
      <c r="M207" s="49">
        <v>141.19999999999999</v>
      </c>
      <c r="N207" s="49">
        <v>127.7</v>
      </c>
      <c r="O207" s="49">
        <v>151.30000000000001</v>
      </c>
      <c r="P207" s="49">
        <v>138.9</v>
      </c>
      <c r="Q207" s="49">
        <v>163.30000000000001</v>
      </c>
      <c r="R207" s="49">
        <v>140.80000000000001</v>
      </c>
      <c r="S207" s="49">
        <v>129.30000000000001</v>
      </c>
      <c r="T207" s="49">
        <v>139.1</v>
      </c>
      <c r="U207" s="49">
        <v>145.30000000000001</v>
      </c>
      <c r="V207" s="49">
        <v>131.19999999999999</v>
      </c>
      <c r="W207" s="49">
        <v>134.9</v>
      </c>
      <c r="X207" s="49">
        <v>135.69999999999999</v>
      </c>
      <c r="Y207" s="49">
        <v>122.5</v>
      </c>
      <c r="Z207" s="49">
        <v>130.19999999999999</v>
      </c>
      <c r="AA207" s="49">
        <v>145.19999999999999</v>
      </c>
      <c r="AB207" s="49">
        <v>129.30000000000001</v>
      </c>
      <c r="AC207" s="49">
        <v>131.9</v>
      </c>
      <c r="AD207" s="49">
        <v>138.1</v>
      </c>
    </row>
    <row r="208" spans="1:30" x14ac:dyDescent="0.3">
      <c r="A208" s="49" t="s">
        <v>30</v>
      </c>
      <c r="B208" s="49">
        <v>2018</v>
      </c>
      <c r="C208" s="49" t="s">
        <v>51</v>
      </c>
      <c r="D208" s="49">
        <v>138.6</v>
      </c>
      <c r="E208" s="49">
        <v>145.80000000000001</v>
      </c>
      <c r="F208" s="49">
        <v>135.1</v>
      </c>
      <c r="G208" s="49">
        <v>142.9</v>
      </c>
      <c r="H208" s="49">
        <v>122.1</v>
      </c>
      <c r="I208" s="49">
        <v>145.4</v>
      </c>
      <c r="J208" s="49">
        <v>150</v>
      </c>
      <c r="K208" s="49">
        <v>121.4</v>
      </c>
      <c r="L208" s="49">
        <v>113.7</v>
      </c>
      <c r="M208" s="49">
        <v>139.5</v>
      </c>
      <c r="N208" s="49">
        <v>130.80000000000001</v>
      </c>
      <c r="O208" s="49">
        <v>153.80000000000001</v>
      </c>
      <c r="P208" s="49">
        <v>140.4</v>
      </c>
      <c r="Q208" s="49">
        <v>159.19999999999999</v>
      </c>
      <c r="R208" s="49">
        <v>147.69999999999999</v>
      </c>
      <c r="S208" s="49">
        <v>139.1</v>
      </c>
      <c r="T208" s="49">
        <v>146.5</v>
      </c>
      <c r="U208" s="49">
        <v>145.30000000000001</v>
      </c>
      <c r="V208" s="49">
        <v>142.30000000000001</v>
      </c>
      <c r="W208" s="49">
        <v>139.69999999999999</v>
      </c>
      <c r="X208" s="49">
        <v>138.4</v>
      </c>
      <c r="Y208" s="49">
        <v>126</v>
      </c>
      <c r="Z208" s="49">
        <v>134.5</v>
      </c>
      <c r="AA208" s="49">
        <v>146.19999999999999</v>
      </c>
      <c r="AB208" s="49">
        <v>130.9</v>
      </c>
      <c r="AC208" s="49">
        <v>134.69999999999999</v>
      </c>
      <c r="AD208" s="49">
        <v>140.19999999999999</v>
      </c>
    </row>
    <row r="209" spans="1:30" x14ac:dyDescent="0.3">
      <c r="A209" s="49" t="s">
        <v>41</v>
      </c>
      <c r="B209" s="49">
        <v>2018</v>
      </c>
      <c r="C209" s="49" t="s">
        <v>52</v>
      </c>
      <c r="D209" s="49">
        <v>139.30000000000001</v>
      </c>
      <c r="E209" s="49">
        <v>147.6</v>
      </c>
      <c r="F209" s="49">
        <v>134.6</v>
      </c>
      <c r="G209" s="49">
        <v>141.9</v>
      </c>
      <c r="H209" s="49">
        <v>123.5</v>
      </c>
      <c r="I209" s="49">
        <v>144.5</v>
      </c>
      <c r="J209" s="49">
        <v>147.6</v>
      </c>
      <c r="K209" s="49">
        <v>121.4</v>
      </c>
      <c r="L209" s="49">
        <v>112.3</v>
      </c>
      <c r="M209" s="49">
        <v>139.5</v>
      </c>
      <c r="N209" s="49">
        <v>134.6</v>
      </c>
      <c r="O209" s="49">
        <v>155.19999999999999</v>
      </c>
      <c r="P209" s="49">
        <v>140.19999999999999</v>
      </c>
      <c r="Q209" s="49">
        <v>159.6</v>
      </c>
      <c r="R209" s="49">
        <v>150.69999999999999</v>
      </c>
      <c r="S209" s="49">
        <v>144.5</v>
      </c>
      <c r="T209" s="49">
        <v>149.80000000000001</v>
      </c>
      <c r="U209" s="49" t="s">
        <v>43</v>
      </c>
      <c r="V209" s="49">
        <v>149.69999999999999</v>
      </c>
      <c r="W209" s="49">
        <v>147.5</v>
      </c>
      <c r="X209" s="49">
        <v>144.80000000000001</v>
      </c>
      <c r="Y209" s="49">
        <v>130.80000000000001</v>
      </c>
      <c r="Z209" s="49">
        <v>140.1</v>
      </c>
      <c r="AA209" s="49">
        <v>148</v>
      </c>
      <c r="AB209" s="49">
        <v>134.4</v>
      </c>
      <c r="AC209" s="49">
        <v>139.80000000000001</v>
      </c>
      <c r="AD209" s="49">
        <v>142.19999999999999</v>
      </c>
    </row>
    <row r="210" spans="1:30" x14ac:dyDescent="0.3">
      <c r="A210" s="49" t="s">
        <v>44</v>
      </c>
      <c r="B210" s="49">
        <v>2018</v>
      </c>
      <c r="C210" s="49" t="s">
        <v>52</v>
      </c>
      <c r="D210" s="49">
        <v>137.6</v>
      </c>
      <c r="E210" s="49">
        <v>144.9</v>
      </c>
      <c r="F210" s="49">
        <v>133.5</v>
      </c>
      <c r="G210" s="49">
        <v>141.5</v>
      </c>
      <c r="H210" s="49">
        <v>118</v>
      </c>
      <c r="I210" s="49">
        <v>139.5</v>
      </c>
      <c r="J210" s="49">
        <v>153</v>
      </c>
      <c r="K210" s="49">
        <v>113.2</v>
      </c>
      <c r="L210" s="49">
        <v>112.8</v>
      </c>
      <c r="M210" s="49">
        <v>141.1</v>
      </c>
      <c r="N210" s="49">
        <v>127.6</v>
      </c>
      <c r="O210" s="49">
        <v>152</v>
      </c>
      <c r="P210" s="49">
        <v>139.4</v>
      </c>
      <c r="Q210" s="49">
        <v>164</v>
      </c>
      <c r="R210" s="49">
        <v>141.5</v>
      </c>
      <c r="S210" s="49">
        <v>129.80000000000001</v>
      </c>
      <c r="T210" s="49">
        <v>139.69999999999999</v>
      </c>
      <c r="U210" s="49">
        <v>146.30000000000001</v>
      </c>
      <c r="V210" s="49">
        <v>133.4</v>
      </c>
      <c r="W210" s="49">
        <v>135.1</v>
      </c>
      <c r="X210" s="49">
        <v>136.19999999999999</v>
      </c>
      <c r="Y210" s="49">
        <v>123.3</v>
      </c>
      <c r="Z210" s="49">
        <v>130.69999999999999</v>
      </c>
      <c r="AA210" s="49">
        <v>145.5</v>
      </c>
      <c r="AB210" s="49">
        <v>130.4</v>
      </c>
      <c r="AC210" s="49">
        <v>132.5</v>
      </c>
      <c r="AD210" s="49">
        <v>138.9</v>
      </c>
    </row>
    <row r="211" spans="1:30" x14ac:dyDescent="0.3">
      <c r="A211" s="49" t="s">
        <v>30</v>
      </c>
      <c r="B211" s="49">
        <v>2018</v>
      </c>
      <c r="C211" s="49" t="s">
        <v>52</v>
      </c>
      <c r="D211" s="49">
        <v>137.4</v>
      </c>
      <c r="E211" s="49">
        <v>149.5</v>
      </c>
      <c r="F211" s="49">
        <v>137.30000000000001</v>
      </c>
      <c r="G211" s="49">
        <v>141.9</v>
      </c>
      <c r="H211" s="49">
        <v>121.1</v>
      </c>
      <c r="I211" s="49">
        <v>142.5</v>
      </c>
      <c r="J211" s="49">
        <v>146.69999999999999</v>
      </c>
      <c r="K211" s="49">
        <v>119.1</v>
      </c>
      <c r="L211" s="49">
        <v>111.9</v>
      </c>
      <c r="M211" s="49">
        <v>141</v>
      </c>
      <c r="N211" s="49">
        <v>133.6</v>
      </c>
      <c r="O211" s="49">
        <v>154.5</v>
      </c>
      <c r="P211" s="49">
        <v>139.69999999999999</v>
      </c>
      <c r="Q211" s="49">
        <v>162.6</v>
      </c>
      <c r="R211" s="49">
        <v>148</v>
      </c>
      <c r="S211" s="49">
        <v>139.19999999999999</v>
      </c>
      <c r="T211" s="49">
        <v>146.80000000000001</v>
      </c>
      <c r="U211" s="49">
        <v>146.9</v>
      </c>
      <c r="V211" s="49">
        <v>145.30000000000001</v>
      </c>
      <c r="W211" s="49">
        <v>142.19999999999999</v>
      </c>
      <c r="X211" s="49">
        <v>142.1</v>
      </c>
      <c r="Y211" s="49">
        <v>125.5</v>
      </c>
      <c r="Z211" s="49">
        <v>136.5</v>
      </c>
      <c r="AA211" s="49">
        <v>147.80000000000001</v>
      </c>
      <c r="AB211" s="49">
        <v>132</v>
      </c>
      <c r="AC211" s="49">
        <v>136.30000000000001</v>
      </c>
      <c r="AD211" s="49">
        <v>140.80000000000001</v>
      </c>
    </row>
    <row r="212" spans="1:30" x14ac:dyDescent="0.3">
      <c r="A212" s="49" t="s">
        <v>41</v>
      </c>
      <c r="B212" s="49">
        <v>2018</v>
      </c>
      <c r="C212" s="49" t="s">
        <v>54</v>
      </c>
      <c r="D212" s="49">
        <v>137.1</v>
      </c>
      <c r="E212" s="49">
        <v>150.80000000000001</v>
      </c>
      <c r="F212" s="49">
        <v>136.69999999999999</v>
      </c>
      <c r="G212" s="49">
        <v>141.9</v>
      </c>
      <c r="H212" s="49">
        <v>122.8</v>
      </c>
      <c r="I212" s="49">
        <v>143.9</v>
      </c>
      <c r="J212" s="49">
        <v>147.5</v>
      </c>
      <c r="K212" s="49">
        <v>121</v>
      </c>
      <c r="L212" s="49">
        <v>111.6</v>
      </c>
      <c r="M212" s="49">
        <v>140.6</v>
      </c>
      <c r="N212" s="49">
        <v>137.5</v>
      </c>
      <c r="O212" s="49">
        <v>156.1</v>
      </c>
      <c r="P212" s="49">
        <v>140</v>
      </c>
      <c r="Q212" s="49">
        <v>161.9</v>
      </c>
      <c r="R212" s="49">
        <v>151.69999999999999</v>
      </c>
      <c r="S212" s="49">
        <v>145.5</v>
      </c>
      <c r="T212" s="49">
        <v>150.80000000000001</v>
      </c>
      <c r="U212" s="49" t="s">
        <v>43</v>
      </c>
      <c r="V212" s="49">
        <v>150.30000000000001</v>
      </c>
      <c r="W212" s="49">
        <v>148</v>
      </c>
      <c r="X212" s="49">
        <v>145.4</v>
      </c>
      <c r="Y212" s="49">
        <v>130.30000000000001</v>
      </c>
      <c r="Z212" s="49">
        <v>143.1</v>
      </c>
      <c r="AA212" s="49">
        <v>150.19999999999999</v>
      </c>
      <c r="AB212" s="49">
        <v>133.1</v>
      </c>
      <c r="AC212" s="49">
        <v>140.1</v>
      </c>
      <c r="AD212" s="49">
        <v>142.4</v>
      </c>
    </row>
    <row r="213" spans="1:30" x14ac:dyDescent="0.3">
      <c r="A213" s="49" t="s">
        <v>44</v>
      </c>
      <c r="B213" s="49">
        <v>2018</v>
      </c>
      <c r="C213" s="49" t="s">
        <v>54</v>
      </c>
      <c r="D213" s="49">
        <v>138.1</v>
      </c>
      <c r="E213" s="49">
        <v>146.30000000000001</v>
      </c>
      <c r="F213" s="49">
        <v>137.80000000000001</v>
      </c>
      <c r="G213" s="49">
        <v>141.6</v>
      </c>
      <c r="H213" s="49">
        <v>118.1</v>
      </c>
      <c r="I213" s="49">
        <v>141.5</v>
      </c>
      <c r="J213" s="49">
        <v>145.19999999999999</v>
      </c>
      <c r="K213" s="49">
        <v>115.3</v>
      </c>
      <c r="L213" s="49">
        <v>112.5</v>
      </c>
      <c r="M213" s="49">
        <v>141.4</v>
      </c>
      <c r="N213" s="49">
        <v>128</v>
      </c>
      <c r="O213" s="49">
        <v>152.6</v>
      </c>
      <c r="P213" s="49">
        <v>139.1</v>
      </c>
      <c r="Q213" s="49">
        <v>164.4</v>
      </c>
      <c r="R213" s="49">
        <v>142.4</v>
      </c>
      <c r="S213" s="49">
        <v>130.19999999999999</v>
      </c>
      <c r="T213" s="49">
        <v>140.5</v>
      </c>
      <c r="U213" s="49">
        <v>146.9</v>
      </c>
      <c r="V213" s="49">
        <v>136.69999999999999</v>
      </c>
      <c r="W213" s="49">
        <v>135.80000000000001</v>
      </c>
      <c r="X213" s="49">
        <v>136.80000000000001</v>
      </c>
      <c r="Y213" s="49">
        <v>121.2</v>
      </c>
      <c r="Z213" s="49">
        <v>131.30000000000001</v>
      </c>
      <c r="AA213" s="49">
        <v>146.1</v>
      </c>
      <c r="AB213" s="49">
        <v>130.5</v>
      </c>
      <c r="AC213" s="49">
        <v>132.19999999999999</v>
      </c>
      <c r="AD213" s="49">
        <v>139</v>
      </c>
    </row>
    <row r="214" spans="1:30" x14ac:dyDescent="0.3">
      <c r="A214" s="49" t="s">
        <v>30</v>
      </c>
      <c r="B214" s="49">
        <v>2018</v>
      </c>
      <c r="C214" s="49" t="s">
        <v>54</v>
      </c>
      <c r="D214" s="49">
        <v>137.4</v>
      </c>
      <c r="E214" s="49">
        <v>149.19999999999999</v>
      </c>
      <c r="F214" s="49">
        <v>137.1</v>
      </c>
      <c r="G214" s="49">
        <v>141.80000000000001</v>
      </c>
      <c r="H214" s="49">
        <v>121.1</v>
      </c>
      <c r="I214" s="49">
        <v>142.80000000000001</v>
      </c>
      <c r="J214" s="49">
        <v>146.69999999999999</v>
      </c>
      <c r="K214" s="49">
        <v>119.1</v>
      </c>
      <c r="L214" s="49">
        <v>111.9</v>
      </c>
      <c r="M214" s="49">
        <v>140.9</v>
      </c>
      <c r="N214" s="49">
        <v>133.5</v>
      </c>
      <c r="O214" s="49">
        <v>154.5</v>
      </c>
      <c r="P214" s="49">
        <v>139.69999999999999</v>
      </c>
      <c r="Q214" s="49">
        <v>162.6</v>
      </c>
      <c r="R214" s="49">
        <v>148</v>
      </c>
      <c r="S214" s="49">
        <v>139.1</v>
      </c>
      <c r="T214" s="49">
        <v>146.69999999999999</v>
      </c>
      <c r="U214" s="49">
        <v>146.9</v>
      </c>
      <c r="V214" s="49">
        <v>145.1</v>
      </c>
      <c r="W214" s="49">
        <v>142.19999999999999</v>
      </c>
      <c r="X214" s="49">
        <v>142.1</v>
      </c>
      <c r="Y214" s="49">
        <v>125.5</v>
      </c>
      <c r="Z214" s="49">
        <v>136.5</v>
      </c>
      <c r="AA214" s="49">
        <v>147.80000000000001</v>
      </c>
      <c r="AB214" s="49">
        <v>132</v>
      </c>
      <c r="AC214" s="49">
        <v>136.30000000000001</v>
      </c>
      <c r="AD214" s="49">
        <v>140.80000000000001</v>
      </c>
    </row>
    <row r="215" spans="1:30" x14ac:dyDescent="0.3">
      <c r="A215" s="49" t="s">
        <v>41</v>
      </c>
      <c r="B215" s="49">
        <v>2018</v>
      </c>
      <c r="C215" s="49" t="s">
        <v>55</v>
      </c>
      <c r="D215" s="49">
        <v>137.1</v>
      </c>
      <c r="E215" s="49">
        <v>151.9</v>
      </c>
      <c r="F215" s="49">
        <v>137.4</v>
      </c>
      <c r="G215" s="49">
        <v>142.4</v>
      </c>
      <c r="H215" s="49">
        <v>124.2</v>
      </c>
      <c r="I215" s="49">
        <v>140.19999999999999</v>
      </c>
      <c r="J215" s="49">
        <v>136.6</v>
      </c>
      <c r="K215" s="49">
        <v>120.9</v>
      </c>
      <c r="L215" s="49">
        <v>109.9</v>
      </c>
      <c r="M215" s="49">
        <v>140.19999999999999</v>
      </c>
      <c r="N215" s="49">
        <v>137.80000000000001</v>
      </c>
      <c r="O215" s="49">
        <v>156</v>
      </c>
      <c r="P215" s="49">
        <v>138.5</v>
      </c>
      <c r="Q215" s="49">
        <v>162.4</v>
      </c>
      <c r="R215" s="49">
        <v>151.6</v>
      </c>
      <c r="S215" s="49">
        <v>145.9</v>
      </c>
      <c r="T215" s="49">
        <v>150.80000000000001</v>
      </c>
      <c r="U215" s="49" t="s">
        <v>43</v>
      </c>
      <c r="V215" s="49">
        <v>149</v>
      </c>
      <c r="W215" s="49">
        <v>149.5</v>
      </c>
      <c r="X215" s="49">
        <v>149.6</v>
      </c>
      <c r="Y215" s="49">
        <v>128.9</v>
      </c>
      <c r="Z215" s="49">
        <v>143.30000000000001</v>
      </c>
      <c r="AA215" s="49">
        <v>155.1</v>
      </c>
      <c r="AB215" s="49">
        <v>133.19999999999999</v>
      </c>
      <c r="AC215" s="49">
        <v>141.6</v>
      </c>
      <c r="AD215" s="49">
        <v>141.9</v>
      </c>
    </row>
    <row r="216" spans="1:30" x14ac:dyDescent="0.3">
      <c r="A216" s="49" t="s">
        <v>44</v>
      </c>
      <c r="B216" s="49">
        <v>2018</v>
      </c>
      <c r="C216" s="49" t="s">
        <v>55</v>
      </c>
      <c r="D216" s="49">
        <v>138.5</v>
      </c>
      <c r="E216" s="49">
        <v>147.80000000000001</v>
      </c>
      <c r="F216" s="49">
        <v>141.1</v>
      </c>
      <c r="G216" s="49">
        <v>141.6</v>
      </c>
      <c r="H216" s="49">
        <v>118.1</v>
      </c>
      <c r="I216" s="49">
        <v>138.5</v>
      </c>
      <c r="J216" s="49">
        <v>132.4</v>
      </c>
      <c r="K216" s="49">
        <v>117.5</v>
      </c>
      <c r="L216" s="49">
        <v>111</v>
      </c>
      <c r="M216" s="49">
        <v>141.5</v>
      </c>
      <c r="N216" s="49">
        <v>128.1</v>
      </c>
      <c r="O216" s="49">
        <v>152.9</v>
      </c>
      <c r="P216" s="49">
        <v>137.6</v>
      </c>
      <c r="Q216" s="49">
        <v>164.6</v>
      </c>
      <c r="R216" s="49">
        <v>142.69999999999999</v>
      </c>
      <c r="S216" s="49">
        <v>130.30000000000001</v>
      </c>
      <c r="T216" s="49">
        <v>140.80000000000001</v>
      </c>
      <c r="U216" s="49">
        <v>146.5</v>
      </c>
      <c r="V216" s="49">
        <v>132.4</v>
      </c>
      <c r="W216" s="49">
        <v>136.19999999999999</v>
      </c>
      <c r="X216" s="49">
        <v>137.30000000000001</v>
      </c>
      <c r="Y216" s="49">
        <v>118.8</v>
      </c>
      <c r="Z216" s="49">
        <v>131.69999999999999</v>
      </c>
      <c r="AA216" s="49">
        <v>146.5</v>
      </c>
      <c r="AB216" s="49">
        <v>130.80000000000001</v>
      </c>
      <c r="AC216" s="49">
        <v>131.69999999999999</v>
      </c>
      <c r="AD216" s="49">
        <v>138</v>
      </c>
    </row>
    <row r="217" spans="1:30" x14ac:dyDescent="0.3">
      <c r="A217" s="49" t="s">
        <v>30</v>
      </c>
      <c r="B217" s="49">
        <v>2018</v>
      </c>
      <c r="C217" s="49" t="s">
        <v>55</v>
      </c>
      <c r="D217" s="49">
        <v>137.5</v>
      </c>
      <c r="E217" s="49">
        <v>150.5</v>
      </c>
      <c r="F217" s="49">
        <v>138.80000000000001</v>
      </c>
      <c r="G217" s="49">
        <v>142.1</v>
      </c>
      <c r="H217" s="49">
        <v>122</v>
      </c>
      <c r="I217" s="49">
        <v>139.4</v>
      </c>
      <c r="J217" s="49">
        <v>135.19999999999999</v>
      </c>
      <c r="K217" s="49">
        <v>119.8</v>
      </c>
      <c r="L217" s="49">
        <v>110.3</v>
      </c>
      <c r="M217" s="49">
        <v>140.6</v>
      </c>
      <c r="N217" s="49">
        <v>133.80000000000001</v>
      </c>
      <c r="O217" s="49">
        <v>154.6</v>
      </c>
      <c r="P217" s="49">
        <v>138.19999999999999</v>
      </c>
      <c r="Q217" s="49">
        <v>163</v>
      </c>
      <c r="R217" s="49">
        <v>148.1</v>
      </c>
      <c r="S217" s="49">
        <v>139.4</v>
      </c>
      <c r="T217" s="49">
        <v>146.80000000000001</v>
      </c>
      <c r="U217" s="49">
        <v>146.5</v>
      </c>
      <c r="V217" s="49">
        <v>142.69999999999999</v>
      </c>
      <c r="W217" s="49">
        <v>143.19999999999999</v>
      </c>
      <c r="X217" s="49">
        <v>144.9</v>
      </c>
      <c r="Y217" s="49">
        <v>123.6</v>
      </c>
      <c r="Z217" s="49">
        <v>136.80000000000001</v>
      </c>
      <c r="AA217" s="49">
        <v>150.1</v>
      </c>
      <c r="AB217" s="49">
        <v>132.19999999999999</v>
      </c>
      <c r="AC217" s="49">
        <v>136.80000000000001</v>
      </c>
      <c r="AD217" s="49">
        <v>140.1</v>
      </c>
    </row>
    <row r="218" spans="1:30" x14ac:dyDescent="0.3">
      <c r="A218" s="49" t="s">
        <v>41</v>
      </c>
      <c r="B218" s="49">
        <v>2019</v>
      </c>
      <c r="C218" s="49" t="s">
        <v>42</v>
      </c>
      <c r="D218" s="49">
        <v>136.6</v>
      </c>
      <c r="E218" s="49">
        <v>152.5</v>
      </c>
      <c r="F218" s="49">
        <v>138.19999999999999</v>
      </c>
      <c r="G218" s="49">
        <v>142.4</v>
      </c>
      <c r="H218" s="49">
        <v>123.9</v>
      </c>
      <c r="I218" s="49">
        <v>135.5</v>
      </c>
      <c r="J218" s="49">
        <v>131.69999999999999</v>
      </c>
      <c r="K218" s="49">
        <v>121.3</v>
      </c>
      <c r="L218" s="49">
        <v>108.4</v>
      </c>
      <c r="M218" s="49">
        <v>138.9</v>
      </c>
      <c r="N218" s="49">
        <v>137</v>
      </c>
      <c r="O218" s="49">
        <v>155.80000000000001</v>
      </c>
      <c r="P218" s="49">
        <v>137.4</v>
      </c>
      <c r="Q218" s="49">
        <v>162.69999999999999</v>
      </c>
      <c r="R218" s="49">
        <v>150.6</v>
      </c>
      <c r="S218" s="49">
        <v>145.1</v>
      </c>
      <c r="T218" s="49">
        <v>149.9</v>
      </c>
      <c r="U218" s="49" t="s">
        <v>43</v>
      </c>
      <c r="V218" s="49">
        <v>146.19999999999999</v>
      </c>
      <c r="W218" s="49">
        <v>150.1</v>
      </c>
      <c r="X218" s="49">
        <v>149.6</v>
      </c>
      <c r="Y218" s="49">
        <v>128.6</v>
      </c>
      <c r="Z218" s="49">
        <v>142.9</v>
      </c>
      <c r="AA218" s="49">
        <v>155.19999999999999</v>
      </c>
      <c r="AB218" s="49">
        <v>133.5</v>
      </c>
      <c r="AC218" s="49">
        <v>141.69999999999999</v>
      </c>
      <c r="AD218" s="49">
        <v>141</v>
      </c>
    </row>
    <row r="219" spans="1:30" x14ac:dyDescent="0.3">
      <c r="A219" s="49" t="s">
        <v>44</v>
      </c>
      <c r="B219" s="49">
        <v>2019</v>
      </c>
      <c r="C219" s="49" t="s">
        <v>42</v>
      </c>
      <c r="D219" s="49">
        <v>138.30000000000001</v>
      </c>
      <c r="E219" s="49">
        <v>149.4</v>
      </c>
      <c r="F219" s="49">
        <v>143.5</v>
      </c>
      <c r="G219" s="49">
        <v>141.69999999999999</v>
      </c>
      <c r="H219" s="49">
        <v>118.1</v>
      </c>
      <c r="I219" s="49">
        <v>135.19999999999999</v>
      </c>
      <c r="J219" s="49">
        <v>130.5</v>
      </c>
      <c r="K219" s="49">
        <v>118.2</v>
      </c>
      <c r="L219" s="49">
        <v>110.4</v>
      </c>
      <c r="M219" s="49">
        <v>140.4</v>
      </c>
      <c r="N219" s="49">
        <v>128.1</v>
      </c>
      <c r="O219" s="49">
        <v>153.19999999999999</v>
      </c>
      <c r="P219" s="49">
        <v>137.30000000000001</v>
      </c>
      <c r="Q219" s="49">
        <v>164.7</v>
      </c>
      <c r="R219" s="49">
        <v>143</v>
      </c>
      <c r="S219" s="49">
        <v>130.4</v>
      </c>
      <c r="T219" s="49">
        <v>141.1</v>
      </c>
      <c r="U219" s="49">
        <v>147.69999999999999</v>
      </c>
      <c r="V219" s="49">
        <v>128.6</v>
      </c>
      <c r="W219" s="49">
        <v>136.30000000000001</v>
      </c>
      <c r="X219" s="49">
        <v>137.80000000000001</v>
      </c>
      <c r="Y219" s="49">
        <v>118.6</v>
      </c>
      <c r="Z219" s="49">
        <v>131.9</v>
      </c>
      <c r="AA219" s="49">
        <v>146.6</v>
      </c>
      <c r="AB219" s="49">
        <v>131.69999999999999</v>
      </c>
      <c r="AC219" s="49">
        <v>131.80000000000001</v>
      </c>
      <c r="AD219" s="49">
        <v>138</v>
      </c>
    </row>
    <row r="220" spans="1:30" x14ac:dyDescent="0.3">
      <c r="A220" s="49" t="s">
        <v>30</v>
      </c>
      <c r="B220" s="49">
        <v>2019</v>
      </c>
      <c r="C220" s="49" t="s">
        <v>42</v>
      </c>
      <c r="D220" s="49">
        <v>137.1</v>
      </c>
      <c r="E220" s="49">
        <v>151.4</v>
      </c>
      <c r="F220" s="49">
        <v>140.19999999999999</v>
      </c>
      <c r="G220" s="49">
        <v>142.1</v>
      </c>
      <c r="H220" s="49">
        <v>121.8</v>
      </c>
      <c r="I220" s="49">
        <v>135.4</v>
      </c>
      <c r="J220" s="49">
        <v>131.30000000000001</v>
      </c>
      <c r="K220" s="49">
        <v>120.3</v>
      </c>
      <c r="L220" s="49">
        <v>109.1</v>
      </c>
      <c r="M220" s="49">
        <v>139.4</v>
      </c>
      <c r="N220" s="49">
        <v>133.30000000000001</v>
      </c>
      <c r="O220" s="49">
        <v>154.6</v>
      </c>
      <c r="P220" s="49">
        <v>137.4</v>
      </c>
      <c r="Q220" s="49">
        <v>163.19999999999999</v>
      </c>
      <c r="R220" s="49">
        <v>147.6</v>
      </c>
      <c r="S220" s="49">
        <v>139</v>
      </c>
      <c r="T220" s="49">
        <v>146.4</v>
      </c>
      <c r="U220" s="49">
        <v>147.69999999999999</v>
      </c>
      <c r="V220" s="49">
        <v>139.5</v>
      </c>
      <c r="W220" s="49">
        <v>143.6</v>
      </c>
      <c r="X220" s="49">
        <v>145.1</v>
      </c>
      <c r="Y220" s="49">
        <v>123.3</v>
      </c>
      <c r="Z220" s="49">
        <v>136.69999999999999</v>
      </c>
      <c r="AA220" s="49">
        <v>150.19999999999999</v>
      </c>
      <c r="AB220" s="49">
        <v>132.80000000000001</v>
      </c>
      <c r="AC220" s="49">
        <v>136.9</v>
      </c>
      <c r="AD220" s="49">
        <v>139.6</v>
      </c>
    </row>
    <row r="221" spans="1:30" x14ac:dyDescent="0.3">
      <c r="A221" s="49" t="s">
        <v>41</v>
      </c>
      <c r="B221" s="49">
        <v>2019</v>
      </c>
      <c r="C221" s="49" t="s">
        <v>45</v>
      </c>
      <c r="D221" s="49">
        <v>136.80000000000001</v>
      </c>
      <c r="E221" s="49">
        <v>153</v>
      </c>
      <c r="F221" s="49">
        <v>139.1</v>
      </c>
      <c r="G221" s="49">
        <v>142.5</v>
      </c>
      <c r="H221" s="49">
        <v>124.1</v>
      </c>
      <c r="I221" s="49">
        <v>135.80000000000001</v>
      </c>
      <c r="J221" s="49">
        <v>128.69999999999999</v>
      </c>
      <c r="K221" s="49">
        <v>121.5</v>
      </c>
      <c r="L221" s="49">
        <v>108.3</v>
      </c>
      <c r="M221" s="49">
        <v>139.19999999999999</v>
      </c>
      <c r="N221" s="49">
        <v>137.4</v>
      </c>
      <c r="O221" s="49">
        <v>156.19999999999999</v>
      </c>
      <c r="P221" s="49">
        <v>137.19999999999999</v>
      </c>
      <c r="Q221" s="49">
        <v>162.80000000000001</v>
      </c>
      <c r="R221" s="49">
        <v>150.5</v>
      </c>
      <c r="S221" s="49">
        <v>146.1</v>
      </c>
      <c r="T221" s="49">
        <v>149.9</v>
      </c>
      <c r="U221" s="49" t="s">
        <v>43</v>
      </c>
      <c r="V221" s="49">
        <v>145.30000000000001</v>
      </c>
      <c r="W221" s="49">
        <v>150.1</v>
      </c>
      <c r="X221" s="49">
        <v>149.9</v>
      </c>
      <c r="Y221" s="49">
        <v>129.19999999999999</v>
      </c>
      <c r="Z221" s="49">
        <v>143.4</v>
      </c>
      <c r="AA221" s="49">
        <v>155.5</v>
      </c>
      <c r="AB221" s="49">
        <v>134.9</v>
      </c>
      <c r="AC221" s="49">
        <v>142.19999999999999</v>
      </c>
      <c r="AD221" s="49">
        <v>141</v>
      </c>
    </row>
    <row r="222" spans="1:30" x14ac:dyDescent="0.3">
      <c r="A222" s="49" t="s">
        <v>44</v>
      </c>
      <c r="B222" s="49">
        <v>2019</v>
      </c>
      <c r="C222" s="49" t="s">
        <v>45</v>
      </c>
      <c r="D222" s="49">
        <v>139.4</v>
      </c>
      <c r="E222" s="49">
        <v>150.1</v>
      </c>
      <c r="F222" s="49">
        <v>145.30000000000001</v>
      </c>
      <c r="G222" s="49">
        <v>141.69999999999999</v>
      </c>
      <c r="H222" s="49">
        <v>118.4</v>
      </c>
      <c r="I222" s="49">
        <v>137</v>
      </c>
      <c r="J222" s="49">
        <v>131.6</v>
      </c>
      <c r="K222" s="49">
        <v>119.9</v>
      </c>
      <c r="L222" s="49">
        <v>110.4</v>
      </c>
      <c r="M222" s="49">
        <v>140.80000000000001</v>
      </c>
      <c r="N222" s="49">
        <v>128.30000000000001</v>
      </c>
      <c r="O222" s="49">
        <v>153.5</v>
      </c>
      <c r="P222" s="49">
        <v>138</v>
      </c>
      <c r="Q222" s="49">
        <v>164.9</v>
      </c>
      <c r="R222" s="49">
        <v>143.30000000000001</v>
      </c>
      <c r="S222" s="49">
        <v>130.80000000000001</v>
      </c>
      <c r="T222" s="49">
        <v>141.4</v>
      </c>
      <c r="U222" s="49">
        <v>148.5</v>
      </c>
      <c r="V222" s="49">
        <v>127.1</v>
      </c>
      <c r="W222" s="49">
        <v>136.6</v>
      </c>
      <c r="X222" s="49">
        <v>138.5</v>
      </c>
      <c r="Y222" s="49">
        <v>119.2</v>
      </c>
      <c r="Z222" s="49">
        <v>132.19999999999999</v>
      </c>
      <c r="AA222" s="49">
        <v>146.6</v>
      </c>
      <c r="AB222" s="49">
        <v>133</v>
      </c>
      <c r="AC222" s="49">
        <v>132.4</v>
      </c>
      <c r="AD222" s="49">
        <v>138.6</v>
      </c>
    </row>
    <row r="223" spans="1:30" x14ac:dyDescent="0.3">
      <c r="A223" s="49" t="s">
        <v>30</v>
      </c>
      <c r="B223" s="49">
        <v>2019</v>
      </c>
      <c r="C223" s="49" t="s">
        <v>45</v>
      </c>
      <c r="D223" s="49">
        <v>137.6</v>
      </c>
      <c r="E223" s="49">
        <v>152</v>
      </c>
      <c r="F223" s="49">
        <v>141.5</v>
      </c>
      <c r="G223" s="49">
        <v>142.19999999999999</v>
      </c>
      <c r="H223" s="49">
        <v>122</v>
      </c>
      <c r="I223" s="49">
        <v>136.4</v>
      </c>
      <c r="J223" s="49">
        <v>129.69999999999999</v>
      </c>
      <c r="K223" s="49">
        <v>121</v>
      </c>
      <c r="L223" s="49">
        <v>109</v>
      </c>
      <c r="M223" s="49">
        <v>139.69999999999999</v>
      </c>
      <c r="N223" s="49">
        <v>133.6</v>
      </c>
      <c r="O223" s="49">
        <v>154.9</v>
      </c>
      <c r="P223" s="49">
        <v>137.5</v>
      </c>
      <c r="Q223" s="49">
        <v>163.4</v>
      </c>
      <c r="R223" s="49">
        <v>147.69999999999999</v>
      </c>
      <c r="S223" s="49">
        <v>139.69999999999999</v>
      </c>
      <c r="T223" s="49">
        <v>146.5</v>
      </c>
      <c r="U223" s="49">
        <v>148.5</v>
      </c>
      <c r="V223" s="49">
        <v>138.4</v>
      </c>
      <c r="W223" s="49">
        <v>143.69999999999999</v>
      </c>
      <c r="X223" s="49">
        <v>145.6</v>
      </c>
      <c r="Y223" s="49">
        <v>123.9</v>
      </c>
      <c r="Z223" s="49">
        <v>137.1</v>
      </c>
      <c r="AA223" s="49">
        <v>150.30000000000001</v>
      </c>
      <c r="AB223" s="49">
        <v>134.1</v>
      </c>
      <c r="AC223" s="49">
        <v>137.4</v>
      </c>
      <c r="AD223" s="49">
        <v>139.9</v>
      </c>
    </row>
    <row r="224" spans="1:30" x14ac:dyDescent="0.3">
      <c r="A224" s="49" t="s">
        <v>41</v>
      </c>
      <c r="B224" s="49">
        <v>2019</v>
      </c>
      <c r="C224" s="49" t="s">
        <v>46</v>
      </c>
      <c r="D224" s="49">
        <v>136.9</v>
      </c>
      <c r="E224" s="49">
        <v>154.1</v>
      </c>
      <c r="F224" s="49">
        <v>138.69999999999999</v>
      </c>
      <c r="G224" s="49">
        <v>142.5</v>
      </c>
      <c r="H224" s="49">
        <v>124.1</v>
      </c>
      <c r="I224" s="49">
        <v>136.1</v>
      </c>
      <c r="J224" s="49">
        <v>128.19999999999999</v>
      </c>
      <c r="K224" s="49">
        <v>122.3</v>
      </c>
      <c r="L224" s="49">
        <v>108.3</v>
      </c>
      <c r="M224" s="49">
        <v>138.9</v>
      </c>
      <c r="N224" s="49">
        <v>137.4</v>
      </c>
      <c r="O224" s="49">
        <v>156.4</v>
      </c>
      <c r="P224" s="49">
        <v>137.30000000000001</v>
      </c>
      <c r="Q224" s="49">
        <v>162.9</v>
      </c>
      <c r="R224" s="49">
        <v>150.80000000000001</v>
      </c>
      <c r="S224" s="49">
        <v>146.1</v>
      </c>
      <c r="T224" s="49">
        <v>150.1</v>
      </c>
      <c r="U224" s="49" t="s">
        <v>43</v>
      </c>
      <c r="V224" s="49">
        <v>146.4</v>
      </c>
      <c r="W224" s="49">
        <v>150</v>
      </c>
      <c r="X224" s="49">
        <v>150.4</v>
      </c>
      <c r="Y224" s="49">
        <v>129.9</v>
      </c>
      <c r="Z224" s="49">
        <v>143.80000000000001</v>
      </c>
      <c r="AA224" s="49">
        <v>155.5</v>
      </c>
      <c r="AB224" s="49">
        <v>134</v>
      </c>
      <c r="AC224" s="49">
        <v>142.4</v>
      </c>
      <c r="AD224" s="49">
        <v>141.19999999999999</v>
      </c>
    </row>
    <row r="225" spans="1:30" x14ac:dyDescent="0.3">
      <c r="A225" s="49" t="s">
        <v>44</v>
      </c>
      <c r="B225" s="49">
        <v>2019</v>
      </c>
      <c r="C225" s="49" t="s">
        <v>46</v>
      </c>
      <c r="D225" s="49">
        <v>139.69999999999999</v>
      </c>
      <c r="E225" s="49">
        <v>151.1</v>
      </c>
      <c r="F225" s="49">
        <v>142.9</v>
      </c>
      <c r="G225" s="49">
        <v>141.9</v>
      </c>
      <c r="H225" s="49">
        <v>118.4</v>
      </c>
      <c r="I225" s="49">
        <v>139.4</v>
      </c>
      <c r="J225" s="49">
        <v>141.19999999999999</v>
      </c>
      <c r="K225" s="49">
        <v>120.7</v>
      </c>
      <c r="L225" s="49">
        <v>110.4</v>
      </c>
      <c r="M225" s="49">
        <v>140.69999999999999</v>
      </c>
      <c r="N225" s="49">
        <v>128.5</v>
      </c>
      <c r="O225" s="49">
        <v>153.9</v>
      </c>
      <c r="P225" s="49">
        <v>139.6</v>
      </c>
      <c r="Q225" s="49">
        <v>165.3</v>
      </c>
      <c r="R225" s="49">
        <v>143.5</v>
      </c>
      <c r="S225" s="49">
        <v>131.19999999999999</v>
      </c>
      <c r="T225" s="49">
        <v>141.6</v>
      </c>
      <c r="U225" s="49">
        <v>149</v>
      </c>
      <c r="V225" s="49">
        <v>128.80000000000001</v>
      </c>
      <c r="W225" s="49">
        <v>136.80000000000001</v>
      </c>
      <c r="X225" s="49">
        <v>139.19999999999999</v>
      </c>
      <c r="Y225" s="49">
        <v>119.9</v>
      </c>
      <c r="Z225" s="49">
        <v>133</v>
      </c>
      <c r="AA225" s="49">
        <v>146.69999999999999</v>
      </c>
      <c r="AB225" s="49">
        <v>132.5</v>
      </c>
      <c r="AC225" s="49">
        <v>132.80000000000001</v>
      </c>
      <c r="AD225" s="49">
        <v>139.5</v>
      </c>
    </row>
    <row r="226" spans="1:30" x14ac:dyDescent="0.3">
      <c r="A226" s="49" t="s">
        <v>30</v>
      </c>
      <c r="B226" s="49">
        <v>2019</v>
      </c>
      <c r="C226" s="49" t="s">
        <v>46</v>
      </c>
      <c r="D226" s="49">
        <v>137.80000000000001</v>
      </c>
      <c r="E226" s="49">
        <v>153</v>
      </c>
      <c r="F226" s="49">
        <v>140.30000000000001</v>
      </c>
      <c r="G226" s="49">
        <v>142.30000000000001</v>
      </c>
      <c r="H226" s="49">
        <v>122</v>
      </c>
      <c r="I226" s="49">
        <v>137.6</v>
      </c>
      <c r="J226" s="49">
        <v>132.6</v>
      </c>
      <c r="K226" s="49">
        <v>121.8</v>
      </c>
      <c r="L226" s="49">
        <v>109</v>
      </c>
      <c r="M226" s="49">
        <v>139.5</v>
      </c>
      <c r="N226" s="49">
        <v>133.69999999999999</v>
      </c>
      <c r="O226" s="49">
        <v>155.19999999999999</v>
      </c>
      <c r="P226" s="49">
        <v>138.1</v>
      </c>
      <c r="Q226" s="49">
        <v>163.5</v>
      </c>
      <c r="R226" s="49">
        <v>147.9</v>
      </c>
      <c r="S226" s="49">
        <v>139.9</v>
      </c>
      <c r="T226" s="49">
        <v>146.69999999999999</v>
      </c>
      <c r="U226" s="49">
        <v>149</v>
      </c>
      <c r="V226" s="49">
        <v>139.69999999999999</v>
      </c>
      <c r="W226" s="49">
        <v>143.80000000000001</v>
      </c>
      <c r="X226" s="49">
        <v>146.19999999999999</v>
      </c>
      <c r="Y226" s="49">
        <v>124.6</v>
      </c>
      <c r="Z226" s="49">
        <v>137.69999999999999</v>
      </c>
      <c r="AA226" s="49">
        <v>150.30000000000001</v>
      </c>
      <c r="AB226" s="49">
        <v>133.4</v>
      </c>
      <c r="AC226" s="49">
        <v>137.69999999999999</v>
      </c>
      <c r="AD226" s="49">
        <v>140.4</v>
      </c>
    </row>
    <row r="227" spans="1:30" x14ac:dyDescent="0.3">
      <c r="A227" s="49" t="s">
        <v>41</v>
      </c>
      <c r="B227" s="49">
        <v>2019</v>
      </c>
      <c r="C227" s="49" t="s">
        <v>31</v>
      </c>
      <c r="D227" s="49">
        <v>137.4</v>
      </c>
      <c r="E227" s="49">
        <v>159.5</v>
      </c>
      <c r="F227" s="49">
        <v>134.5</v>
      </c>
      <c r="G227" s="49">
        <v>142.6</v>
      </c>
      <c r="H227" s="49">
        <v>124</v>
      </c>
      <c r="I227" s="49">
        <v>143.69999999999999</v>
      </c>
      <c r="J227" s="49">
        <v>133.4</v>
      </c>
      <c r="K227" s="49">
        <v>125.1</v>
      </c>
      <c r="L227" s="49">
        <v>109.3</v>
      </c>
      <c r="M227" s="49">
        <v>139.30000000000001</v>
      </c>
      <c r="N227" s="49">
        <v>137.69999999999999</v>
      </c>
      <c r="O227" s="49">
        <v>156.4</v>
      </c>
      <c r="P227" s="49">
        <v>139.19999999999999</v>
      </c>
      <c r="Q227" s="49">
        <v>163.30000000000001</v>
      </c>
      <c r="R227" s="49">
        <v>151.30000000000001</v>
      </c>
      <c r="S227" s="49">
        <v>146.6</v>
      </c>
      <c r="T227" s="49">
        <v>150.69999999999999</v>
      </c>
      <c r="U227" s="49" t="s">
        <v>43</v>
      </c>
      <c r="V227" s="49">
        <v>146.9</v>
      </c>
      <c r="W227" s="49">
        <v>149.5</v>
      </c>
      <c r="X227" s="49">
        <v>151.30000000000001</v>
      </c>
      <c r="Y227" s="49">
        <v>130.19999999999999</v>
      </c>
      <c r="Z227" s="49">
        <v>145.9</v>
      </c>
      <c r="AA227" s="49">
        <v>156.69999999999999</v>
      </c>
      <c r="AB227" s="49">
        <v>133.9</v>
      </c>
      <c r="AC227" s="49">
        <v>142.9</v>
      </c>
      <c r="AD227" s="49">
        <v>142.4</v>
      </c>
    </row>
    <row r="228" spans="1:30" x14ac:dyDescent="0.3">
      <c r="A228" s="49" t="s">
        <v>44</v>
      </c>
      <c r="B228" s="49">
        <v>2019</v>
      </c>
      <c r="C228" s="49" t="s">
        <v>31</v>
      </c>
      <c r="D228" s="49">
        <v>140.4</v>
      </c>
      <c r="E228" s="49">
        <v>156.69999999999999</v>
      </c>
      <c r="F228" s="49">
        <v>138.30000000000001</v>
      </c>
      <c r="G228" s="49">
        <v>142.4</v>
      </c>
      <c r="H228" s="49">
        <v>118.6</v>
      </c>
      <c r="I228" s="49">
        <v>149.69999999999999</v>
      </c>
      <c r="J228" s="49">
        <v>161.6</v>
      </c>
      <c r="K228" s="49">
        <v>124.4</v>
      </c>
      <c r="L228" s="49">
        <v>111.2</v>
      </c>
      <c r="M228" s="49">
        <v>141</v>
      </c>
      <c r="N228" s="49">
        <v>128.9</v>
      </c>
      <c r="O228" s="49">
        <v>154.5</v>
      </c>
      <c r="P228" s="49">
        <v>143.80000000000001</v>
      </c>
      <c r="Q228" s="49">
        <v>166.2</v>
      </c>
      <c r="R228" s="49">
        <v>144</v>
      </c>
      <c r="S228" s="49">
        <v>131.69999999999999</v>
      </c>
      <c r="T228" s="49">
        <v>142.19999999999999</v>
      </c>
      <c r="U228" s="49">
        <v>150.1</v>
      </c>
      <c r="V228" s="49">
        <v>129.4</v>
      </c>
      <c r="W228" s="49">
        <v>137.19999999999999</v>
      </c>
      <c r="X228" s="49">
        <v>139.80000000000001</v>
      </c>
      <c r="Y228" s="49">
        <v>120.1</v>
      </c>
      <c r="Z228" s="49">
        <v>134</v>
      </c>
      <c r="AA228" s="49">
        <v>148</v>
      </c>
      <c r="AB228" s="49">
        <v>132.6</v>
      </c>
      <c r="AC228" s="49">
        <v>133.30000000000001</v>
      </c>
      <c r="AD228" s="49">
        <v>141.5</v>
      </c>
    </row>
    <row r="229" spans="1:30" x14ac:dyDescent="0.3">
      <c r="A229" s="49" t="s">
        <v>30</v>
      </c>
      <c r="B229" s="49">
        <v>2019</v>
      </c>
      <c r="C229" s="49" t="s">
        <v>31</v>
      </c>
      <c r="D229" s="49">
        <v>138.30000000000001</v>
      </c>
      <c r="E229" s="49">
        <v>158.5</v>
      </c>
      <c r="F229" s="49">
        <v>136</v>
      </c>
      <c r="G229" s="49">
        <v>142.5</v>
      </c>
      <c r="H229" s="49">
        <v>122</v>
      </c>
      <c r="I229" s="49">
        <v>146.5</v>
      </c>
      <c r="J229" s="49">
        <v>143</v>
      </c>
      <c r="K229" s="49">
        <v>124.9</v>
      </c>
      <c r="L229" s="49">
        <v>109.9</v>
      </c>
      <c r="M229" s="49">
        <v>139.9</v>
      </c>
      <c r="N229" s="49">
        <v>134</v>
      </c>
      <c r="O229" s="49">
        <v>155.5</v>
      </c>
      <c r="P229" s="49">
        <v>140.9</v>
      </c>
      <c r="Q229" s="49">
        <v>164.1</v>
      </c>
      <c r="R229" s="49">
        <v>148.4</v>
      </c>
      <c r="S229" s="49">
        <v>140.4</v>
      </c>
      <c r="T229" s="49">
        <v>147.30000000000001</v>
      </c>
      <c r="U229" s="49">
        <v>150.1</v>
      </c>
      <c r="V229" s="49">
        <v>140.30000000000001</v>
      </c>
      <c r="W229" s="49">
        <v>143.69999999999999</v>
      </c>
      <c r="X229" s="49">
        <v>146.9</v>
      </c>
      <c r="Y229" s="49">
        <v>124.9</v>
      </c>
      <c r="Z229" s="49">
        <v>139.19999999999999</v>
      </c>
      <c r="AA229" s="49">
        <v>151.6</v>
      </c>
      <c r="AB229" s="49">
        <v>133.4</v>
      </c>
      <c r="AC229" s="49">
        <v>138.19999999999999</v>
      </c>
      <c r="AD229" s="49">
        <v>142</v>
      </c>
    </row>
    <row r="230" spans="1:30" x14ac:dyDescent="0.3">
      <c r="A230" s="49" t="s">
        <v>41</v>
      </c>
      <c r="B230" s="49">
        <v>2019</v>
      </c>
      <c r="C230" s="49" t="s">
        <v>48</v>
      </c>
      <c r="D230" s="49">
        <v>137.80000000000001</v>
      </c>
      <c r="E230" s="49">
        <v>163.5</v>
      </c>
      <c r="F230" s="49">
        <v>136.19999999999999</v>
      </c>
      <c r="G230" s="49">
        <v>143.19999999999999</v>
      </c>
      <c r="H230" s="49">
        <v>124.3</v>
      </c>
      <c r="I230" s="49">
        <v>143.30000000000001</v>
      </c>
      <c r="J230" s="49">
        <v>140.6</v>
      </c>
      <c r="K230" s="49">
        <v>128.69999999999999</v>
      </c>
      <c r="L230" s="49">
        <v>110.6</v>
      </c>
      <c r="M230" s="49">
        <v>140.4</v>
      </c>
      <c r="N230" s="49">
        <v>138</v>
      </c>
      <c r="O230" s="49">
        <v>156.6</v>
      </c>
      <c r="P230" s="49">
        <v>141</v>
      </c>
      <c r="Q230" s="49">
        <v>164.2</v>
      </c>
      <c r="R230" s="49">
        <v>151.4</v>
      </c>
      <c r="S230" s="49">
        <v>146.5</v>
      </c>
      <c r="T230" s="49">
        <v>150.69999999999999</v>
      </c>
      <c r="U230" s="49" t="s">
        <v>43</v>
      </c>
      <c r="V230" s="49">
        <v>147.80000000000001</v>
      </c>
      <c r="W230" s="49">
        <v>149.6</v>
      </c>
      <c r="X230" s="49">
        <v>151.69999999999999</v>
      </c>
      <c r="Y230" s="49">
        <v>130.19999999999999</v>
      </c>
      <c r="Z230" s="49">
        <v>146.4</v>
      </c>
      <c r="AA230" s="49">
        <v>157.69999999999999</v>
      </c>
      <c r="AB230" s="49">
        <v>134.80000000000001</v>
      </c>
      <c r="AC230" s="49">
        <v>143.30000000000001</v>
      </c>
      <c r="AD230" s="49">
        <v>143.6</v>
      </c>
    </row>
    <row r="231" spans="1:30" x14ac:dyDescent="0.3">
      <c r="A231" s="49" t="s">
        <v>44</v>
      </c>
      <c r="B231" s="49">
        <v>2019</v>
      </c>
      <c r="C231" s="49" t="s">
        <v>48</v>
      </c>
      <c r="D231" s="49">
        <v>140.69999999999999</v>
      </c>
      <c r="E231" s="49">
        <v>159.6</v>
      </c>
      <c r="F231" s="49">
        <v>140.4</v>
      </c>
      <c r="G231" s="49">
        <v>143.4</v>
      </c>
      <c r="H231" s="49">
        <v>118.6</v>
      </c>
      <c r="I231" s="49">
        <v>150.9</v>
      </c>
      <c r="J231" s="49">
        <v>169.8</v>
      </c>
      <c r="K231" s="49">
        <v>127.4</v>
      </c>
      <c r="L231" s="49">
        <v>111.8</v>
      </c>
      <c r="M231" s="49">
        <v>141</v>
      </c>
      <c r="N231" s="49">
        <v>129</v>
      </c>
      <c r="O231" s="49">
        <v>155.1</v>
      </c>
      <c r="P231" s="49">
        <v>145.6</v>
      </c>
      <c r="Q231" s="49">
        <v>166.7</v>
      </c>
      <c r="R231" s="49">
        <v>144.30000000000001</v>
      </c>
      <c r="S231" s="49">
        <v>131.69999999999999</v>
      </c>
      <c r="T231" s="49">
        <v>142.4</v>
      </c>
      <c r="U231" s="49">
        <v>149.4</v>
      </c>
      <c r="V231" s="49">
        <v>130.5</v>
      </c>
      <c r="W231" s="49">
        <v>137.4</v>
      </c>
      <c r="X231" s="49">
        <v>140.30000000000001</v>
      </c>
      <c r="Y231" s="49">
        <v>119.6</v>
      </c>
      <c r="Z231" s="49">
        <v>134.30000000000001</v>
      </c>
      <c r="AA231" s="49">
        <v>148.9</v>
      </c>
      <c r="AB231" s="49">
        <v>133.69999999999999</v>
      </c>
      <c r="AC231" s="49">
        <v>133.6</v>
      </c>
      <c r="AD231" s="49">
        <v>142.1</v>
      </c>
    </row>
    <row r="232" spans="1:30" x14ac:dyDescent="0.3">
      <c r="A232" s="49" t="s">
        <v>30</v>
      </c>
      <c r="B232" s="49">
        <v>2019</v>
      </c>
      <c r="C232" s="49" t="s">
        <v>48</v>
      </c>
      <c r="D232" s="49">
        <v>138.69999999999999</v>
      </c>
      <c r="E232" s="49">
        <v>162.1</v>
      </c>
      <c r="F232" s="49">
        <v>137.80000000000001</v>
      </c>
      <c r="G232" s="49">
        <v>143.30000000000001</v>
      </c>
      <c r="H232" s="49">
        <v>122.2</v>
      </c>
      <c r="I232" s="49">
        <v>146.80000000000001</v>
      </c>
      <c r="J232" s="49">
        <v>150.5</v>
      </c>
      <c r="K232" s="49">
        <v>128.30000000000001</v>
      </c>
      <c r="L232" s="49">
        <v>111</v>
      </c>
      <c r="M232" s="49">
        <v>140.6</v>
      </c>
      <c r="N232" s="49">
        <v>134.19999999999999</v>
      </c>
      <c r="O232" s="49">
        <v>155.9</v>
      </c>
      <c r="P232" s="49">
        <v>142.69999999999999</v>
      </c>
      <c r="Q232" s="49">
        <v>164.9</v>
      </c>
      <c r="R232" s="49">
        <v>148.6</v>
      </c>
      <c r="S232" s="49">
        <v>140.4</v>
      </c>
      <c r="T232" s="49">
        <v>147.4</v>
      </c>
      <c r="U232" s="49">
        <v>149.4</v>
      </c>
      <c r="V232" s="49">
        <v>141.19999999999999</v>
      </c>
      <c r="W232" s="49">
        <v>143.80000000000001</v>
      </c>
      <c r="X232" s="49">
        <v>147.4</v>
      </c>
      <c r="Y232" s="49">
        <v>124.6</v>
      </c>
      <c r="Z232" s="49">
        <v>139.6</v>
      </c>
      <c r="AA232" s="49">
        <v>152.5</v>
      </c>
      <c r="AB232" s="49">
        <v>134.30000000000001</v>
      </c>
      <c r="AC232" s="49">
        <v>138.6</v>
      </c>
      <c r="AD232" s="49">
        <v>142.9</v>
      </c>
    </row>
    <row r="233" spans="1:30" x14ac:dyDescent="0.3">
      <c r="A233" s="49" t="s">
        <v>41</v>
      </c>
      <c r="B233" s="49">
        <v>2019</v>
      </c>
      <c r="C233" s="49" t="s">
        <v>49</v>
      </c>
      <c r="D233" s="49">
        <v>138.4</v>
      </c>
      <c r="E233" s="49">
        <v>164</v>
      </c>
      <c r="F233" s="49">
        <v>138.4</v>
      </c>
      <c r="G233" s="49">
        <v>143.9</v>
      </c>
      <c r="H233" s="49">
        <v>124.4</v>
      </c>
      <c r="I233" s="49">
        <v>146.4</v>
      </c>
      <c r="J233" s="49">
        <v>150.1</v>
      </c>
      <c r="K233" s="49">
        <v>130.6</v>
      </c>
      <c r="L233" s="49">
        <v>110.8</v>
      </c>
      <c r="M233" s="49">
        <v>141.69999999999999</v>
      </c>
      <c r="N233" s="49">
        <v>138.5</v>
      </c>
      <c r="O233" s="49">
        <v>156.69999999999999</v>
      </c>
      <c r="P233" s="49">
        <v>143</v>
      </c>
      <c r="Q233" s="49">
        <v>164.5</v>
      </c>
      <c r="R233" s="49">
        <v>151.6</v>
      </c>
      <c r="S233" s="49">
        <v>146.6</v>
      </c>
      <c r="T233" s="49">
        <v>150.9</v>
      </c>
      <c r="U233" s="49" t="s">
        <v>43</v>
      </c>
      <c r="V233" s="49">
        <v>146.80000000000001</v>
      </c>
      <c r="W233" s="49">
        <v>150</v>
      </c>
      <c r="X233" s="49">
        <v>152.19999999999999</v>
      </c>
      <c r="Y233" s="49">
        <v>131.19999999999999</v>
      </c>
      <c r="Z233" s="49">
        <v>147.5</v>
      </c>
      <c r="AA233" s="49">
        <v>159.1</v>
      </c>
      <c r="AB233" s="49">
        <v>136.1</v>
      </c>
      <c r="AC233" s="49">
        <v>144.19999999999999</v>
      </c>
      <c r="AD233" s="49">
        <v>144.9</v>
      </c>
    </row>
    <row r="234" spans="1:30" x14ac:dyDescent="0.3">
      <c r="A234" s="49" t="s">
        <v>44</v>
      </c>
      <c r="B234" s="49">
        <v>2019</v>
      </c>
      <c r="C234" s="49" t="s">
        <v>49</v>
      </c>
      <c r="D234" s="49">
        <v>141.4</v>
      </c>
      <c r="E234" s="49">
        <v>160.19999999999999</v>
      </c>
      <c r="F234" s="49">
        <v>142.5</v>
      </c>
      <c r="G234" s="49">
        <v>144.1</v>
      </c>
      <c r="H234" s="49">
        <v>119.3</v>
      </c>
      <c r="I234" s="49">
        <v>154.69999999999999</v>
      </c>
      <c r="J234" s="49">
        <v>180.1</v>
      </c>
      <c r="K234" s="49">
        <v>128.9</v>
      </c>
      <c r="L234" s="49">
        <v>111.8</v>
      </c>
      <c r="M234" s="49">
        <v>141.6</v>
      </c>
      <c r="N234" s="49">
        <v>129.5</v>
      </c>
      <c r="O234" s="49">
        <v>155.6</v>
      </c>
      <c r="P234" s="49">
        <v>147.69999999999999</v>
      </c>
      <c r="Q234" s="49">
        <v>167.2</v>
      </c>
      <c r="R234" s="49">
        <v>144.69999999999999</v>
      </c>
      <c r="S234" s="49">
        <v>131.9</v>
      </c>
      <c r="T234" s="49">
        <v>142.69999999999999</v>
      </c>
      <c r="U234" s="49">
        <v>150.6</v>
      </c>
      <c r="V234" s="49">
        <v>127</v>
      </c>
      <c r="W234" s="49">
        <v>137.69999999999999</v>
      </c>
      <c r="X234" s="49">
        <v>140.80000000000001</v>
      </c>
      <c r="Y234" s="49">
        <v>120.6</v>
      </c>
      <c r="Z234" s="49">
        <v>135</v>
      </c>
      <c r="AA234" s="49">
        <v>150.4</v>
      </c>
      <c r="AB234" s="49">
        <v>135.1</v>
      </c>
      <c r="AC234" s="49">
        <v>134.5</v>
      </c>
      <c r="AD234" s="49">
        <v>143.30000000000001</v>
      </c>
    </row>
    <row r="235" spans="1:30" x14ac:dyDescent="0.3">
      <c r="A235" s="49" t="s">
        <v>30</v>
      </c>
      <c r="B235" s="49">
        <v>2019</v>
      </c>
      <c r="C235" s="49" t="s">
        <v>49</v>
      </c>
      <c r="D235" s="49">
        <v>139.30000000000001</v>
      </c>
      <c r="E235" s="49">
        <v>162.69999999999999</v>
      </c>
      <c r="F235" s="49">
        <v>140</v>
      </c>
      <c r="G235" s="49">
        <v>144</v>
      </c>
      <c r="H235" s="49">
        <v>122.5</v>
      </c>
      <c r="I235" s="49">
        <v>150.30000000000001</v>
      </c>
      <c r="J235" s="49">
        <v>160.30000000000001</v>
      </c>
      <c r="K235" s="49">
        <v>130</v>
      </c>
      <c r="L235" s="49">
        <v>111.1</v>
      </c>
      <c r="M235" s="49">
        <v>141.69999999999999</v>
      </c>
      <c r="N235" s="49">
        <v>134.69999999999999</v>
      </c>
      <c r="O235" s="49">
        <v>156.19999999999999</v>
      </c>
      <c r="P235" s="49">
        <v>144.69999999999999</v>
      </c>
      <c r="Q235" s="49">
        <v>165.2</v>
      </c>
      <c r="R235" s="49">
        <v>148.9</v>
      </c>
      <c r="S235" s="49">
        <v>140.5</v>
      </c>
      <c r="T235" s="49">
        <v>147.6</v>
      </c>
      <c r="U235" s="49">
        <v>150.6</v>
      </c>
      <c r="V235" s="49">
        <v>139.30000000000001</v>
      </c>
      <c r="W235" s="49">
        <v>144.19999999999999</v>
      </c>
      <c r="X235" s="49">
        <v>147.9</v>
      </c>
      <c r="Y235" s="49">
        <v>125.6</v>
      </c>
      <c r="Z235" s="49">
        <v>140.5</v>
      </c>
      <c r="AA235" s="49">
        <v>154</v>
      </c>
      <c r="AB235" s="49">
        <v>135.69999999999999</v>
      </c>
      <c r="AC235" s="49">
        <v>139.5</v>
      </c>
      <c r="AD235" s="49">
        <v>144.19999999999999</v>
      </c>
    </row>
    <row r="236" spans="1:30" x14ac:dyDescent="0.3">
      <c r="A236" s="49" t="s">
        <v>41</v>
      </c>
      <c r="B236" s="49">
        <v>2019</v>
      </c>
      <c r="C236" s="49" t="s">
        <v>50</v>
      </c>
      <c r="D236" s="49">
        <v>139.19999999999999</v>
      </c>
      <c r="E236" s="49">
        <v>161.9</v>
      </c>
      <c r="F236" s="49">
        <v>137.1</v>
      </c>
      <c r="G236" s="49">
        <v>144.6</v>
      </c>
      <c r="H236" s="49">
        <v>124.7</v>
      </c>
      <c r="I236" s="49">
        <v>145.5</v>
      </c>
      <c r="J236" s="49">
        <v>156.19999999999999</v>
      </c>
      <c r="K236" s="49">
        <v>131.5</v>
      </c>
      <c r="L236" s="49">
        <v>111.7</v>
      </c>
      <c r="M236" s="49">
        <v>142.69999999999999</v>
      </c>
      <c r="N236" s="49">
        <v>138.5</v>
      </c>
      <c r="O236" s="49">
        <v>156.9</v>
      </c>
      <c r="P236" s="49">
        <v>144</v>
      </c>
      <c r="Q236" s="49">
        <v>165.1</v>
      </c>
      <c r="R236" s="49">
        <v>151.80000000000001</v>
      </c>
      <c r="S236" s="49">
        <v>146.6</v>
      </c>
      <c r="T236" s="49">
        <v>151.1</v>
      </c>
      <c r="U236" s="49" t="s">
        <v>43</v>
      </c>
      <c r="V236" s="49">
        <v>146.4</v>
      </c>
      <c r="W236" s="49">
        <v>150.19999999999999</v>
      </c>
      <c r="X236" s="49">
        <v>152.69999999999999</v>
      </c>
      <c r="Y236" s="49">
        <v>131.4</v>
      </c>
      <c r="Z236" s="49">
        <v>148</v>
      </c>
      <c r="AA236" s="49">
        <v>159.69999999999999</v>
      </c>
      <c r="AB236" s="49">
        <v>138.80000000000001</v>
      </c>
      <c r="AC236" s="49">
        <v>144.9</v>
      </c>
      <c r="AD236" s="49">
        <v>145.69999999999999</v>
      </c>
    </row>
    <row r="237" spans="1:30" x14ac:dyDescent="0.3">
      <c r="A237" s="49" t="s">
        <v>44</v>
      </c>
      <c r="B237" s="49">
        <v>2019</v>
      </c>
      <c r="C237" s="49" t="s">
        <v>50</v>
      </c>
      <c r="D237" s="49">
        <v>142.1</v>
      </c>
      <c r="E237" s="49">
        <v>158.30000000000001</v>
      </c>
      <c r="F237" s="49">
        <v>140.80000000000001</v>
      </c>
      <c r="G237" s="49">
        <v>144.9</v>
      </c>
      <c r="H237" s="49">
        <v>119.9</v>
      </c>
      <c r="I237" s="49">
        <v>153.9</v>
      </c>
      <c r="J237" s="49">
        <v>189.1</v>
      </c>
      <c r="K237" s="49">
        <v>129.80000000000001</v>
      </c>
      <c r="L237" s="49">
        <v>112.7</v>
      </c>
      <c r="M237" s="49">
        <v>142.5</v>
      </c>
      <c r="N237" s="49">
        <v>129.80000000000001</v>
      </c>
      <c r="O237" s="49">
        <v>156.19999999999999</v>
      </c>
      <c r="P237" s="49">
        <v>149.1</v>
      </c>
      <c r="Q237" s="49">
        <v>167.9</v>
      </c>
      <c r="R237" s="49">
        <v>145</v>
      </c>
      <c r="S237" s="49">
        <v>132.19999999999999</v>
      </c>
      <c r="T237" s="49">
        <v>143</v>
      </c>
      <c r="U237" s="49">
        <v>151.6</v>
      </c>
      <c r="V237" s="49">
        <v>125.5</v>
      </c>
      <c r="W237" s="49">
        <v>138.1</v>
      </c>
      <c r="X237" s="49">
        <v>141.5</v>
      </c>
      <c r="Y237" s="49">
        <v>120.8</v>
      </c>
      <c r="Z237" s="49">
        <v>135.4</v>
      </c>
      <c r="AA237" s="49">
        <v>151.5</v>
      </c>
      <c r="AB237" s="49">
        <v>137.80000000000001</v>
      </c>
      <c r="AC237" s="49">
        <v>135.30000000000001</v>
      </c>
      <c r="AD237" s="49">
        <v>144.19999999999999</v>
      </c>
    </row>
    <row r="238" spans="1:30" x14ac:dyDescent="0.3">
      <c r="A238" s="49" t="s">
        <v>30</v>
      </c>
      <c r="B238" s="49">
        <v>2019</v>
      </c>
      <c r="C238" s="49" t="s">
        <v>50</v>
      </c>
      <c r="D238" s="49">
        <v>140.1</v>
      </c>
      <c r="E238" s="49">
        <v>160.6</v>
      </c>
      <c r="F238" s="49">
        <v>138.5</v>
      </c>
      <c r="G238" s="49">
        <v>144.69999999999999</v>
      </c>
      <c r="H238" s="49">
        <v>122.9</v>
      </c>
      <c r="I238" s="49">
        <v>149.4</v>
      </c>
      <c r="J238" s="49">
        <v>167.4</v>
      </c>
      <c r="K238" s="49">
        <v>130.9</v>
      </c>
      <c r="L238" s="49">
        <v>112</v>
      </c>
      <c r="M238" s="49">
        <v>142.6</v>
      </c>
      <c r="N238" s="49">
        <v>134.9</v>
      </c>
      <c r="O238" s="49">
        <v>156.6</v>
      </c>
      <c r="P238" s="49">
        <v>145.9</v>
      </c>
      <c r="Q238" s="49">
        <v>165.8</v>
      </c>
      <c r="R238" s="49">
        <v>149.1</v>
      </c>
      <c r="S238" s="49">
        <v>140.6</v>
      </c>
      <c r="T238" s="49">
        <v>147.9</v>
      </c>
      <c r="U238" s="49">
        <v>151.6</v>
      </c>
      <c r="V238" s="49">
        <v>138.5</v>
      </c>
      <c r="W238" s="49">
        <v>144.5</v>
      </c>
      <c r="X238" s="49">
        <v>148.5</v>
      </c>
      <c r="Y238" s="49">
        <v>125.8</v>
      </c>
      <c r="Z238" s="49">
        <v>140.9</v>
      </c>
      <c r="AA238" s="49">
        <v>154.9</v>
      </c>
      <c r="AB238" s="49">
        <v>138.4</v>
      </c>
      <c r="AC238" s="49">
        <v>140.19999999999999</v>
      </c>
      <c r="AD238" s="49">
        <v>145</v>
      </c>
    </row>
    <row r="239" spans="1:30" x14ac:dyDescent="0.3">
      <c r="A239" s="49" t="s">
        <v>41</v>
      </c>
      <c r="B239" s="49">
        <v>2019</v>
      </c>
      <c r="C239" s="49" t="s">
        <v>51</v>
      </c>
      <c r="D239" s="49">
        <v>140.1</v>
      </c>
      <c r="E239" s="49">
        <v>161.9</v>
      </c>
      <c r="F239" s="49">
        <v>138.30000000000001</v>
      </c>
      <c r="G239" s="49">
        <v>145.69999999999999</v>
      </c>
      <c r="H239" s="49">
        <v>125.1</v>
      </c>
      <c r="I239" s="49">
        <v>143.80000000000001</v>
      </c>
      <c r="J239" s="49">
        <v>163.4</v>
      </c>
      <c r="K239" s="49">
        <v>132.19999999999999</v>
      </c>
      <c r="L239" s="49">
        <v>112.8</v>
      </c>
      <c r="M239" s="49">
        <v>144.19999999999999</v>
      </c>
      <c r="N239" s="49">
        <v>138.5</v>
      </c>
      <c r="O239" s="49">
        <v>157.19999999999999</v>
      </c>
      <c r="P239" s="49">
        <v>145.5</v>
      </c>
      <c r="Q239" s="49">
        <v>165.7</v>
      </c>
      <c r="R239" s="49">
        <v>151.69999999999999</v>
      </c>
      <c r="S239" s="49">
        <v>146.6</v>
      </c>
      <c r="T239" s="49">
        <v>151</v>
      </c>
      <c r="U239" s="49" t="s">
        <v>43</v>
      </c>
      <c r="V239" s="49">
        <v>146.9</v>
      </c>
      <c r="W239" s="49">
        <v>150.30000000000001</v>
      </c>
      <c r="X239" s="49">
        <v>153.4</v>
      </c>
      <c r="Y239" s="49">
        <v>131.6</v>
      </c>
      <c r="Z239" s="49">
        <v>148.30000000000001</v>
      </c>
      <c r="AA239" s="49">
        <v>160.19999999999999</v>
      </c>
      <c r="AB239" s="49">
        <v>140.19999999999999</v>
      </c>
      <c r="AC239" s="49">
        <v>145.4</v>
      </c>
      <c r="AD239" s="49">
        <v>146.69999999999999</v>
      </c>
    </row>
    <row r="240" spans="1:30" x14ac:dyDescent="0.3">
      <c r="A240" s="49" t="s">
        <v>44</v>
      </c>
      <c r="B240" s="49">
        <v>2019</v>
      </c>
      <c r="C240" s="49" t="s">
        <v>51</v>
      </c>
      <c r="D240" s="49">
        <v>142.69999999999999</v>
      </c>
      <c r="E240" s="49">
        <v>158.69999999999999</v>
      </c>
      <c r="F240" s="49">
        <v>141.6</v>
      </c>
      <c r="G240" s="49">
        <v>144.9</v>
      </c>
      <c r="H240" s="49">
        <v>120.8</v>
      </c>
      <c r="I240" s="49">
        <v>149.80000000000001</v>
      </c>
      <c r="J240" s="49">
        <v>192.4</v>
      </c>
      <c r="K240" s="49">
        <v>130.30000000000001</v>
      </c>
      <c r="L240" s="49">
        <v>114</v>
      </c>
      <c r="M240" s="49">
        <v>143.80000000000001</v>
      </c>
      <c r="N240" s="49">
        <v>130</v>
      </c>
      <c r="O240" s="49">
        <v>156.4</v>
      </c>
      <c r="P240" s="49">
        <v>149.5</v>
      </c>
      <c r="Q240" s="49">
        <v>168.6</v>
      </c>
      <c r="R240" s="49">
        <v>145.30000000000001</v>
      </c>
      <c r="S240" s="49">
        <v>132.19999999999999</v>
      </c>
      <c r="T240" s="49">
        <v>143.30000000000001</v>
      </c>
      <c r="U240" s="49">
        <v>152.19999999999999</v>
      </c>
      <c r="V240" s="49">
        <v>126.6</v>
      </c>
      <c r="W240" s="49">
        <v>138.30000000000001</v>
      </c>
      <c r="X240" s="49">
        <v>141.9</v>
      </c>
      <c r="Y240" s="49">
        <v>121.2</v>
      </c>
      <c r="Z240" s="49">
        <v>135.9</v>
      </c>
      <c r="AA240" s="49">
        <v>151.6</v>
      </c>
      <c r="AB240" s="49">
        <v>139</v>
      </c>
      <c r="AC240" s="49">
        <v>135.69999999999999</v>
      </c>
      <c r="AD240" s="49">
        <v>144.69999999999999</v>
      </c>
    </row>
    <row r="241" spans="1:30" x14ac:dyDescent="0.3">
      <c r="A241" s="49" t="s">
        <v>30</v>
      </c>
      <c r="B241" s="49">
        <v>2019</v>
      </c>
      <c r="C241" s="49" t="s">
        <v>51</v>
      </c>
      <c r="D241" s="49">
        <v>140.9</v>
      </c>
      <c r="E241" s="49">
        <v>160.80000000000001</v>
      </c>
      <c r="F241" s="49">
        <v>139.6</v>
      </c>
      <c r="G241" s="49">
        <v>145.4</v>
      </c>
      <c r="H241" s="49">
        <v>123.5</v>
      </c>
      <c r="I241" s="49">
        <v>146.6</v>
      </c>
      <c r="J241" s="49">
        <v>173.2</v>
      </c>
      <c r="K241" s="49">
        <v>131.6</v>
      </c>
      <c r="L241" s="49">
        <v>113.2</v>
      </c>
      <c r="M241" s="49">
        <v>144.1</v>
      </c>
      <c r="N241" s="49">
        <v>135</v>
      </c>
      <c r="O241" s="49">
        <v>156.80000000000001</v>
      </c>
      <c r="P241" s="49">
        <v>147</v>
      </c>
      <c r="Q241" s="49">
        <v>166.5</v>
      </c>
      <c r="R241" s="49">
        <v>149.19999999999999</v>
      </c>
      <c r="S241" s="49">
        <v>140.6</v>
      </c>
      <c r="T241" s="49">
        <v>147.9</v>
      </c>
      <c r="U241" s="49">
        <v>152.19999999999999</v>
      </c>
      <c r="V241" s="49">
        <v>139.19999999999999</v>
      </c>
      <c r="W241" s="49">
        <v>144.6</v>
      </c>
      <c r="X241" s="49">
        <v>149</v>
      </c>
      <c r="Y241" s="49">
        <v>126.1</v>
      </c>
      <c r="Z241" s="49">
        <v>141.30000000000001</v>
      </c>
      <c r="AA241" s="49">
        <v>155.19999999999999</v>
      </c>
      <c r="AB241" s="49">
        <v>139.69999999999999</v>
      </c>
      <c r="AC241" s="49">
        <v>140.69999999999999</v>
      </c>
      <c r="AD241" s="49">
        <v>145.80000000000001</v>
      </c>
    </row>
    <row r="242" spans="1:30" x14ac:dyDescent="0.3">
      <c r="A242" s="49" t="s">
        <v>41</v>
      </c>
      <c r="B242" s="49">
        <v>2019</v>
      </c>
      <c r="C242" s="49" t="s">
        <v>52</v>
      </c>
      <c r="D242" s="49">
        <v>141</v>
      </c>
      <c r="E242" s="49">
        <v>161.6</v>
      </c>
      <c r="F242" s="49">
        <v>141.19999999999999</v>
      </c>
      <c r="G242" s="49">
        <v>146.5</v>
      </c>
      <c r="H242" s="49">
        <v>125.6</v>
      </c>
      <c r="I242" s="49">
        <v>145.69999999999999</v>
      </c>
      <c r="J242" s="49">
        <v>178.8</v>
      </c>
      <c r="K242" s="49">
        <v>133.1</v>
      </c>
      <c r="L242" s="49">
        <v>113.6</v>
      </c>
      <c r="M242" s="49">
        <v>145.5</v>
      </c>
      <c r="N242" s="49">
        <v>138.6</v>
      </c>
      <c r="O242" s="49">
        <v>157.4</v>
      </c>
      <c r="P242" s="49">
        <v>148.30000000000001</v>
      </c>
      <c r="Q242" s="49">
        <v>166.3</v>
      </c>
      <c r="R242" s="49">
        <v>151.69999999999999</v>
      </c>
      <c r="S242" s="49">
        <v>146.69999999999999</v>
      </c>
      <c r="T242" s="49">
        <v>151</v>
      </c>
      <c r="U242" s="49" t="s">
        <v>43</v>
      </c>
      <c r="V242" s="49">
        <v>147.69999999999999</v>
      </c>
      <c r="W242" s="49">
        <v>150.6</v>
      </c>
      <c r="X242" s="49">
        <v>153.69999999999999</v>
      </c>
      <c r="Y242" s="49">
        <v>131.69999999999999</v>
      </c>
      <c r="Z242" s="49">
        <v>148.69999999999999</v>
      </c>
      <c r="AA242" s="49">
        <v>160.69999999999999</v>
      </c>
      <c r="AB242" s="49">
        <v>140.30000000000001</v>
      </c>
      <c r="AC242" s="49">
        <v>145.69999999999999</v>
      </c>
      <c r="AD242" s="49">
        <v>148.30000000000001</v>
      </c>
    </row>
    <row r="243" spans="1:30" x14ac:dyDescent="0.3">
      <c r="A243" s="49" t="s">
        <v>44</v>
      </c>
      <c r="B243" s="49">
        <v>2019</v>
      </c>
      <c r="C243" s="49" t="s">
        <v>52</v>
      </c>
      <c r="D243" s="49">
        <v>143.5</v>
      </c>
      <c r="E243" s="49">
        <v>159.80000000000001</v>
      </c>
      <c r="F243" s="49">
        <v>144.69999999999999</v>
      </c>
      <c r="G243" s="49">
        <v>145.6</v>
      </c>
      <c r="H243" s="49">
        <v>121.1</v>
      </c>
      <c r="I243" s="49">
        <v>150.6</v>
      </c>
      <c r="J243" s="49">
        <v>207.2</v>
      </c>
      <c r="K243" s="49">
        <v>131.19999999999999</v>
      </c>
      <c r="L243" s="49">
        <v>114.8</v>
      </c>
      <c r="M243" s="49">
        <v>145.19999999999999</v>
      </c>
      <c r="N243" s="49">
        <v>130.19999999999999</v>
      </c>
      <c r="O243" s="49">
        <v>156.80000000000001</v>
      </c>
      <c r="P243" s="49">
        <v>151.9</v>
      </c>
      <c r="Q243" s="49">
        <v>169.3</v>
      </c>
      <c r="R243" s="49">
        <v>145.9</v>
      </c>
      <c r="S243" s="49">
        <v>132.4</v>
      </c>
      <c r="T243" s="49">
        <v>143.9</v>
      </c>
      <c r="U243" s="49">
        <v>153</v>
      </c>
      <c r="V243" s="49">
        <v>128.9</v>
      </c>
      <c r="W243" s="49">
        <v>138.69999999999999</v>
      </c>
      <c r="X243" s="49">
        <v>142.4</v>
      </c>
      <c r="Y243" s="49">
        <v>121.5</v>
      </c>
      <c r="Z243" s="49">
        <v>136.19999999999999</v>
      </c>
      <c r="AA243" s="49">
        <v>151.69999999999999</v>
      </c>
      <c r="AB243" s="49">
        <v>139.5</v>
      </c>
      <c r="AC243" s="49">
        <v>136</v>
      </c>
      <c r="AD243" s="49">
        <v>146</v>
      </c>
    </row>
    <row r="244" spans="1:30" x14ac:dyDescent="0.3">
      <c r="A244" s="49" t="s">
        <v>30</v>
      </c>
      <c r="B244" s="49">
        <v>2019</v>
      </c>
      <c r="C244" s="49" t="s">
        <v>52</v>
      </c>
      <c r="D244" s="49">
        <v>141.80000000000001</v>
      </c>
      <c r="E244" s="49">
        <v>161</v>
      </c>
      <c r="F244" s="49">
        <v>142.6</v>
      </c>
      <c r="G244" s="49">
        <v>146.19999999999999</v>
      </c>
      <c r="H244" s="49">
        <v>123.9</v>
      </c>
      <c r="I244" s="49">
        <v>148</v>
      </c>
      <c r="J244" s="49">
        <v>188.4</v>
      </c>
      <c r="K244" s="49">
        <v>132.5</v>
      </c>
      <c r="L244" s="49">
        <v>114</v>
      </c>
      <c r="M244" s="49">
        <v>145.4</v>
      </c>
      <c r="N244" s="49">
        <v>135.1</v>
      </c>
      <c r="O244" s="49">
        <v>157.1</v>
      </c>
      <c r="P244" s="49">
        <v>149.6</v>
      </c>
      <c r="Q244" s="49">
        <v>167.1</v>
      </c>
      <c r="R244" s="49">
        <v>149.4</v>
      </c>
      <c r="S244" s="49">
        <v>140.80000000000001</v>
      </c>
      <c r="T244" s="49">
        <v>148.19999999999999</v>
      </c>
      <c r="U244" s="49">
        <v>153</v>
      </c>
      <c r="V244" s="49">
        <v>140.6</v>
      </c>
      <c r="W244" s="49">
        <v>145</v>
      </c>
      <c r="X244" s="49">
        <v>149.4</v>
      </c>
      <c r="Y244" s="49">
        <v>126.3</v>
      </c>
      <c r="Z244" s="49">
        <v>141.69999999999999</v>
      </c>
      <c r="AA244" s="49">
        <v>155.4</v>
      </c>
      <c r="AB244" s="49">
        <v>140</v>
      </c>
      <c r="AC244" s="49">
        <v>141</v>
      </c>
      <c r="AD244" s="49">
        <v>147.19999999999999</v>
      </c>
    </row>
    <row r="245" spans="1:30" x14ac:dyDescent="0.3">
      <c r="A245" s="49" t="s">
        <v>41</v>
      </c>
      <c r="B245" s="49">
        <v>2019</v>
      </c>
      <c r="C245" s="49" t="s">
        <v>54</v>
      </c>
      <c r="D245" s="49">
        <v>141.80000000000001</v>
      </c>
      <c r="E245" s="49">
        <v>163.69999999999999</v>
      </c>
      <c r="F245" s="49">
        <v>143.80000000000001</v>
      </c>
      <c r="G245" s="49">
        <v>147.1</v>
      </c>
      <c r="H245" s="49">
        <v>126</v>
      </c>
      <c r="I245" s="49">
        <v>146.19999999999999</v>
      </c>
      <c r="J245" s="49">
        <v>191.4</v>
      </c>
      <c r="K245" s="49">
        <v>136.19999999999999</v>
      </c>
      <c r="L245" s="49">
        <v>113.8</v>
      </c>
      <c r="M245" s="49">
        <v>147.30000000000001</v>
      </c>
      <c r="N245" s="49">
        <v>138.69999999999999</v>
      </c>
      <c r="O245" s="49">
        <v>157.69999999999999</v>
      </c>
      <c r="P245" s="49">
        <v>150.9</v>
      </c>
      <c r="Q245" s="49">
        <v>167.2</v>
      </c>
      <c r="R245" s="49">
        <v>152.30000000000001</v>
      </c>
      <c r="S245" s="49">
        <v>147</v>
      </c>
      <c r="T245" s="49">
        <v>151.5</v>
      </c>
      <c r="U245" s="49" t="s">
        <v>43</v>
      </c>
      <c r="V245" s="49">
        <v>148.4</v>
      </c>
      <c r="W245" s="49">
        <v>150.9</v>
      </c>
      <c r="X245" s="49">
        <v>154.30000000000001</v>
      </c>
      <c r="Y245" s="49">
        <v>132.1</v>
      </c>
      <c r="Z245" s="49">
        <v>149.1</v>
      </c>
      <c r="AA245" s="49">
        <v>160.80000000000001</v>
      </c>
      <c r="AB245" s="49">
        <v>140.6</v>
      </c>
      <c r="AC245" s="49">
        <v>146.1</v>
      </c>
      <c r="AD245" s="49">
        <v>149.9</v>
      </c>
    </row>
    <row r="246" spans="1:30" x14ac:dyDescent="0.3">
      <c r="A246" s="49" t="s">
        <v>44</v>
      </c>
      <c r="B246" s="49">
        <v>2019</v>
      </c>
      <c r="C246" s="49" t="s">
        <v>54</v>
      </c>
      <c r="D246" s="49">
        <v>144.1</v>
      </c>
      <c r="E246" s="49">
        <v>162.4</v>
      </c>
      <c r="F246" s="49">
        <v>148.4</v>
      </c>
      <c r="G246" s="49">
        <v>145.9</v>
      </c>
      <c r="H246" s="49">
        <v>121.5</v>
      </c>
      <c r="I246" s="49">
        <v>148.80000000000001</v>
      </c>
      <c r="J246" s="49">
        <v>215.7</v>
      </c>
      <c r="K246" s="49">
        <v>134.6</v>
      </c>
      <c r="L246" s="49">
        <v>115</v>
      </c>
      <c r="M246" s="49">
        <v>146.30000000000001</v>
      </c>
      <c r="N246" s="49">
        <v>130.5</v>
      </c>
      <c r="O246" s="49">
        <v>157.19999999999999</v>
      </c>
      <c r="P246" s="49">
        <v>153.6</v>
      </c>
      <c r="Q246" s="49">
        <v>169.9</v>
      </c>
      <c r="R246" s="49">
        <v>146.30000000000001</v>
      </c>
      <c r="S246" s="49">
        <v>132.6</v>
      </c>
      <c r="T246" s="49">
        <v>144.19999999999999</v>
      </c>
      <c r="U246" s="49">
        <v>153.5</v>
      </c>
      <c r="V246" s="49">
        <v>132.19999999999999</v>
      </c>
      <c r="W246" s="49">
        <v>139.1</v>
      </c>
      <c r="X246" s="49">
        <v>142.80000000000001</v>
      </c>
      <c r="Y246" s="49">
        <v>121.7</v>
      </c>
      <c r="Z246" s="49">
        <v>136.69999999999999</v>
      </c>
      <c r="AA246" s="49">
        <v>151.80000000000001</v>
      </c>
      <c r="AB246" s="49">
        <v>139.80000000000001</v>
      </c>
      <c r="AC246" s="49">
        <v>136.30000000000001</v>
      </c>
      <c r="AD246" s="49">
        <v>147</v>
      </c>
    </row>
    <row r="247" spans="1:30" x14ac:dyDescent="0.3">
      <c r="A247" s="49" t="s">
        <v>30</v>
      </c>
      <c r="B247" s="49">
        <v>2019</v>
      </c>
      <c r="C247" s="49" t="s">
        <v>54</v>
      </c>
      <c r="D247" s="49">
        <v>142.5</v>
      </c>
      <c r="E247" s="49">
        <v>163.19999999999999</v>
      </c>
      <c r="F247" s="49">
        <v>145.6</v>
      </c>
      <c r="G247" s="49">
        <v>146.69999999999999</v>
      </c>
      <c r="H247" s="49">
        <v>124.3</v>
      </c>
      <c r="I247" s="49">
        <v>147.4</v>
      </c>
      <c r="J247" s="49">
        <v>199.6</v>
      </c>
      <c r="K247" s="49">
        <v>135.69999999999999</v>
      </c>
      <c r="L247" s="49">
        <v>114.2</v>
      </c>
      <c r="M247" s="49">
        <v>147</v>
      </c>
      <c r="N247" s="49">
        <v>135.30000000000001</v>
      </c>
      <c r="O247" s="49">
        <v>157.5</v>
      </c>
      <c r="P247" s="49">
        <v>151.9</v>
      </c>
      <c r="Q247" s="49">
        <v>167.9</v>
      </c>
      <c r="R247" s="49">
        <v>149.9</v>
      </c>
      <c r="S247" s="49">
        <v>141</v>
      </c>
      <c r="T247" s="49">
        <v>148.6</v>
      </c>
      <c r="U247" s="49">
        <v>153.5</v>
      </c>
      <c r="V247" s="49">
        <v>142.30000000000001</v>
      </c>
      <c r="W247" s="49">
        <v>145.30000000000001</v>
      </c>
      <c r="X247" s="49">
        <v>149.9</v>
      </c>
      <c r="Y247" s="49">
        <v>126.6</v>
      </c>
      <c r="Z247" s="49">
        <v>142.1</v>
      </c>
      <c r="AA247" s="49">
        <v>155.5</v>
      </c>
      <c r="AB247" s="49">
        <v>140.30000000000001</v>
      </c>
      <c r="AC247" s="49">
        <v>141.30000000000001</v>
      </c>
      <c r="AD247" s="49">
        <v>148.6</v>
      </c>
    </row>
    <row r="248" spans="1:30" x14ac:dyDescent="0.3">
      <c r="A248" s="49" t="s">
        <v>41</v>
      </c>
      <c r="B248" s="49">
        <v>2019</v>
      </c>
      <c r="C248" s="49" t="s">
        <v>55</v>
      </c>
      <c r="D248" s="49">
        <v>142.80000000000001</v>
      </c>
      <c r="E248" s="49">
        <v>165.3</v>
      </c>
      <c r="F248" s="49">
        <v>149.5</v>
      </c>
      <c r="G248" s="49">
        <v>148.69999999999999</v>
      </c>
      <c r="H248" s="49">
        <v>127.5</v>
      </c>
      <c r="I248" s="49">
        <v>144.30000000000001</v>
      </c>
      <c r="J248" s="49">
        <v>209.5</v>
      </c>
      <c r="K248" s="49">
        <v>138.80000000000001</v>
      </c>
      <c r="L248" s="49">
        <v>113.6</v>
      </c>
      <c r="M248" s="49">
        <v>149.1</v>
      </c>
      <c r="N248" s="49">
        <v>139.30000000000001</v>
      </c>
      <c r="O248" s="49">
        <v>158.30000000000001</v>
      </c>
      <c r="P248" s="49">
        <v>154.30000000000001</v>
      </c>
      <c r="Q248" s="49">
        <v>167.8</v>
      </c>
      <c r="R248" s="49">
        <v>152.6</v>
      </c>
      <c r="S248" s="49">
        <v>147.30000000000001</v>
      </c>
      <c r="T248" s="49">
        <v>151.9</v>
      </c>
      <c r="U248" s="49" t="s">
        <v>43</v>
      </c>
      <c r="V248" s="49">
        <v>149.9</v>
      </c>
      <c r="W248" s="49">
        <v>151.19999999999999</v>
      </c>
      <c r="X248" s="49">
        <v>154.80000000000001</v>
      </c>
      <c r="Y248" s="49">
        <v>135</v>
      </c>
      <c r="Z248" s="49">
        <v>149.5</v>
      </c>
      <c r="AA248" s="49">
        <v>161.1</v>
      </c>
      <c r="AB248" s="49">
        <v>140.6</v>
      </c>
      <c r="AC248" s="49">
        <v>147.1</v>
      </c>
      <c r="AD248" s="49">
        <v>152.30000000000001</v>
      </c>
    </row>
    <row r="249" spans="1:30" x14ac:dyDescent="0.3">
      <c r="A249" s="49" t="s">
        <v>44</v>
      </c>
      <c r="B249" s="49">
        <v>2019</v>
      </c>
      <c r="C249" s="49" t="s">
        <v>55</v>
      </c>
      <c r="D249" s="49">
        <v>144.9</v>
      </c>
      <c r="E249" s="49">
        <v>164.5</v>
      </c>
      <c r="F249" s="49">
        <v>153.69999999999999</v>
      </c>
      <c r="G249" s="49">
        <v>147.5</v>
      </c>
      <c r="H249" s="49">
        <v>122.7</v>
      </c>
      <c r="I249" s="49">
        <v>147.19999999999999</v>
      </c>
      <c r="J249" s="49">
        <v>231.5</v>
      </c>
      <c r="K249" s="49">
        <v>137.19999999999999</v>
      </c>
      <c r="L249" s="49">
        <v>114.7</v>
      </c>
      <c r="M249" s="49">
        <v>148</v>
      </c>
      <c r="N249" s="49">
        <v>130.80000000000001</v>
      </c>
      <c r="O249" s="49">
        <v>157.69999999999999</v>
      </c>
      <c r="P249" s="49">
        <v>156.30000000000001</v>
      </c>
      <c r="Q249" s="49">
        <v>170.4</v>
      </c>
      <c r="R249" s="49">
        <v>146.80000000000001</v>
      </c>
      <c r="S249" s="49">
        <v>132.80000000000001</v>
      </c>
      <c r="T249" s="49">
        <v>144.6</v>
      </c>
      <c r="U249" s="49">
        <v>152.80000000000001</v>
      </c>
      <c r="V249" s="49">
        <v>133.6</v>
      </c>
      <c r="W249" s="49">
        <v>139.80000000000001</v>
      </c>
      <c r="X249" s="49">
        <v>143.19999999999999</v>
      </c>
      <c r="Y249" s="49">
        <v>125.2</v>
      </c>
      <c r="Z249" s="49">
        <v>136.80000000000001</v>
      </c>
      <c r="AA249" s="49">
        <v>151.9</v>
      </c>
      <c r="AB249" s="49">
        <v>140.19999999999999</v>
      </c>
      <c r="AC249" s="49">
        <v>137.69999999999999</v>
      </c>
      <c r="AD249" s="49">
        <v>148.30000000000001</v>
      </c>
    </row>
    <row r="250" spans="1:30" x14ac:dyDescent="0.3">
      <c r="A250" s="49" t="s">
        <v>30</v>
      </c>
      <c r="B250" s="49">
        <v>2019</v>
      </c>
      <c r="C250" s="49" t="s">
        <v>55</v>
      </c>
      <c r="D250" s="49">
        <v>143.5</v>
      </c>
      <c r="E250" s="49">
        <v>165</v>
      </c>
      <c r="F250" s="49">
        <v>151.1</v>
      </c>
      <c r="G250" s="49">
        <v>148.30000000000001</v>
      </c>
      <c r="H250" s="49">
        <v>125.7</v>
      </c>
      <c r="I250" s="49">
        <v>145.69999999999999</v>
      </c>
      <c r="J250" s="49">
        <v>217</v>
      </c>
      <c r="K250" s="49">
        <v>138.30000000000001</v>
      </c>
      <c r="L250" s="49">
        <v>114</v>
      </c>
      <c r="M250" s="49">
        <v>148.69999999999999</v>
      </c>
      <c r="N250" s="49">
        <v>135.80000000000001</v>
      </c>
      <c r="O250" s="49">
        <v>158</v>
      </c>
      <c r="P250" s="49">
        <v>155</v>
      </c>
      <c r="Q250" s="49">
        <v>168.5</v>
      </c>
      <c r="R250" s="49">
        <v>150.30000000000001</v>
      </c>
      <c r="S250" s="49">
        <v>141.30000000000001</v>
      </c>
      <c r="T250" s="49">
        <v>149</v>
      </c>
      <c r="U250" s="49">
        <v>152.80000000000001</v>
      </c>
      <c r="V250" s="49">
        <v>143.69999999999999</v>
      </c>
      <c r="W250" s="49">
        <v>145.80000000000001</v>
      </c>
      <c r="X250" s="49">
        <v>150.4</v>
      </c>
      <c r="Y250" s="49">
        <v>129.80000000000001</v>
      </c>
      <c r="Z250" s="49">
        <v>142.30000000000001</v>
      </c>
      <c r="AA250" s="49">
        <v>155.69999999999999</v>
      </c>
      <c r="AB250" s="49">
        <v>140.4</v>
      </c>
      <c r="AC250" s="49">
        <v>142.5</v>
      </c>
      <c r="AD250" s="49">
        <v>150.4</v>
      </c>
    </row>
    <row r="251" spans="1:30" x14ac:dyDescent="0.3">
      <c r="A251" s="49" t="s">
        <v>41</v>
      </c>
      <c r="B251" s="49">
        <v>2020</v>
      </c>
      <c r="C251" s="49" t="s">
        <v>42</v>
      </c>
      <c r="D251" s="49">
        <v>143.69999999999999</v>
      </c>
      <c r="E251" s="49">
        <v>167.3</v>
      </c>
      <c r="F251" s="49">
        <v>153.5</v>
      </c>
      <c r="G251" s="49">
        <v>150.5</v>
      </c>
      <c r="H251" s="49">
        <v>132</v>
      </c>
      <c r="I251" s="49">
        <v>142.19999999999999</v>
      </c>
      <c r="J251" s="49">
        <v>191.5</v>
      </c>
      <c r="K251" s="49">
        <v>141.1</v>
      </c>
      <c r="L251" s="49">
        <v>113.8</v>
      </c>
      <c r="M251" s="49">
        <v>151.6</v>
      </c>
      <c r="N251" s="49">
        <v>139.69999999999999</v>
      </c>
      <c r="O251" s="49">
        <v>158.69999999999999</v>
      </c>
      <c r="P251" s="49">
        <v>153</v>
      </c>
      <c r="Q251" s="49">
        <v>168.6</v>
      </c>
      <c r="R251" s="49">
        <v>152.80000000000001</v>
      </c>
      <c r="S251" s="49">
        <v>147.4</v>
      </c>
      <c r="T251" s="49">
        <v>152.1</v>
      </c>
      <c r="U251" s="49" t="s">
        <v>43</v>
      </c>
      <c r="V251" s="49">
        <v>150.4</v>
      </c>
      <c r="W251" s="49">
        <v>151.69999999999999</v>
      </c>
      <c r="X251" s="49">
        <v>155.69999999999999</v>
      </c>
      <c r="Y251" s="49">
        <v>136.30000000000001</v>
      </c>
      <c r="Z251" s="49">
        <v>150.1</v>
      </c>
      <c r="AA251" s="49">
        <v>161.69999999999999</v>
      </c>
      <c r="AB251" s="49">
        <v>142.5</v>
      </c>
      <c r="AC251" s="49">
        <v>148.1</v>
      </c>
      <c r="AD251" s="49">
        <v>151.9</v>
      </c>
    </row>
    <row r="252" spans="1:30" x14ac:dyDescent="0.3">
      <c r="A252" s="49" t="s">
        <v>44</v>
      </c>
      <c r="B252" s="49">
        <v>2020</v>
      </c>
      <c r="C252" s="49" t="s">
        <v>42</v>
      </c>
      <c r="D252" s="49">
        <v>145.6</v>
      </c>
      <c r="E252" s="49">
        <v>167.6</v>
      </c>
      <c r="F252" s="49">
        <v>157</v>
      </c>
      <c r="G252" s="49">
        <v>149.30000000000001</v>
      </c>
      <c r="H252" s="49">
        <v>126.3</v>
      </c>
      <c r="I252" s="49">
        <v>144.4</v>
      </c>
      <c r="J252" s="49">
        <v>207.8</v>
      </c>
      <c r="K252" s="49">
        <v>139.1</v>
      </c>
      <c r="L252" s="49">
        <v>114.8</v>
      </c>
      <c r="M252" s="49">
        <v>149.5</v>
      </c>
      <c r="N252" s="49">
        <v>131.1</v>
      </c>
      <c r="O252" s="49">
        <v>158.5</v>
      </c>
      <c r="P252" s="49">
        <v>154.4</v>
      </c>
      <c r="Q252" s="49">
        <v>170.8</v>
      </c>
      <c r="R252" s="49">
        <v>147</v>
      </c>
      <c r="S252" s="49">
        <v>133.19999999999999</v>
      </c>
      <c r="T252" s="49">
        <v>144.9</v>
      </c>
      <c r="U252" s="49">
        <v>153.9</v>
      </c>
      <c r="V252" s="49">
        <v>135.1</v>
      </c>
      <c r="W252" s="49">
        <v>140.1</v>
      </c>
      <c r="X252" s="49">
        <v>143.80000000000001</v>
      </c>
      <c r="Y252" s="49">
        <v>126.1</v>
      </c>
      <c r="Z252" s="49">
        <v>137.19999999999999</v>
      </c>
      <c r="AA252" s="49">
        <v>152.1</v>
      </c>
      <c r="AB252" s="49">
        <v>142.1</v>
      </c>
      <c r="AC252" s="49">
        <v>138.4</v>
      </c>
      <c r="AD252" s="49">
        <v>148.19999999999999</v>
      </c>
    </row>
    <row r="253" spans="1:30" x14ac:dyDescent="0.3">
      <c r="A253" s="49" t="s">
        <v>30</v>
      </c>
      <c r="B253" s="49">
        <v>2020</v>
      </c>
      <c r="C253" s="49" t="s">
        <v>42</v>
      </c>
      <c r="D253" s="49">
        <v>144.30000000000001</v>
      </c>
      <c r="E253" s="49">
        <v>167.4</v>
      </c>
      <c r="F253" s="49">
        <v>154.9</v>
      </c>
      <c r="G253" s="49">
        <v>150.1</v>
      </c>
      <c r="H253" s="49">
        <v>129.9</v>
      </c>
      <c r="I253" s="49">
        <v>143.19999999999999</v>
      </c>
      <c r="J253" s="49">
        <v>197</v>
      </c>
      <c r="K253" s="49">
        <v>140.4</v>
      </c>
      <c r="L253" s="49">
        <v>114.1</v>
      </c>
      <c r="M253" s="49">
        <v>150.9</v>
      </c>
      <c r="N253" s="49">
        <v>136.1</v>
      </c>
      <c r="O253" s="49">
        <v>158.6</v>
      </c>
      <c r="P253" s="49">
        <v>153.5</v>
      </c>
      <c r="Q253" s="49">
        <v>169.2</v>
      </c>
      <c r="R253" s="49">
        <v>150.5</v>
      </c>
      <c r="S253" s="49">
        <v>141.5</v>
      </c>
      <c r="T253" s="49">
        <v>149.19999999999999</v>
      </c>
      <c r="U253" s="49">
        <v>153.9</v>
      </c>
      <c r="V253" s="49">
        <v>144.6</v>
      </c>
      <c r="W253" s="49">
        <v>146.19999999999999</v>
      </c>
      <c r="X253" s="49">
        <v>151.19999999999999</v>
      </c>
      <c r="Y253" s="49">
        <v>130.9</v>
      </c>
      <c r="Z253" s="49">
        <v>142.80000000000001</v>
      </c>
      <c r="AA253" s="49">
        <v>156.1</v>
      </c>
      <c r="AB253" s="49">
        <v>142.30000000000001</v>
      </c>
      <c r="AC253" s="49">
        <v>143.4</v>
      </c>
      <c r="AD253" s="49">
        <v>150.19999999999999</v>
      </c>
    </row>
    <row r="254" spans="1:30" x14ac:dyDescent="0.3">
      <c r="A254" s="49" t="s">
        <v>41</v>
      </c>
      <c r="B254" s="49">
        <v>2020</v>
      </c>
      <c r="C254" s="49" t="s">
        <v>45</v>
      </c>
      <c r="D254" s="49">
        <v>144.19999999999999</v>
      </c>
      <c r="E254" s="49">
        <v>167.5</v>
      </c>
      <c r="F254" s="49">
        <v>150.9</v>
      </c>
      <c r="G254" s="49">
        <v>150.9</v>
      </c>
      <c r="H254" s="49">
        <v>133.69999999999999</v>
      </c>
      <c r="I254" s="49">
        <v>140.69999999999999</v>
      </c>
      <c r="J254" s="49">
        <v>165.1</v>
      </c>
      <c r="K254" s="49">
        <v>141.80000000000001</v>
      </c>
      <c r="L254" s="49">
        <v>113.1</v>
      </c>
      <c r="M254" s="49">
        <v>152.80000000000001</v>
      </c>
      <c r="N254" s="49">
        <v>140.1</v>
      </c>
      <c r="O254" s="49">
        <v>159.19999999999999</v>
      </c>
      <c r="P254" s="49">
        <v>149.80000000000001</v>
      </c>
      <c r="Q254" s="49">
        <v>169.4</v>
      </c>
      <c r="R254" s="49">
        <v>153</v>
      </c>
      <c r="S254" s="49">
        <v>147.5</v>
      </c>
      <c r="T254" s="49">
        <v>152.30000000000001</v>
      </c>
      <c r="U254" s="49" t="s">
        <v>43</v>
      </c>
      <c r="V254" s="49">
        <v>152.30000000000001</v>
      </c>
      <c r="W254" s="49">
        <v>151.80000000000001</v>
      </c>
      <c r="X254" s="49">
        <v>156.19999999999999</v>
      </c>
      <c r="Y254" s="49">
        <v>136</v>
      </c>
      <c r="Z254" s="49">
        <v>150.4</v>
      </c>
      <c r="AA254" s="49">
        <v>161.9</v>
      </c>
      <c r="AB254" s="49">
        <v>143.4</v>
      </c>
      <c r="AC254" s="49">
        <v>148.4</v>
      </c>
      <c r="AD254" s="49">
        <v>150.4</v>
      </c>
    </row>
    <row r="255" spans="1:30" x14ac:dyDescent="0.3">
      <c r="A255" s="49" t="s">
        <v>44</v>
      </c>
      <c r="B255" s="49">
        <v>2020</v>
      </c>
      <c r="C255" s="49" t="s">
        <v>45</v>
      </c>
      <c r="D255" s="49">
        <v>146.19999999999999</v>
      </c>
      <c r="E255" s="49">
        <v>167.6</v>
      </c>
      <c r="F255" s="49">
        <v>153.1</v>
      </c>
      <c r="G255" s="49">
        <v>150.69999999999999</v>
      </c>
      <c r="H255" s="49">
        <v>127.4</v>
      </c>
      <c r="I255" s="49">
        <v>143.1</v>
      </c>
      <c r="J255" s="49">
        <v>181.7</v>
      </c>
      <c r="K255" s="49">
        <v>139.6</v>
      </c>
      <c r="L255" s="49">
        <v>114.6</v>
      </c>
      <c r="M255" s="49">
        <v>150.4</v>
      </c>
      <c r="N255" s="49">
        <v>131.5</v>
      </c>
      <c r="O255" s="49">
        <v>159</v>
      </c>
      <c r="P255" s="49">
        <v>151.69999999999999</v>
      </c>
      <c r="Q255" s="49">
        <v>172</v>
      </c>
      <c r="R255" s="49">
        <v>147.30000000000001</v>
      </c>
      <c r="S255" s="49">
        <v>133.5</v>
      </c>
      <c r="T255" s="49">
        <v>145.19999999999999</v>
      </c>
      <c r="U255" s="49">
        <v>154.80000000000001</v>
      </c>
      <c r="V255" s="49">
        <v>138.9</v>
      </c>
      <c r="W255" s="49">
        <v>140.4</v>
      </c>
      <c r="X255" s="49">
        <v>144.4</v>
      </c>
      <c r="Y255" s="49">
        <v>125.2</v>
      </c>
      <c r="Z255" s="49">
        <v>137.69999999999999</v>
      </c>
      <c r="AA255" s="49">
        <v>152.19999999999999</v>
      </c>
      <c r="AB255" s="49">
        <v>143.5</v>
      </c>
      <c r="AC255" s="49">
        <v>138.4</v>
      </c>
      <c r="AD255" s="49">
        <v>147.69999999999999</v>
      </c>
    </row>
    <row r="256" spans="1:30" x14ac:dyDescent="0.3">
      <c r="A256" s="49" t="s">
        <v>30</v>
      </c>
      <c r="B256" s="49">
        <v>2020</v>
      </c>
      <c r="C256" s="49" t="s">
        <v>45</v>
      </c>
      <c r="D256" s="49">
        <v>144.80000000000001</v>
      </c>
      <c r="E256" s="49">
        <v>167.5</v>
      </c>
      <c r="F256" s="49">
        <v>151.80000000000001</v>
      </c>
      <c r="G256" s="49">
        <v>150.80000000000001</v>
      </c>
      <c r="H256" s="49">
        <v>131.4</v>
      </c>
      <c r="I256" s="49">
        <v>141.80000000000001</v>
      </c>
      <c r="J256" s="49">
        <v>170.7</v>
      </c>
      <c r="K256" s="49">
        <v>141.1</v>
      </c>
      <c r="L256" s="49">
        <v>113.6</v>
      </c>
      <c r="M256" s="49">
        <v>152</v>
      </c>
      <c r="N256" s="49">
        <v>136.5</v>
      </c>
      <c r="O256" s="49">
        <v>159.1</v>
      </c>
      <c r="P256" s="49">
        <v>150.5</v>
      </c>
      <c r="Q256" s="49">
        <v>170.1</v>
      </c>
      <c r="R256" s="49">
        <v>150.80000000000001</v>
      </c>
      <c r="S256" s="49">
        <v>141.69999999999999</v>
      </c>
      <c r="T256" s="49">
        <v>149.5</v>
      </c>
      <c r="U256" s="49">
        <v>154.80000000000001</v>
      </c>
      <c r="V256" s="49">
        <v>147.19999999999999</v>
      </c>
      <c r="W256" s="49">
        <v>146.4</v>
      </c>
      <c r="X256" s="49">
        <v>151.69999999999999</v>
      </c>
      <c r="Y256" s="49">
        <v>130.30000000000001</v>
      </c>
      <c r="Z256" s="49">
        <v>143.19999999999999</v>
      </c>
      <c r="AA256" s="49">
        <v>156.19999999999999</v>
      </c>
      <c r="AB256" s="49">
        <v>143.4</v>
      </c>
      <c r="AC256" s="49">
        <v>143.6</v>
      </c>
      <c r="AD256" s="49">
        <v>149.1</v>
      </c>
    </row>
    <row r="257" spans="1:30" x14ac:dyDescent="0.3">
      <c r="A257" s="49" t="s">
        <v>41</v>
      </c>
      <c r="B257" s="49">
        <v>2020</v>
      </c>
      <c r="C257" s="49" t="s">
        <v>46</v>
      </c>
      <c r="D257" s="49">
        <v>144.4</v>
      </c>
      <c r="E257" s="49">
        <v>166.8</v>
      </c>
      <c r="F257" s="49">
        <v>147.6</v>
      </c>
      <c r="G257" s="49">
        <v>151.69999999999999</v>
      </c>
      <c r="H257" s="49">
        <v>133.30000000000001</v>
      </c>
      <c r="I257" s="49">
        <v>141.80000000000001</v>
      </c>
      <c r="J257" s="49">
        <v>152.30000000000001</v>
      </c>
      <c r="K257" s="49">
        <v>141.80000000000001</v>
      </c>
      <c r="L257" s="49">
        <v>112.6</v>
      </c>
      <c r="M257" s="49">
        <v>154</v>
      </c>
      <c r="N257" s="49">
        <v>140.1</v>
      </c>
      <c r="O257" s="49">
        <v>160</v>
      </c>
      <c r="P257" s="49">
        <v>148.19999999999999</v>
      </c>
      <c r="Q257" s="49">
        <v>170.5</v>
      </c>
      <c r="R257" s="49">
        <v>153.4</v>
      </c>
      <c r="S257" s="49">
        <v>147.6</v>
      </c>
      <c r="T257" s="49">
        <v>152.5</v>
      </c>
      <c r="U257" s="49" t="s">
        <v>43</v>
      </c>
      <c r="V257" s="49">
        <v>153.4</v>
      </c>
      <c r="W257" s="49">
        <v>151.5</v>
      </c>
      <c r="X257" s="49">
        <v>156.69999999999999</v>
      </c>
      <c r="Y257" s="49">
        <v>135.80000000000001</v>
      </c>
      <c r="Z257" s="49">
        <v>151.19999999999999</v>
      </c>
      <c r="AA257" s="49">
        <v>161.19999999999999</v>
      </c>
      <c r="AB257" s="49">
        <v>145.1</v>
      </c>
      <c r="AC257" s="49">
        <v>148.6</v>
      </c>
      <c r="AD257" s="49">
        <v>149.80000000000001</v>
      </c>
    </row>
    <row r="258" spans="1:30" x14ac:dyDescent="0.3">
      <c r="A258" s="49" t="s">
        <v>44</v>
      </c>
      <c r="B258" s="49">
        <v>2020</v>
      </c>
      <c r="C258" s="49" t="s">
        <v>46</v>
      </c>
      <c r="D258" s="49">
        <v>146.5</v>
      </c>
      <c r="E258" s="49">
        <v>167.5</v>
      </c>
      <c r="F258" s="49">
        <v>148.9</v>
      </c>
      <c r="G258" s="49">
        <v>151.1</v>
      </c>
      <c r="H258" s="49">
        <v>127.5</v>
      </c>
      <c r="I258" s="49">
        <v>143.30000000000001</v>
      </c>
      <c r="J258" s="49">
        <v>167</v>
      </c>
      <c r="K258" s="49">
        <v>139.69999999999999</v>
      </c>
      <c r="L258" s="49">
        <v>114.4</v>
      </c>
      <c r="M258" s="49">
        <v>151.5</v>
      </c>
      <c r="N258" s="49">
        <v>131.9</v>
      </c>
      <c r="O258" s="49">
        <v>159.1</v>
      </c>
      <c r="P258" s="49">
        <v>150.1</v>
      </c>
      <c r="Q258" s="49">
        <v>173.3</v>
      </c>
      <c r="R258" s="49">
        <v>147.69999999999999</v>
      </c>
      <c r="S258" s="49">
        <v>133.80000000000001</v>
      </c>
      <c r="T258" s="49">
        <v>145.6</v>
      </c>
      <c r="U258" s="49">
        <v>154.5</v>
      </c>
      <c r="V258" s="49">
        <v>141.4</v>
      </c>
      <c r="W258" s="49">
        <v>140.80000000000001</v>
      </c>
      <c r="X258" s="49">
        <v>145</v>
      </c>
      <c r="Y258" s="49">
        <v>124.6</v>
      </c>
      <c r="Z258" s="49">
        <v>137.9</v>
      </c>
      <c r="AA258" s="49">
        <v>152.5</v>
      </c>
      <c r="AB258" s="49">
        <v>145.30000000000001</v>
      </c>
      <c r="AC258" s="49">
        <v>138.69999999999999</v>
      </c>
      <c r="AD258" s="49">
        <v>147.30000000000001</v>
      </c>
    </row>
    <row r="259" spans="1:30" x14ac:dyDescent="0.3">
      <c r="A259" s="49" t="s">
        <v>30</v>
      </c>
      <c r="B259" s="49">
        <v>2020</v>
      </c>
      <c r="C259" s="49" t="s">
        <v>46</v>
      </c>
      <c r="D259" s="49">
        <v>145.1</v>
      </c>
      <c r="E259" s="49">
        <v>167</v>
      </c>
      <c r="F259" s="49">
        <v>148.1</v>
      </c>
      <c r="G259" s="49">
        <v>151.5</v>
      </c>
      <c r="H259" s="49">
        <v>131.19999999999999</v>
      </c>
      <c r="I259" s="49">
        <v>142.5</v>
      </c>
      <c r="J259" s="49">
        <v>157.30000000000001</v>
      </c>
      <c r="K259" s="49">
        <v>141.1</v>
      </c>
      <c r="L259" s="49">
        <v>113.2</v>
      </c>
      <c r="M259" s="49">
        <v>153.19999999999999</v>
      </c>
      <c r="N259" s="49">
        <v>136.69999999999999</v>
      </c>
      <c r="O259" s="49">
        <v>159.6</v>
      </c>
      <c r="P259" s="49">
        <v>148.9</v>
      </c>
      <c r="Q259" s="49">
        <v>171.2</v>
      </c>
      <c r="R259" s="49">
        <v>151.19999999999999</v>
      </c>
      <c r="S259" s="49">
        <v>141.9</v>
      </c>
      <c r="T259" s="49">
        <v>149.80000000000001</v>
      </c>
      <c r="U259" s="49">
        <v>154.5</v>
      </c>
      <c r="V259" s="49">
        <v>148.9</v>
      </c>
      <c r="W259" s="49">
        <v>146.4</v>
      </c>
      <c r="X259" s="49">
        <v>152.30000000000001</v>
      </c>
      <c r="Y259" s="49">
        <v>129.9</v>
      </c>
      <c r="Z259" s="49">
        <v>143.69999999999999</v>
      </c>
      <c r="AA259" s="49">
        <v>156.1</v>
      </c>
      <c r="AB259" s="49">
        <v>145.19999999999999</v>
      </c>
      <c r="AC259" s="49">
        <v>143.80000000000001</v>
      </c>
      <c r="AD259" s="49">
        <v>148.6</v>
      </c>
    </row>
    <row r="260" spans="1:30" x14ac:dyDescent="0.3">
      <c r="A260" s="49" t="s">
        <v>41</v>
      </c>
      <c r="B260" s="49">
        <v>2020</v>
      </c>
      <c r="C260" s="49" t="s">
        <v>47</v>
      </c>
      <c r="D260" s="49">
        <v>147.19999999999999</v>
      </c>
      <c r="E260" s="49" t="s">
        <v>43</v>
      </c>
      <c r="F260" s="49">
        <v>146.9</v>
      </c>
      <c r="G260" s="49">
        <v>155.6</v>
      </c>
      <c r="H260" s="49">
        <v>137.1</v>
      </c>
      <c r="I260" s="49">
        <v>147.30000000000001</v>
      </c>
      <c r="J260" s="49">
        <v>162.69999999999999</v>
      </c>
      <c r="K260" s="49">
        <v>150.19999999999999</v>
      </c>
      <c r="L260" s="49">
        <v>119.8</v>
      </c>
      <c r="M260" s="49">
        <v>158.69999999999999</v>
      </c>
      <c r="N260" s="49">
        <v>139.19999999999999</v>
      </c>
      <c r="O260" s="49" t="s">
        <v>43</v>
      </c>
      <c r="P260" s="49">
        <v>150.1</v>
      </c>
      <c r="Q260" s="49" t="s">
        <v>43</v>
      </c>
      <c r="R260" s="49" t="s">
        <v>43</v>
      </c>
      <c r="S260" s="49" t="s">
        <v>43</v>
      </c>
      <c r="T260" s="49" t="s">
        <v>43</v>
      </c>
      <c r="U260" s="49" t="s">
        <v>43</v>
      </c>
      <c r="V260" s="49">
        <v>148.4</v>
      </c>
      <c r="W260" s="49" t="s">
        <v>43</v>
      </c>
      <c r="X260" s="49">
        <v>154.30000000000001</v>
      </c>
      <c r="Y260" s="49" t="s">
        <v>43</v>
      </c>
      <c r="Z260" s="49" t="s">
        <v>43</v>
      </c>
      <c r="AA260" s="49" t="s">
        <v>43</v>
      </c>
      <c r="AB260" s="49" t="s">
        <v>43</v>
      </c>
      <c r="AC260" s="49" t="s">
        <v>43</v>
      </c>
      <c r="AD260" s="49" t="s">
        <v>43</v>
      </c>
    </row>
    <row r="261" spans="1:30" x14ac:dyDescent="0.3">
      <c r="A261" s="49" t="s">
        <v>44</v>
      </c>
      <c r="B261" s="49">
        <v>2020</v>
      </c>
      <c r="C261" s="49" t="s">
        <v>47</v>
      </c>
      <c r="D261" s="49">
        <v>151.80000000000001</v>
      </c>
      <c r="E261" s="49" t="s">
        <v>43</v>
      </c>
      <c r="F261" s="49">
        <v>151.9</v>
      </c>
      <c r="G261" s="49">
        <v>155.5</v>
      </c>
      <c r="H261" s="49">
        <v>131.6</v>
      </c>
      <c r="I261" s="49">
        <v>152.9</v>
      </c>
      <c r="J261" s="49">
        <v>180</v>
      </c>
      <c r="K261" s="49">
        <v>150.80000000000001</v>
      </c>
      <c r="L261" s="49">
        <v>121.2</v>
      </c>
      <c r="M261" s="49">
        <v>154</v>
      </c>
      <c r="N261" s="49">
        <v>133.5</v>
      </c>
      <c r="O261" s="49" t="s">
        <v>43</v>
      </c>
      <c r="P261" s="49">
        <v>153.5</v>
      </c>
      <c r="Q261" s="49" t="s">
        <v>43</v>
      </c>
      <c r="R261" s="49" t="s">
        <v>43</v>
      </c>
      <c r="S261" s="49" t="s">
        <v>43</v>
      </c>
      <c r="T261" s="49" t="s">
        <v>43</v>
      </c>
      <c r="U261" s="49">
        <v>155.6</v>
      </c>
      <c r="V261" s="49">
        <v>137.1</v>
      </c>
      <c r="W261" s="49" t="s">
        <v>43</v>
      </c>
      <c r="X261" s="49">
        <v>144.80000000000001</v>
      </c>
      <c r="Y261" s="49" t="s">
        <v>43</v>
      </c>
      <c r="Z261" s="49" t="s">
        <v>43</v>
      </c>
      <c r="AA261" s="49" t="s">
        <v>43</v>
      </c>
      <c r="AB261" s="49" t="s">
        <v>43</v>
      </c>
      <c r="AC261" s="49" t="s">
        <v>43</v>
      </c>
      <c r="AD261" s="49" t="s">
        <v>43</v>
      </c>
    </row>
    <row r="262" spans="1:30" x14ac:dyDescent="0.3">
      <c r="A262" s="49" t="s">
        <v>30</v>
      </c>
      <c r="B262" s="49">
        <v>2020</v>
      </c>
      <c r="C262" s="49" t="s">
        <v>47</v>
      </c>
      <c r="D262" s="49">
        <v>148.69999999999999</v>
      </c>
      <c r="E262" s="49" t="s">
        <v>43</v>
      </c>
      <c r="F262" s="49">
        <v>148.80000000000001</v>
      </c>
      <c r="G262" s="49">
        <v>155.6</v>
      </c>
      <c r="H262" s="49">
        <v>135.1</v>
      </c>
      <c r="I262" s="49">
        <v>149.9</v>
      </c>
      <c r="J262" s="49">
        <v>168.6</v>
      </c>
      <c r="K262" s="49">
        <v>150.4</v>
      </c>
      <c r="L262" s="49">
        <v>120.3</v>
      </c>
      <c r="M262" s="49">
        <v>157.1</v>
      </c>
      <c r="N262" s="49">
        <v>136.80000000000001</v>
      </c>
      <c r="O262" s="49" t="s">
        <v>43</v>
      </c>
      <c r="P262" s="49">
        <v>151.4</v>
      </c>
      <c r="Q262" s="49" t="s">
        <v>43</v>
      </c>
      <c r="R262" s="49" t="s">
        <v>43</v>
      </c>
      <c r="S262" s="49" t="s">
        <v>43</v>
      </c>
      <c r="T262" s="49" t="s">
        <v>43</v>
      </c>
      <c r="U262" s="49">
        <v>155.6</v>
      </c>
      <c r="V262" s="49">
        <v>144.1</v>
      </c>
      <c r="W262" s="49" t="s">
        <v>43</v>
      </c>
      <c r="X262" s="49">
        <v>150.69999999999999</v>
      </c>
      <c r="Y262" s="49" t="s">
        <v>43</v>
      </c>
      <c r="Z262" s="49" t="s">
        <v>43</v>
      </c>
      <c r="AA262" s="49" t="s">
        <v>43</v>
      </c>
      <c r="AB262" s="49" t="s">
        <v>43</v>
      </c>
      <c r="AC262" s="49" t="s">
        <v>43</v>
      </c>
      <c r="AD262" s="49" t="s">
        <v>43</v>
      </c>
    </row>
    <row r="263" spans="1:30" x14ac:dyDescent="0.3">
      <c r="A263" s="49" t="s">
        <v>41</v>
      </c>
      <c r="B263" s="49">
        <v>2020</v>
      </c>
      <c r="C263" s="49" t="s">
        <v>31</v>
      </c>
      <c r="D263" s="49" t="s">
        <v>43</v>
      </c>
      <c r="E263" s="49" t="s">
        <v>43</v>
      </c>
      <c r="F263" s="49" t="s">
        <v>43</v>
      </c>
      <c r="G263" s="49" t="s">
        <v>43</v>
      </c>
      <c r="H263" s="49" t="s">
        <v>43</v>
      </c>
      <c r="I263" s="49" t="s">
        <v>43</v>
      </c>
      <c r="J263" s="49" t="s">
        <v>43</v>
      </c>
      <c r="K263" s="49" t="s">
        <v>43</v>
      </c>
      <c r="L263" s="49" t="s">
        <v>43</v>
      </c>
      <c r="M263" s="49" t="s">
        <v>43</v>
      </c>
      <c r="N263" s="49" t="s">
        <v>43</v>
      </c>
      <c r="O263" s="49" t="s">
        <v>43</v>
      </c>
      <c r="P263" s="49" t="s">
        <v>43</v>
      </c>
      <c r="Q263" s="49" t="s">
        <v>43</v>
      </c>
      <c r="R263" s="49" t="s">
        <v>43</v>
      </c>
      <c r="S263" s="49" t="s">
        <v>43</v>
      </c>
      <c r="T263" s="49" t="s">
        <v>43</v>
      </c>
      <c r="U263" s="49" t="s">
        <v>43</v>
      </c>
      <c r="V263" s="49" t="s">
        <v>43</v>
      </c>
      <c r="W263" s="49" t="s">
        <v>43</v>
      </c>
      <c r="X263" s="49" t="s">
        <v>43</v>
      </c>
      <c r="Y263" s="49" t="s">
        <v>43</v>
      </c>
      <c r="Z263" s="49" t="s">
        <v>43</v>
      </c>
      <c r="AA263" s="49" t="s">
        <v>43</v>
      </c>
      <c r="AB263" s="49" t="s">
        <v>43</v>
      </c>
      <c r="AC263" s="49" t="s">
        <v>43</v>
      </c>
      <c r="AD263" s="49" t="s">
        <v>43</v>
      </c>
    </row>
    <row r="264" spans="1:30" x14ac:dyDescent="0.3">
      <c r="A264" s="49" t="s">
        <v>44</v>
      </c>
      <c r="B264" s="49">
        <v>2020</v>
      </c>
      <c r="C264" s="49" t="s">
        <v>31</v>
      </c>
      <c r="D264" s="49" t="s">
        <v>43</v>
      </c>
      <c r="E264" s="49" t="s">
        <v>43</v>
      </c>
      <c r="F264" s="49" t="s">
        <v>43</v>
      </c>
      <c r="G264" s="49" t="s">
        <v>43</v>
      </c>
      <c r="H264" s="49" t="s">
        <v>43</v>
      </c>
      <c r="I264" s="49" t="s">
        <v>43</v>
      </c>
      <c r="J264" s="49" t="s">
        <v>43</v>
      </c>
      <c r="K264" s="49" t="s">
        <v>43</v>
      </c>
      <c r="L264" s="49" t="s">
        <v>43</v>
      </c>
      <c r="M264" s="49" t="s">
        <v>43</v>
      </c>
      <c r="N264" s="49" t="s">
        <v>43</v>
      </c>
      <c r="O264" s="49" t="s">
        <v>43</v>
      </c>
      <c r="P264" s="49" t="s">
        <v>43</v>
      </c>
      <c r="Q264" s="49" t="s">
        <v>43</v>
      </c>
      <c r="R264" s="49" t="s">
        <v>43</v>
      </c>
      <c r="S264" s="49" t="s">
        <v>43</v>
      </c>
      <c r="T264" s="49" t="s">
        <v>43</v>
      </c>
      <c r="U264" s="49" t="s">
        <v>43</v>
      </c>
      <c r="V264" s="49" t="s">
        <v>43</v>
      </c>
      <c r="W264" s="49" t="s">
        <v>43</v>
      </c>
      <c r="X264" s="49" t="s">
        <v>43</v>
      </c>
      <c r="Y264" s="49" t="s">
        <v>43</v>
      </c>
      <c r="Z264" s="49" t="s">
        <v>43</v>
      </c>
      <c r="AA264" s="49" t="s">
        <v>43</v>
      </c>
      <c r="AB264" s="49" t="s">
        <v>43</v>
      </c>
      <c r="AC264" s="49" t="s">
        <v>43</v>
      </c>
      <c r="AD264" s="49" t="s">
        <v>43</v>
      </c>
    </row>
    <row r="265" spans="1:30" x14ac:dyDescent="0.3">
      <c r="A265" s="49" t="s">
        <v>30</v>
      </c>
      <c r="B265" s="49">
        <v>2020</v>
      </c>
      <c r="C265" s="49" t="s">
        <v>31</v>
      </c>
      <c r="D265" s="49" t="s">
        <v>43</v>
      </c>
      <c r="E265" s="49" t="s">
        <v>43</v>
      </c>
      <c r="F265" s="49" t="s">
        <v>43</v>
      </c>
      <c r="G265" s="49" t="s">
        <v>43</v>
      </c>
      <c r="H265" s="49" t="s">
        <v>43</v>
      </c>
      <c r="I265" s="49" t="s">
        <v>43</v>
      </c>
      <c r="J265" s="49" t="s">
        <v>43</v>
      </c>
      <c r="K265" s="49" t="s">
        <v>43</v>
      </c>
      <c r="L265" s="49" t="s">
        <v>43</v>
      </c>
      <c r="M265" s="49" t="s">
        <v>43</v>
      </c>
      <c r="N265" s="49" t="s">
        <v>43</v>
      </c>
      <c r="O265" s="49" t="s">
        <v>43</v>
      </c>
      <c r="P265" s="49" t="s">
        <v>43</v>
      </c>
      <c r="Q265" s="49" t="s">
        <v>43</v>
      </c>
      <c r="R265" s="49" t="s">
        <v>43</v>
      </c>
      <c r="S265" s="49" t="s">
        <v>43</v>
      </c>
      <c r="T265" s="49" t="s">
        <v>43</v>
      </c>
      <c r="U265" s="49" t="s">
        <v>43</v>
      </c>
      <c r="V265" s="49" t="s">
        <v>43</v>
      </c>
      <c r="W265" s="49" t="s">
        <v>43</v>
      </c>
      <c r="X265" s="49" t="s">
        <v>43</v>
      </c>
      <c r="Y265" s="49" t="s">
        <v>43</v>
      </c>
      <c r="Z265" s="49" t="s">
        <v>43</v>
      </c>
      <c r="AA265" s="49" t="s">
        <v>43</v>
      </c>
      <c r="AB265" s="49" t="s">
        <v>43</v>
      </c>
      <c r="AC265" s="49" t="s">
        <v>43</v>
      </c>
      <c r="AD265" s="49" t="s">
        <v>43</v>
      </c>
    </row>
    <row r="266" spans="1:30" x14ac:dyDescent="0.3">
      <c r="A266" s="49" t="s">
        <v>41</v>
      </c>
      <c r="B266" s="49">
        <v>2020</v>
      </c>
      <c r="C266" s="49" t="s">
        <v>48</v>
      </c>
      <c r="D266" s="49">
        <v>148.19999999999999</v>
      </c>
      <c r="E266" s="49">
        <v>190.3</v>
      </c>
      <c r="F266" s="49">
        <v>149.4</v>
      </c>
      <c r="G266" s="49">
        <v>153.30000000000001</v>
      </c>
      <c r="H266" s="49">
        <v>138.19999999999999</v>
      </c>
      <c r="I266" s="49">
        <v>143.19999999999999</v>
      </c>
      <c r="J266" s="49">
        <v>148.9</v>
      </c>
      <c r="K266" s="49">
        <v>150.30000000000001</v>
      </c>
      <c r="L266" s="49">
        <v>113.2</v>
      </c>
      <c r="M266" s="49">
        <v>159.80000000000001</v>
      </c>
      <c r="N266" s="49">
        <v>142.1</v>
      </c>
      <c r="O266" s="49">
        <v>161.80000000000001</v>
      </c>
      <c r="P266" s="49">
        <v>152.30000000000001</v>
      </c>
      <c r="Q266" s="49">
        <v>182.4</v>
      </c>
      <c r="R266" s="49">
        <v>154.69999999999999</v>
      </c>
      <c r="S266" s="49">
        <v>150</v>
      </c>
      <c r="T266" s="49">
        <v>154.1</v>
      </c>
      <c r="U266" s="49" t="s">
        <v>43</v>
      </c>
      <c r="V266" s="49">
        <v>144.9</v>
      </c>
      <c r="W266" s="49">
        <v>151.69999999999999</v>
      </c>
      <c r="X266" s="49">
        <v>158.19999999999999</v>
      </c>
      <c r="Y266" s="49">
        <v>141.4</v>
      </c>
      <c r="Z266" s="49">
        <v>153.19999999999999</v>
      </c>
      <c r="AA266" s="49">
        <v>161.80000000000001</v>
      </c>
      <c r="AB266" s="49">
        <v>151.19999999999999</v>
      </c>
      <c r="AC266" s="49">
        <v>151.69999999999999</v>
      </c>
      <c r="AD266" s="49">
        <v>152.69999999999999</v>
      </c>
    </row>
    <row r="267" spans="1:30" x14ac:dyDescent="0.3">
      <c r="A267" s="49" t="s">
        <v>44</v>
      </c>
      <c r="B267" s="49">
        <v>2020</v>
      </c>
      <c r="C267" s="49" t="s">
        <v>48</v>
      </c>
      <c r="D267" s="49">
        <v>152.69999999999999</v>
      </c>
      <c r="E267" s="49">
        <v>197</v>
      </c>
      <c r="F267" s="49">
        <v>154.6</v>
      </c>
      <c r="G267" s="49">
        <v>153.4</v>
      </c>
      <c r="H267" s="49">
        <v>132.9</v>
      </c>
      <c r="I267" s="49">
        <v>151.80000000000001</v>
      </c>
      <c r="J267" s="49">
        <v>171.2</v>
      </c>
      <c r="K267" s="49">
        <v>152</v>
      </c>
      <c r="L267" s="49">
        <v>116.3</v>
      </c>
      <c r="M267" s="49">
        <v>158.80000000000001</v>
      </c>
      <c r="N267" s="49">
        <v>135.6</v>
      </c>
      <c r="O267" s="49">
        <v>161.69999999999999</v>
      </c>
      <c r="P267" s="49">
        <v>157</v>
      </c>
      <c r="Q267" s="49">
        <v>186.7</v>
      </c>
      <c r="R267" s="49">
        <v>149.1</v>
      </c>
      <c r="S267" s="49">
        <v>136.6</v>
      </c>
      <c r="T267" s="49">
        <v>147.19999999999999</v>
      </c>
      <c r="U267" s="49">
        <v>154.69999999999999</v>
      </c>
      <c r="V267" s="49">
        <v>137.1</v>
      </c>
      <c r="W267" s="49">
        <v>140.4</v>
      </c>
      <c r="X267" s="49">
        <v>148.1</v>
      </c>
      <c r="Y267" s="49">
        <v>129.30000000000001</v>
      </c>
      <c r="Z267" s="49">
        <v>144.5</v>
      </c>
      <c r="AA267" s="49">
        <v>152.5</v>
      </c>
      <c r="AB267" s="49">
        <v>152.19999999999999</v>
      </c>
      <c r="AC267" s="49">
        <v>142</v>
      </c>
      <c r="AD267" s="49">
        <v>150.80000000000001</v>
      </c>
    </row>
    <row r="268" spans="1:30" x14ac:dyDescent="0.3">
      <c r="A268" s="49" t="s">
        <v>30</v>
      </c>
      <c r="B268" s="49">
        <v>2020</v>
      </c>
      <c r="C268" s="49" t="s">
        <v>48</v>
      </c>
      <c r="D268" s="49">
        <v>149.6</v>
      </c>
      <c r="E268" s="49">
        <v>192.7</v>
      </c>
      <c r="F268" s="49">
        <v>151.4</v>
      </c>
      <c r="G268" s="49">
        <v>153.30000000000001</v>
      </c>
      <c r="H268" s="49">
        <v>136.30000000000001</v>
      </c>
      <c r="I268" s="49">
        <v>147.19999999999999</v>
      </c>
      <c r="J268" s="49">
        <v>156.5</v>
      </c>
      <c r="K268" s="49">
        <v>150.9</v>
      </c>
      <c r="L268" s="49">
        <v>114.2</v>
      </c>
      <c r="M268" s="49">
        <v>159.5</v>
      </c>
      <c r="N268" s="49">
        <v>139.4</v>
      </c>
      <c r="O268" s="49">
        <v>161.80000000000001</v>
      </c>
      <c r="P268" s="49">
        <v>154</v>
      </c>
      <c r="Q268" s="49">
        <v>183.5</v>
      </c>
      <c r="R268" s="49">
        <v>152.5</v>
      </c>
      <c r="S268" s="49">
        <v>144.4</v>
      </c>
      <c r="T268" s="49">
        <v>151.4</v>
      </c>
      <c r="U268" s="49">
        <v>154.69999999999999</v>
      </c>
      <c r="V268" s="49">
        <v>141.9</v>
      </c>
      <c r="W268" s="49">
        <v>146.4</v>
      </c>
      <c r="X268" s="49">
        <v>154.4</v>
      </c>
      <c r="Y268" s="49">
        <v>135</v>
      </c>
      <c r="Z268" s="49">
        <v>148.30000000000001</v>
      </c>
      <c r="AA268" s="49">
        <v>156.4</v>
      </c>
      <c r="AB268" s="49">
        <v>151.6</v>
      </c>
      <c r="AC268" s="49">
        <v>147</v>
      </c>
      <c r="AD268" s="49">
        <v>151.80000000000001</v>
      </c>
    </row>
    <row r="269" spans="1:30" x14ac:dyDescent="0.3">
      <c r="A269" s="49" t="s">
        <v>41</v>
      </c>
      <c r="B269" s="49">
        <v>2020</v>
      </c>
      <c r="C269" s="49" t="s">
        <v>49</v>
      </c>
      <c r="D269" s="49">
        <v>148.19999999999999</v>
      </c>
      <c r="E269" s="49">
        <v>190.3</v>
      </c>
      <c r="F269" s="49">
        <v>149.4</v>
      </c>
      <c r="G269" s="49">
        <v>153.30000000000001</v>
      </c>
      <c r="H269" s="49">
        <v>138.19999999999999</v>
      </c>
      <c r="I269" s="49">
        <v>143.19999999999999</v>
      </c>
      <c r="J269" s="49">
        <v>148.9</v>
      </c>
      <c r="K269" s="49">
        <v>150.30000000000001</v>
      </c>
      <c r="L269" s="49">
        <v>113.2</v>
      </c>
      <c r="M269" s="49">
        <v>159.80000000000001</v>
      </c>
      <c r="N269" s="49">
        <v>142.1</v>
      </c>
      <c r="O269" s="49">
        <v>161.80000000000001</v>
      </c>
      <c r="P269" s="49">
        <v>152.30000000000001</v>
      </c>
      <c r="Q269" s="49">
        <v>182.4</v>
      </c>
      <c r="R269" s="49">
        <v>154.69999999999999</v>
      </c>
      <c r="S269" s="49">
        <v>150</v>
      </c>
      <c r="T269" s="49">
        <v>154.1</v>
      </c>
      <c r="U269" s="49" t="s">
        <v>43</v>
      </c>
      <c r="V269" s="49">
        <v>144.9</v>
      </c>
      <c r="W269" s="49">
        <v>151.69999999999999</v>
      </c>
      <c r="X269" s="49">
        <v>158.19999999999999</v>
      </c>
      <c r="Y269" s="49">
        <v>141.4</v>
      </c>
      <c r="Z269" s="49">
        <v>153.19999999999999</v>
      </c>
      <c r="AA269" s="49">
        <v>161.80000000000001</v>
      </c>
      <c r="AB269" s="49">
        <v>151.19999999999999</v>
      </c>
      <c r="AC269" s="49">
        <v>151.69999999999999</v>
      </c>
      <c r="AD269" s="49">
        <v>152.69999999999999</v>
      </c>
    </row>
    <row r="270" spans="1:30" x14ac:dyDescent="0.3">
      <c r="A270" s="49" t="s">
        <v>44</v>
      </c>
      <c r="B270" s="49">
        <v>2020</v>
      </c>
      <c r="C270" s="49" t="s">
        <v>49</v>
      </c>
      <c r="D270" s="49">
        <v>152.69999999999999</v>
      </c>
      <c r="E270" s="49">
        <v>197</v>
      </c>
      <c r="F270" s="49">
        <v>154.6</v>
      </c>
      <c r="G270" s="49">
        <v>153.4</v>
      </c>
      <c r="H270" s="49">
        <v>132.9</v>
      </c>
      <c r="I270" s="49">
        <v>151.80000000000001</v>
      </c>
      <c r="J270" s="49">
        <v>171.2</v>
      </c>
      <c r="K270" s="49">
        <v>152</v>
      </c>
      <c r="L270" s="49">
        <v>116.3</v>
      </c>
      <c r="M270" s="49">
        <v>158.80000000000001</v>
      </c>
      <c r="N270" s="49">
        <v>135.6</v>
      </c>
      <c r="O270" s="49">
        <v>161.69999999999999</v>
      </c>
      <c r="P270" s="49">
        <v>157</v>
      </c>
      <c r="Q270" s="49">
        <v>186.7</v>
      </c>
      <c r="R270" s="49">
        <v>149.1</v>
      </c>
      <c r="S270" s="49">
        <v>136.6</v>
      </c>
      <c r="T270" s="49">
        <v>147.19999999999999</v>
      </c>
      <c r="U270" s="49">
        <v>154.69999999999999</v>
      </c>
      <c r="V270" s="49">
        <v>137.1</v>
      </c>
      <c r="W270" s="49">
        <v>140.4</v>
      </c>
      <c r="X270" s="49">
        <v>148.1</v>
      </c>
      <c r="Y270" s="49">
        <v>129.30000000000001</v>
      </c>
      <c r="Z270" s="49">
        <v>144.5</v>
      </c>
      <c r="AA270" s="49">
        <v>152.5</v>
      </c>
      <c r="AB270" s="49">
        <v>152.19999999999999</v>
      </c>
      <c r="AC270" s="49">
        <v>142</v>
      </c>
      <c r="AD270" s="49">
        <v>150.80000000000001</v>
      </c>
    </row>
    <row r="271" spans="1:30" x14ac:dyDescent="0.3">
      <c r="A271" s="49" t="s">
        <v>30</v>
      </c>
      <c r="B271" s="49">
        <v>2020</v>
      </c>
      <c r="C271" s="49" t="s">
        <v>49</v>
      </c>
      <c r="D271" s="49">
        <v>149.6</v>
      </c>
      <c r="E271" s="49">
        <v>192.7</v>
      </c>
      <c r="F271" s="49">
        <v>151.4</v>
      </c>
      <c r="G271" s="49">
        <v>153.30000000000001</v>
      </c>
      <c r="H271" s="49">
        <v>136.30000000000001</v>
      </c>
      <c r="I271" s="49">
        <v>147.19999999999999</v>
      </c>
      <c r="J271" s="49">
        <v>156.5</v>
      </c>
      <c r="K271" s="49">
        <v>150.9</v>
      </c>
      <c r="L271" s="49">
        <v>114.2</v>
      </c>
      <c r="M271" s="49">
        <v>159.5</v>
      </c>
      <c r="N271" s="49">
        <v>139.4</v>
      </c>
      <c r="O271" s="49">
        <v>161.80000000000001</v>
      </c>
      <c r="P271" s="49">
        <v>154</v>
      </c>
      <c r="Q271" s="49">
        <v>183.5</v>
      </c>
      <c r="R271" s="49">
        <v>152.5</v>
      </c>
      <c r="S271" s="49">
        <v>144.4</v>
      </c>
      <c r="T271" s="49">
        <v>151.4</v>
      </c>
      <c r="U271" s="49">
        <v>154.69999999999999</v>
      </c>
      <c r="V271" s="49">
        <v>141.9</v>
      </c>
      <c r="W271" s="49">
        <v>146.4</v>
      </c>
      <c r="X271" s="49">
        <v>154.4</v>
      </c>
      <c r="Y271" s="49">
        <v>135</v>
      </c>
      <c r="Z271" s="49">
        <v>148.30000000000001</v>
      </c>
      <c r="AA271" s="49">
        <v>156.4</v>
      </c>
      <c r="AB271" s="49">
        <v>151.6</v>
      </c>
      <c r="AC271" s="49">
        <v>147</v>
      </c>
      <c r="AD271" s="49">
        <v>151.80000000000001</v>
      </c>
    </row>
    <row r="272" spans="1:30" x14ac:dyDescent="0.3">
      <c r="A272" s="49" t="s">
        <v>41</v>
      </c>
      <c r="B272" s="49">
        <v>2020</v>
      </c>
      <c r="C272" s="49" t="s">
        <v>50</v>
      </c>
      <c r="D272" s="49">
        <v>147.6</v>
      </c>
      <c r="E272" s="49">
        <v>187.2</v>
      </c>
      <c r="F272" s="49">
        <v>148.4</v>
      </c>
      <c r="G272" s="49">
        <v>153.30000000000001</v>
      </c>
      <c r="H272" s="49">
        <v>139.80000000000001</v>
      </c>
      <c r="I272" s="49">
        <v>146.9</v>
      </c>
      <c r="J272" s="49">
        <v>171</v>
      </c>
      <c r="K272" s="49">
        <v>149.9</v>
      </c>
      <c r="L272" s="49">
        <v>114.2</v>
      </c>
      <c r="M272" s="49">
        <v>160</v>
      </c>
      <c r="N272" s="49">
        <v>143.5</v>
      </c>
      <c r="O272" s="49">
        <v>161.5</v>
      </c>
      <c r="P272" s="49">
        <v>155.30000000000001</v>
      </c>
      <c r="Q272" s="49">
        <v>180.9</v>
      </c>
      <c r="R272" s="49">
        <v>155.1</v>
      </c>
      <c r="S272" s="49">
        <v>149.30000000000001</v>
      </c>
      <c r="T272" s="49">
        <v>154.30000000000001</v>
      </c>
      <c r="U272" s="49" t="s">
        <v>43</v>
      </c>
      <c r="V272" s="49">
        <v>145.80000000000001</v>
      </c>
      <c r="W272" s="49">
        <v>151.9</v>
      </c>
      <c r="X272" s="49">
        <v>158.80000000000001</v>
      </c>
      <c r="Y272" s="49">
        <v>143.6</v>
      </c>
      <c r="Z272" s="49">
        <v>152.19999999999999</v>
      </c>
      <c r="AA272" s="49">
        <v>162.69999999999999</v>
      </c>
      <c r="AB272" s="49">
        <v>153.6</v>
      </c>
      <c r="AC272" s="49">
        <v>153</v>
      </c>
      <c r="AD272" s="49">
        <v>154.69999999999999</v>
      </c>
    </row>
    <row r="273" spans="1:30" x14ac:dyDescent="0.3">
      <c r="A273" s="49" t="s">
        <v>44</v>
      </c>
      <c r="B273" s="49">
        <v>2020</v>
      </c>
      <c r="C273" s="49" t="s">
        <v>50</v>
      </c>
      <c r="D273" s="49">
        <v>151.6</v>
      </c>
      <c r="E273" s="49">
        <v>197.8</v>
      </c>
      <c r="F273" s="49">
        <v>154.5</v>
      </c>
      <c r="G273" s="49">
        <v>153.4</v>
      </c>
      <c r="H273" s="49">
        <v>133.4</v>
      </c>
      <c r="I273" s="49">
        <v>154.5</v>
      </c>
      <c r="J273" s="49">
        <v>191.9</v>
      </c>
      <c r="K273" s="49">
        <v>151.30000000000001</v>
      </c>
      <c r="L273" s="49">
        <v>116.8</v>
      </c>
      <c r="M273" s="49">
        <v>160</v>
      </c>
      <c r="N273" s="49">
        <v>136.5</v>
      </c>
      <c r="O273" s="49">
        <v>163.30000000000001</v>
      </c>
      <c r="P273" s="49">
        <v>159.9</v>
      </c>
      <c r="Q273" s="49">
        <v>187.2</v>
      </c>
      <c r="R273" s="49">
        <v>150</v>
      </c>
      <c r="S273" s="49">
        <v>135.19999999999999</v>
      </c>
      <c r="T273" s="49">
        <v>147.80000000000001</v>
      </c>
      <c r="U273" s="49">
        <v>155.5</v>
      </c>
      <c r="V273" s="49">
        <v>138.30000000000001</v>
      </c>
      <c r="W273" s="49">
        <v>144.5</v>
      </c>
      <c r="X273" s="49">
        <v>148.69999999999999</v>
      </c>
      <c r="Y273" s="49">
        <v>133.9</v>
      </c>
      <c r="Z273" s="49">
        <v>141.19999999999999</v>
      </c>
      <c r="AA273" s="49">
        <v>155.5</v>
      </c>
      <c r="AB273" s="49">
        <v>155.19999999999999</v>
      </c>
      <c r="AC273" s="49">
        <v>144.80000000000001</v>
      </c>
      <c r="AD273" s="49">
        <v>152.9</v>
      </c>
    </row>
    <row r="274" spans="1:30" x14ac:dyDescent="0.3">
      <c r="A274" s="49" t="s">
        <v>30</v>
      </c>
      <c r="B274" s="49">
        <v>2020</v>
      </c>
      <c r="C274" s="49" t="s">
        <v>50</v>
      </c>
      <c r="D274" s="49">
        <v>148.9</v>
      </c>
      <c r="E274" s="49">
        <v>190.9</v>
      </c>
      <c r="F274" s="49">
        <v>150.80000000000001</v>
      </c>
      <c r="G274" s="49">
        <v>153.30000000000001</v>
      </c>
      <c r="H274" s="49">
        <v>137.4</v>
      </c>
      <c r="I274" s="49">
        <v>150.4</v>
      </c>
      <c r="J274" s="49">
        <v>178.1</v>
      </c>
      <c r="K274" s="49">
        <v>150.4</v>
      </c>
      <c r="L274" s="49">
        <v>115.1</v>
      </c>
      <c r="M274" s="49">
        <v>160</v>
      </c>
      <c r="N274" s="49">
        <v>140.6</v>
      </c>
      <c r="O274" s="49">
        <v>162.30000000000001</v>
      </c>
      <c r="P274" s="49">
        <v>157</v>
      </c>
      <c r="Q274" s="49">
        <v>182.6</v>
      </c>
      <c r="R274" s="49">
        <v>153.1</v>
      </c>
      <c r="S274" s="49">
        <v>143.4</v>
      </c>
      <c r="T274" s="49">
        <v>151.69999999999999</v>
      </c>
      <c r="U274" s="49">
        <v>155.5</v>
      </c>
      <c r="V274" s="49">
        <v>143</v>
      </c>
      <c r="W274" s="49">
        <v>148.4</v>
      </c>
      <c r="X274" s="49">
        <v>155</v>
      </c>
      <c r="Y274" s="49">
        <v>138.5</v>
      </c>
      <c r="Z274" s="49">
        <v>146</v>
      </c>
      <c r="AA274" s="49">
        <v>158.5</v>
      </c>
      <c r="AB274" s="49">
        <v>154.30000000000001</v>
      </c>
      <c r="AC274" s="49">
        <v>149</v>
      </c>
      <c r="AD274" s="49">
        <v>153.9</v>
      </c>
    </row>
    <row r="275" spans="1:30" x14ac:dyDescent="0.3">
      <c r="A275" s="49" t="s">
        <v>41</v>
      </c>
      <c r="B275" s="49">
        <v>2020</v>
      </c>
      <c r="C275" s="49" t="s">
        <v>51</v>
      </c>
      <c r="D275" s="49">
        <v>146.9</v>
      </c>
      <c r="E275" s="49">
        <v>183.9</v>
      </c>
      <c r="F275" s="49">
        <v>149.5</v>
      </c>
      <c r="G275" s="49">
        <v>153.4</v>
      </c>
      <c r="H275" s="49">
        <v>140.4</v>
      </c>
      <c r="I275" s="49">
        <v>147</v>
      </c>
      <c r="J275" s="49">
        <v>178.8</v>
      </c>
      <c r="K275" s="49">
        <v>149.30000000000001</v>
      </c>
      <c r="L275" s="49">
        <v>115.1</v>
      </c>
      <c r="M275" s="49">
        <v>160</v>
      </c>
      <c r="N275" s="49">
        <v>145.4</v>
      </c>
      <c r="O275" s="49">
        <v>161.6</v>
      </c>
      <c r="P275" s="49">
        <v>156.1</v>
      </c>
      <c r="Q275" s="49">
        <v>182.9</v>
      </c>
      <c r="R275" s="49">
        <v>155.4</v>
      </c>
      <c r="S275" s="49">
        <v>149.9</v>
      </c>
      <c r="T275" s="49">
        <v>154.6</v>
      </c>
      <c r="U275" s="49" t="s">
        <v>43</v>
      </c>
      <c r="V275" s="49">
        <v>146.4</v>
      </c>
      <c r="W275" s="49">
        <v>151.6</v>
      </c>
      <c r="X275" s="49">
        <v>159.1</v>
      </c>
      <c r="Y275" s="49">
        <v>144.6</v>
      </c>
      <c r="Z275" s="49">
        <v>152.80000000000001</v>
      </c>
      <c r="AA275" s="49">
        <v>161.1</v>
      </c>
      <c r="AB275" s="49">
        <v>157.4</v>
      </c>
      <c r="AC275" s="49">
        <v>153.69999999999999</v>
      </c>
      <c r="AD275" s="49">
        <v>155.4</v>
      </c>
    </row>
    <row r="276" spans="1:30" x14ac:dyDescent="0.3">
      <c r="A276" s="49" t="s">
        <v>44</v>
      </c>
      <c r="B276" s="49">
        <v>2020</v>
      </c>
      <c r="C276" s="49" t="s">
        <v>51</v>
      </c>
      <c r="D276" s="49">
        <v>151.5</v>
      </c>
      <c r="E276" s="49">
        <v>193.1</v>
      </c>
      <c r="F276" s="49">
        <v>157.30000000000001</v>
      </c>
      <c r="G276" s="49">
        <v>153.9</v>
      </c>
      <c r="H276" s="49">
        <v>134.4</v>
      </c>
      <c r="I276" s="49">
        <v>155.4</v>
      </c>
      <c r="J276" s="49">
        <v>202</v>
      </c>
      <c r="K276" s="49">
        <v>150.80000000000001</v>
      </c>
      <c r="L276" s="49">
        <v>118.9</v>
      </c>
      <c r="M276" s="49">
        <v>160.9</v>
      </c>
      <c r="N276" s="49">
        <v>137.69999999999999</v>
      </c>
      <c r="O276" s="49">
        <v>164.4</v>
      </c>
      <c r="P276" s="49">
        <v>161.30000000000001</v>
      </c>
      <c r="Q276" s="49">
        <v>188.7</v>
      </c>
      <c r="R276" s="49">
        <v>150.19999999999999</v>
      </c>
      <c r="S276" s="49">
        <v>136.30000000000001</v>
      </c>
      <c r="T276" s="49">
        <v>148.1</v>
      </c>
      <c r="U276" s="49">
        <v>156.30000000000001</v>
      </c>
      <c r="V276" s="49">
        <v>137.19999999999999</v>
      </c>
      <c r="W276" s="49">
        <v>145.4</v>
      </c>
      <c r="X276" s="49">
        <v>150</v>
      </c>
      <c r="Y276" s="49">
        <v>135.1</v>
      </c>
      <c r="Z276" s="49">
        <v>141.80000000000001</v>
      </c>
      <c r="AA276" s="49">
        <v>154.9</v>
      </c>
      <c r="AB276" s="49">
        <v>159.80000000000001</v>
      </c>
      <c r="AC276" s="49">
        <v>146</v>
      </c>
      <c r="AD276" s="49">
        <v>154</v>
      </c>
    </row>
    <row r="277" spans="1:30" x14ac:dyDescent="0.3">
      <c r="A277" s="49" t="s">
        <v>30</v>
      </c>
      <c r="B277" s="49">
        <v>2020</v>
      </c>
      <c r="C277" s="49" t="s">
        <v>51</v>
      </c>
      <c r="D277" s="49">
        <v>148.4</v>
      </c>
      <c r="E277" s="49">
        <v>187.1</v>
      </c>
      <c r="F277" s="49">
        <v>152.5</v>
      </c>
      <c r="G277" s="49">
        <v>153.6</v>
      </c>
      <c r="H277" s="49">
        <v>138.19999999999999</v>
      </c>
      <c r="I277" s="49">
        <v>150.9</v>
      </c>
      <c r="J277" s="49">
        <v>186.7</v>
      </c>
      <c r="K277" s="49">
        <v>149.80000000000001</v>
      </c>
      <c r="L277" s="49">
        <v>116.4</v>
      </c>
      <c r="M277" s="49">
        <v>160.30000000000001</v>
      </c>
      <c r="N277" s="49">
        <v>142.19999999999999</v>
      </c>
      <c r="O277" s="49">
        <v>162.9</v>
      </c>
      <c r="P277" s="49">
        <v>158</v>
      </c>
      <c r="Q277" s="49">
        <v>184.4</v>
      </c>
      <c r="R277" s="49">
        <v>153.4</v>
      </c>
      <c r="S277" s="49">
        <v>144.30000000000001</v>
      </c>
      <c r="T277" s="49">
        <v>152</v>
      </c>
      <c r="U277" s="49">
        <v>156.30000000000001</v>
      </c>
      <c r="V277" s="49">
        <v>142.9</v>
      </c>
      <c r="W277" s="49">
        <v>148.69999999999999</v>
      </c>
      <c r="X277" s="49">
        <v>155.6</v>
      </c>
      <c r="Y277" s="49">
        <v>139.6</v>
      </c>
      <c r="Z277" s="49">
        <v>146.6</v>
      </c>
      <c r="AA277" s="49">
        <v>157.5</v>
      </c>
      <c r="AB277" s="49">
        <v>158.4</v>
      </c>
      <c r="AC277" s="49">
        <v>150</v>
      </c>
      <c r="AD277" s="49">
        <v>154.69999999999999</v>
      </c>
    </row>
    <row r="278" spans="1:30" x14ac:dyDescent="0.3">
      <c r="A278" s="49" t="s">
        <v>41</v>
      </c>
      <c r="B278" s="49">
        <v>2020</v>
      </c>
      <c r="C278" s="49" t="s">
        <v>52</v>
      </c>
      <c r="D278" s="49">
        <v>146</v>
      </c>
      <c r="E278" s="49">
        <v>186.3</v>
      </c>
      <c r="F278" s="49">
        <v>159.19999999999999</v>
      </c>
      <c r="G278" s="49">
        <v>153.6</v>
      </c>
      <c r="H278" s="49">
        <v>142.6</v>
      </c>
      <c r="I278" s="49">
        <v>147.19999999999999</v>
      </c>
      <c r="J278" s="49">
        <v>200.6</v>
      </c>
      <c r="K278" s="49">
        <v>150.30000000000001</v>
      </c>
      <c r="L278" s="49">
        <v>115.3</v>
      </c>
      <c r="M278" s="49">
        <v>160.9</v>
      </c>
      <c r="N278" s="49">
        <v>147.4</v>
      </c>
      <c r="O278" s="49">
        <v>161.9</v>
      </c>
      <c r="P278" s="49">
        <v>159.6</v>
      </c>
      <c r="Q278" s="49">
        <v>182.7</v>
      </c>
      <c r="R278" s="49">
        <v>155.69999999999999</v>
      </c>
      <c r="S278" s="49">
        <v>150.6</v>
      </c>
      <c r="T278" s="49">
        <v>155</v>
      </c>
      <c r="U278" s="49" t="s">
        <v>43</v>
      </c>
      <c r="V278" s="49">
        <v>146.80000000000001</v>
      </c>
      <c r="W278" s="49">
        <v>152</v>
      </c>
      <c r="X278" s="49">
        <v>159.5</v>
      </c>
      <c r="Y278" s="49">
        <v>146.4</v>
      </c>
      <c r="Z278" s="49">
        <v>152.4</v>
      </c>
      <c r="AA278" s="49">
        <v>162.5</v>
      </c>
      <c r="AB278" s="49">
        <v>156.19999999999999</v>
      </c>
      <c r="AC278" s="49">
        <v>154.30000000000001</v>
      </c>
      <c r="AD278" s="49">
        <v>157.5</v>
      </c>
    </row>
    <row r="279" spans="1:30" x14ac:dyDescent="0.3">
      <c r="A279" s="49" t="s">
        <v>44</v>
      </c>
      <c r="B279" s="49">
        <v>2020</v>
      </c>
      <c r="C279" s="49" t="s">
        <v>52</v>
      </c>
      <c r="D279" s="49">
        <v>150.6</v>
      </c>
      <c r="E279" s="49">
        <v>193.7</v>
      </c>
      <c r="F279" s="49">
        <v>164.8</v>
      </c>
      <c r="G279" s="49">
        <v>153.69999999999999</v>
      </c>
      <c r="H279" s="49">
        <v>135.69999999999999</v>
      </c>
      <c r="I279" s="49">
        <v>155.69999999999999</v>
      </c>
      <c r="J279" s="49">
        <v>226</v>
      </c>
      <c r="K279" s="49">
        <v>152.19999999999999</v>
      </c>
      <c r="L279" s="49">
        <v>118.1</v>
      </c>
      <c r="M279" s="49">
        <v>161.30000000000001</v>
      </c>
      <c r="N279" s="49">
        <v>139.19999999999999</v>
      </c>
      <c r="O279" s="49">
        <v>164.8</v>
      </c>
      <c r="P279" s="49">
        <v>164.4</v>
      </c>
      <c r="Q279" s="49">
        <v>188.7</v>
      </c>
      <c r="R279" s="49">
        <v>150.5</v>
      </c>
      <c r="S279" s="49">
        <v>136.1</v>
      </c>
      <c r="T279" s="49">
        <v>148.30000000000001</v>
      </c>
      <c r="U279" s="49">
        <v>156.5</v>
      </c>
      <c r="V279" s="49">
        <v>137.1</v>
      </c>
      <c r="W279" s="49">
        <v>145.1</v>
      </c>
      <c r="X279" s="49">
        <v>151</v>
      </c>
      <c r="Y279" s="49">
        <v>135.4</v>
      </c>
      <c r="Z279" s="49">
        <v>142</v>
      </c>
      <c r="AA279" s="49">
        <v>155.69999999999999</v>
      </c>
      <c r="AB279" s="49">
        <v>158.1</v>
      </c>
      <c r="AC279" s="49">
        <v>146.19999999999999</v>
      </c>
      <c r="AD279" s="49">
        <v>155.19999999999999</v>
      </c>
    </row>
    <row r="280" spans="1:30" x14ac:dyDescent="0.3">
      <c r="A280" s="49" t="s">
        <v>30</v>
      </c>
      <c r="B280" s="49">
        <v>2020</v>
      </c>
      <c r="C280" s="49" t="s">
        <v>52</v>
      </c>
      <c r="D280" s="49">
        <v>147.5</v>
      </c>
      <c r="E280" s="49">
        <v>188.9</v>
      </c>
      <c r="F280" s="49">
        <v>161.4</v>
      </c>
      <c r="G280" s="49">
        <v>153.6</v>
      </c>
      <c r="H280" s="49">
        <v>140.1</v>
      </c>
      <c r="I280" s="49">
        <v>151.19999999999999</v>
      </c>
      <c r="J280" s="49">
        <v>209.2</v>
      </c>
      <c r="K280" s="49">
        <v>150.9</v>
      </c>
      <c r="L280" s="49">
        <v>116.2</v>
      </c>
      <c r="M280" s="49">
        <v>161</v>
      </c>
      <c r="N280" s="49">
        <v>144</v>
      </c>
      <c r="O280" s="49">
        <v>163.19999999999999</v>
      </c>
      <c r="P280" s="49">
        <v>161.4</v>
      </c>
      <c r="Q280" s="49">
        <v>184.3</v>
      </c>
      <c r="R280" s="49">
        <v>153.69999999999999</v>
      </c>
      <c r="S280" s="49">
        <v>144.6</v>
      </c>
      <c r="T280" s="49">
        <v>152.30000000000001</v>
      </c>
      <c r="U280" s="49">
        <v>156.5</v>
      </c>
      <c r="V280" s="49">
        <v>143.1</v>
      </c>
      <c r="W280" s="49">
        <v>148.69999999999999</v>
      </c>
      <c r="X280" s="49">
        <v>156.30000000000001</v>
      </c>
      <c r="Y280" s="49">
        <v>140.6</v>
      </c>
      <c r="Z280" s="49">
        <v>146.5</v>
      </c>
      <c r="AA280" s="49">
        <v>158.5</v>
      </c>
      <c r="AB280" s="49">
        <v>157</v>
      </c>
      <c r="AC280" s="49">
        <v>150.4</v>
      </c>
      <c r="AD280" s="49">
        <v>156.4</v>
      </c>
    </row>
    <row r="281" spans="1:30" x14ac:dyDescent="0.3">
      <c r="A281" s="49" t="s">
        <v>41</v>
      </c>
      <c r="B281" s="49">
        <v>2020</v>
      </c>
      <c r="C281" s="49" t="s">
        <v>54</v>
      </c>
      <c r="D281" s="49">
        <v>145.4</v>
      </c>
      <c r="E281" s="49">
        <v>188.6</v>
      </c>
      <c r="F281" s="49">
        <v>171.6</v>
      </c>
      <c r="G281" s="49">
        <v>153.80000000000001</v>
      </c>
      <c r="H281" s="49">
        <v>145.4</v>
      </c>
      <c r="I281" s="49">
        <v>146.5</v>
      </c>
      <c r="J281" s="49">
        <v>222.2</v>
      </c>
      <c r="K281" s="49">
        <v>155.9</v>
      </c>
      <c r="L281" s="49">
        <v>114.9</v>
      </c>
      <c r="M281" s="49">
        <v>162</v>
      </c>
      <c r="N281" s="49">
        <v>150</v>
      </c>
      <c r="O281" s="49">
        <v>162.69999999999999</v>
      </c>
      <c r="P281" s="49">
        <v>163.4</v>
      </c>
      <c r="Q281" s="49">
        <v>183.4</v>
      </c>
      <c r="R281" s="49">
        <v>156.30000000000001</v>
      </c>
      <c r="S281" s="49">
        <v>151</v>
      </c>
      <c r="T281" s="49">
        <v>155.5</v>
      </c>
      <c r="U281" s="49" t="s">
        <v>43</v>
      </c>
      <c r="V281" s="49">
        <v>147.5</v>
      </c>
      <c r="W281" s="49">
        <v>152.80000000000001</v>
      </c>
      <c r="X281" s="49">
        <v>160.4</v>
      </c>
      <c r="Y281" s="49">
        <v>146.1</v>
      </c>
      <c r="Z281" s="49">
        <v>153.6</v>
      </c>
      <c r="AA281" s="49">
        <v>161.6</v>
      </c>
      <c r="AB281" s="49">
        <v>156.19999999999999</v>
      </c>
      <c r="AC281" s="49">
        <v>154.5</v>
      </c>
      <c r="AD281" s="49">
        <v>159.80000000000001</v>
      </c>
    </row>
    <row r="282" spans="1:30" x14ac:dyDescent="0.3">
      <c r="A282" s="49" t="s">
        <v>44</v>
      </c>
      <c r="B282" s="49">
        <v>2020</v>
      </c>
      <c r="C282" s="49" t="s">
        <v>54</v>
      </c>
      <c r="D282" s="49">
        <v>149.69999999999999</v>
      </c>
      <c r="E282" s="49">
        <v>195.5</v>
      </c>
      <c r="F282" s="49">
        <v>176.9</v>
      </c>
      <c r="G282" s="49">
        <v>153.9</v>
      </c>
      <c r="H282" s="49">
        <v>138</v>
      </c>
      <c r="I282" s="49">
        <v>150.5</v>
      </c>
      <c r="J282" s="49">
        <v>245.3</v>
      </c>
      <c r="K282" s="49">
        <v>158.69999999999999</v>
      </c>
      <c r="L282" s="49">
        <v>117.2</v>
      </c>
      <c r="M282" s="49">
        <v>161.4</v>
      </c>
      <c r="N282" s="49">
        <v>141.5</v>
      </c>
      <c r="O282" s="49">
        <v>165.1</v>
      </c>
      <c r="P282" s="49">
        <v>167</v>
      </c>
      <c r="Q282" s="49">
        <v>188.8</v>
      </c>
      <c r="R282" s="49">
        <v>151.1</v>
      </c>
      <c r="S282" s="49">
        <v>136.4</v>
      </c>
      <c r="T282" s="49">
        <v>148.80000000000001</v>
      </c>
      <c r="U282" s="49">
        <v>158</v>
      </c>
      <c r="V282" s="49">
        <v>137.30000000000001</v>
      </c>
      <c r="W282" s="49">
        <v>145.1</v>
      </c>
      <c r="X282" s="49">
        <v>152</v>
      </c>
      <c r="Y282" s="49">
        <v>135.19999999999999</v>
      </c>
      <c r="Z282" s="49">
        <v>144.4</v>
      </c>
      <c r="AA282" s="49">
        <v>156.4</v>
      </c>
      <c r="AB282" s="49">
        <v>157.9</v>
      </c>
      <c r="AC282" s="49">
        <v>146.6</v>
      </c>
      <c r="AD282" s="49">
        <v>156.69999999999999</v>
      </c>
    </row>
    <row r="283" spans="1:30" x14ac:dyDescent="0.3">
      <c r="A283" s="49" t="s">
        <v>30</v>
      </c>
      <c r="B283" s="49">
        <v>2020</v>
      </c>
      <c r="C283" s="49" t="s">
        <v>54</v>
      </c>
      <c r="D283" s="49">
        <v>146.80000000000001</v>
      </c>
      <c r="E283" s="49">
        <v>191</v>
      </c>
      <c r="F283" s="49">
        <v>173.6</v>
      </c>
      <c r="G283" s="49">
        <v>153.80000000000001</v>
      </c>
      <c r="H283" s="49">
        <v>142.69999999999999</v>
      </c>
      <c r="I283" s="49">
        <v>148.4</v>
      </c>
      <c r="J283" s="49">
        <v>230</v>
      </c>
      <c r="K283" s="49">
        <v>156.80000000000001</v>
      </c>
      <c r="L283" s="49">
        <v>115.7</v>
      </c>
      <c r="M283" s="49">
        <v>161.80000000000001</v>
      </c>
      <c r="N283" s="49">
        <v>146.5</v>
      </c>
      <c r="O283" s="49">
        <v>163.80000000000001</v>
      </c>
      <c r="P283" s="49">
        <v>164.7</v>
      </c>
      <c r="Q283" s="49">
        <v>184.8</v>
      </c>
      <c r="R283" s="49">
        <v>154.30000000000001</v>
      </c>
      <c r="S283" s="49">
        <v>144.9</v>
      </c>
      <c r="T283" s="49">
        <v>152.80000000000001</v>
      </c>
      <c r="U283" s="49">
        <v>158</v>
      </c>
      <c r="V283" s="49">
        <v>143.6</v>
      </c>
      <c r="W283" s="49">
        <v>149.19999999999999</v>
      </c>
      <c r="X283" s="49">
        <v>157.19999999999999</v>
      </c>
      <c r="Y283" s="49">
        <v>140.4</v>
      </c>
      <c r="Z283" s="49">
        <v>148.4</v>
      </c>
      <c r="AA283" s="49">
        <v>158.6</v>
      </c>
      <c r="AB283" s="49">
        <v>156.9</v>
      </c>
      <c r="AC283" s="49">
        <v>150.69999999999999</v>
      </c>
      <c r="AD283" s="49">
        <v>158.4</v>
      </c>
    </row>
    <row r="284" spans="1:30" x14ac:dyDescent="0.3">
      <c r="A284" s="49" t="s">
        <v>41</v>
      </c>
      <c r="B284" s="49">
        <v>2020</v>
      </c>
      <c r="C284" s="49" t="s">
        <v>55</v>
      </c>
      <c r="D284" s="49">
        <v>144.6</v>
      </c>
      <c r="E284" s="49">
        <v>188.5</v>
      </c>
      <c r="F284" s="49">
        <v>173.4</v>
      </c>
      <c r="G284" s="49">
        <v>154</v>
      </c>
      <c r="H284" s="49">
        <v>150</v>
      </c>
      <c r="I284" s="49">
        <v>145.9</v>
      </c>
      <c r="J284" s="49">
        <v>225.2</v>
      </c>
      <c r="K284" s="49">
        <v>159.5</v>
      </c>
      <c r="L284" s="49">
        <v>114.4</v>
      </c>
      <c r="M284" s="49">
        <v>163.5</v>
      </c>
      <c r="N284" s="49">
        <v>153.4</v>
      </c>
      <c r="O284" s="49">
        <v>163.6</v>
      </c>
      <c r="P284" s="49">
        <v>164.5</v>
      </c>
      <c r="Q284" s="49">
        <v>183.6</v>
      </c>
      <c r="R284" s="49">
        <v>157</v>
      </c>
      <c r="S284" s="49">
        <v>151.6</v>
      </c>
      <c r="T284" s="49">
        <v>156.30000000000001</v>
      </c>
      <c r="U284" s="49" t="s">
        <v>43</v>
      </c>
      <c r="V284" s="49">
        <v>148.69999999999999</v>
      </c>
      <c r="W284" s="49">
        <v>153.4</v>
      </c>
      <c r="X284" s="49">
        <v>161.6</v>
      </c>
      <c r="Y284" s="49">
        <v>146.4</v>
      </c>
      <c r="Z284" s="49">
        <v>153.9</v>
      </c>
      <c r="AA284" s="49">
        <v>162.9</v>
      </c>
      <c r="AB284" s="49">
        <v>156.6</v>
      </c>
      <c r="AC284" s="49">
        <v>155.19999999999999</v>
      </c>
      <c r="AD284" s="49">
        <v>160.69999999999999</v>
      </c>
    </row>
    <row r="285" spans="1:30" x14ac:dyDescent="0.3">
      <c r="A285" s="49" t="s">
        <v>44</v>
      </c>
      <c r="B285" s="49">
        <v>2020</v>
      </c>
      <c r="C285" s="49" t="s">
        <v>55</v>
      </c>
      <c r="D285" s="49">
        <v>149</v>
      </c>
      <c r="E285" s="49">
        <v>195.7</v>
      </c>
      <c r="F285" s="49">
        <v>178.3</v>
      </c>
      <c r="G285" s="49">
        <v>154.19999999999999</v>
      </c>
      <c r="H285" s="49">
        <v>140.69999999999999</v>
      </c>
      <c r="I285" s="49">
        <v>149.69999999999999</v>
      </c>
      <c r="J285" s="49">
        <v>240.9</v>
      </c>
      <c r="K285" s="49">
        <v>161.5</v>
      </c>
      <c r="L285" s="49">
        <v>117.1</v>
      </c>
      <c r="M285" s="49">
        <v>161.9</v>
      </c>
      <c r="N285" s="49">
        <v>143.30000000000001</v>
      </c>
      <c r="O285" s="49">
        <v>166.1</v>
      </c>
      <c r="P285" s="49">
        <v>167</v>
      </c>
      <c r="Q285" s="49">
        <v>190.2</v>
      </c>
      <c r="R285" s="49">
        <v>151.9</v>
      </c>
      <c r="S285" s="49">
        <v>136.69999999999999</v>
      </c>
      <c r="T285" s="49">
        <v>149.6</v>
      </c>
      <c r="U285" s="49">
        <v>158.4</v>
      </c>
      <c r="V285" s="49">
        <v>137.9</v>
      </c>
      <c r="W285" s="49">
        <v>145.5</v>
      </c>
      <c r="X285" s="49">
        <v>152.9</v>
      </c>
      <c r="Y285" s="49">
        <v>135.5</v>
      </c>
      <c r="Z285" s="49">
        <v>144.30000000000001</v>
      </c>
      <c r="AA285" s="49">
        <v>156.9</v>
      </c>
      <c r="AB285" s="49">
        <v>157.9</v>
      </c>
      <c r="AC285" s="49">
        <v>146.9</v>
      </c>
      <c r="AD285" s="49">
        <v>156.9</v>
      </c>
    </row>
    <row r="286" spans="1:30" x14ac:dyDescent="0.3">
      <c r="A286" s="49" t="s">
        <v>30</v>
      </c>
      <c r="B286" s="49">
        <v>2020</v>
      </c>
      <c r="C286" s="49" t="s">
        <v>55</v>
      </c>
      <c r="D286" s="49">
        <v>146</v>
      </c>
      <c r="E286" s="49">
        <v>191</v>
      </c>
      <c r="F286" s="49">
        <v>175.3</v>
      </c>
      <c r="G286" s="49">
        <v>154.1</v>
      </c>
      <c r="H286" s="49">
        <v>146.6</v>
      </c>
      <c r="I286" s="49">
        <v>147.69999999999999</v>
      </c>
      <c r="J286" s="49">
        <v>230.5</v>
      </c>
      <c r="K286" s="49">
        <v>160.19999999999999</v>
      </c>
      <c r="L286" s="49">
        <v>115.3</v>
      </c>
      <c r="M286" s="49">
        <v>163</v>
      </c>
      <c r="N286" s="49">
        <v>149.19999999999999</v>
      </c>
      <c r="O286" s="49">
        <v>164.8</v>
      </c>
      <c r="P286" s="49">
        <v>165.4</v>
      </c>
      <c r="Q286" s="49">
        <v>185.4</v>
      </c>
      <c r="R286" s="49">
        <v>155</v>
      </c>
      <c r="S286" s="49">
        <v>145.4</v>
      </c>
      <c r="T286" s="49">
        <v>153.6</v>
      </c>
      <c r="U286" s="49">
        <v>158.4</v>
      </c>
      <c r="V286" s="49">
        <v>144.6</v>
      </c>
      <c r="W286" s="49">
        <v>149.69999999999999</v>
      </c>
      <c r="X286" s="49">
        <v>158.30000000000001</v>
      </c>
      <c r="Y286" s="49">
        <v>140.69999999999999</v>
      </c>
      <c r="Z286" s="49">
        <v>148.5</v>
      </c>
      <c r="AA286" s="49">
        <v>159.4</v>
      </c>
      <c r="AB286" s="49">
        <v>157.1</v>
      </c>
      <c r="AC286" s="49">
        <v>151.19999999999999</v>
      </c>
      <c r="AD286" s="49">
        <v>158.9</v>
      </c>
    </row>
    <row r="287" spans="1:30" x14ac:dyDescent="0.3">
      <c r="A287" s="49" t="s">
        <v>41</v>
      </c>
      <c r="B287" s="49">
        <v>2021</v>
      </c>
      <c r="C287" s="49" t="s">
        <v>42</v>
      </c>
      <c r="D287" s="49">
        <v>143.4</v>
      </c>
      <c r="E287" s="49">
        <v>187.5</v>
      </c>
      <c r="F287" s="49">
        <v>173.4</v>
      </c>
      <c r="G287" s="49">
        <v>154</v>
      </c>
      <c r="H287" s="49">
        <v>154.80000000000001</v>
      </c>
      <c r="I287" s="49">
        <v>147</v>
      </c>
      <c r="J287" s="49">
        <v>187.8</v>
      </c>
      <c r="K287" s="49">
        <v>159.5</v>
      </c>
      <c r="L287" s="49">
        <v>113.8</v>
      </c>
      <c r="M287" s="49">
        <v>164.5</v>
      </c>
      <c r="N287" s="49">
        <v>156.1</v>
      </c>
      <c r="O287" s="49">
        <v>164.3</v>
      </c>
      <c r="P287" s="49">
        <v>159.6</v>
      </c>
      <c r="Q287" s="49">
        <v>184.6</v>
      </c>
      <c r="R287" s="49">
        <v>157.5</v>
      </c>
      <c r="S287" s="49">
        <v>152.4</v>
      </c>
      <c r="T287" s="49">
        <v>156.80000000000001</v>
      </c>
      <c r="U287" s="49" t="s">
        <v>43</v>
      </c>
      <c r="V287" s="49">
        <v>150.9</v>
      </c>
      <c r="W287" s="49">
        <v>153.9</v>
      </c>
      <c r="X287" s="49">
        <v>162.5</v>
      </c>
      <c r="Y287" s="49">
        <v>147.5</v>
      </c>
      <c r="Z287" s="49">
        <v>155.1</v>
      </c>
      <c r="AA287" s="49">
        <v>163.5</v>
      </c>
      <c r="AB287" s="49">
        <v>156.19999999999999</v>
      </c>
      <c r="AC287" s="49">
        <v>155.9</v>
      </c>
      <c r="AD287" s="49">
        <v>158.5</v>
      </c>
    </row>
    <row r="288" spans="1:30" x14ac:dyDescent="0.3">
      <c r="A288" s="49" t="s">
        <v>44</v>
      </c>
      <c r="B288" s="49">
        <v>2021</v>
      </c>
      <c r="C288" s="49" t="s">
        <v>42</v>
      </c>
      <c r="D288" s="49">
        <v>148</v>
      </c>
      <c r="E288" s="49">
        <v>194.8</v>
      </c>
      <c r="F288" s="49">
        <v>178.4</v>
      </c>
      <c r="G288" s="49">
        <v>154.4</v>
      </c>
      <c r="H288" s="49">
        <v>144.1</v>
      </c>
      <c r="I288" s="49">
        <v>152.6</v>
      </c>
      <c r="J288" s="49">
        <v>206.8</v>
      </c>
      <c r="K288" s="49">
        <v>162.1</v>
      </c>
      <c r="L288" s="49">
        <v>116.3</v>
      </c>
      <c r="M288" s="49">
        <v>163</v>
      </c>
      <c r="N288" s="49">
        <v>145.9</v>
      </c>
      <c r="O288" s="49">
        <v>167.2</v>
      </c>
      <c r="P288" s="49">
        <v>163.4</v>
      </c>
      <c r="Q288" s="49">
        <v>191.8</v>
      </c>
      <c r="R288" s="49">
        <v>152.5</v>
      </c>
      <c r="S288" s="49">
        <v>137.30000000000001</v>
      </c>
      <c r="T288" s="49">
        <v>150.19999999999999</v>
      </c>
      <c r="U288" s="49">
        <v>157.69999999999999</v>
      </c>
      <c r="V288" s="49">
        <v>142.9</v>
      </c>
      <c r="W288" s="49">
        <v>145.69999999999999</v>
      </c>
      <c r="X288" s="49">
        <v>154.1</v>
      </c>
      <c r="Y288" s="49">
        <v>136.9</v>
      </c>
      <c r="Z288" s="49">
        <v>145.4</v>
      </c>
      <c r="AA288" s="49">
        <v>156.1</v>
      </c>
      <c r="AB288" s="49">
        <v>157.69999999999999</v>
      </c>
      <c r="AC288" s="49">
        <v>147.6</v>
      </c>
      <c r="AD288" s="49">
        <v>156</v>
      </c>
    </row>
    <row r="289" spans="1:30" x14ac:dyDescent="0.3">
      <c r="A289" s="49" t="s">
        <v>30</v>
      </c>
      <c r="B289" s="49">
        <v>2021</v>
      </c>
      <c r="C289" s="49" t="s">
        <v>42</v>
      </c>
      <c r="D289" s="49">
        <v>144.9</v>
      </c>
      <c r="E289" s="49">
        <v>190.1</v>
      </c>
      <c r="F289" s="49">
        <v>175.3</v>
      </c>
      <c r="G289" s="49">
        <v>154.1</v>
      </c>
      <c r="H289" s="49">
        <v>150.9</v>
      </c>
      <c r="I289" s="49">
        <v>149.6</v>
      </c>
      <c r="J289" s="49">
        <v>194.2</v>
      </c>
      <c r="K289" s="49">
        <v>160.4</v>
      </c>
      <c r="L289" s="49">
        <v>114.6</v>
      </c>
      <c r="M289" s="49">
        <v>164</v>
      </c>
      <c r="N289" s="49">
        <v>151.80000000000001</v>
      </c>
      <c r="O289" s="49">
        <v>165.6</v>
      </c>
      <c r="P289" s="49">
        <v>161</v>
      </c>
      <c r="Q289" s="49">
        <v>186.5</v>
      </c>
      <c r="R289" s="49">
        <v>155.5</v>
      </c>
      <c r="S289" s="49">
        <v>146.1</v>
      </c>
      <c r="T289" s="49">
        <v>154.19999999999999</v>
      </c>
      <c r="U289" s="49">
        <v>157.69999999999999</v>
      </c>
      <c r="V289" s="49">
        <v>147.9</v>
      </c>
      <c r="W289" s="49">
        <v>150</v>
      </c>
      <c r="X289" s="49">
        <v>159.30000000000001</v>
      </c>
      <c r="Y289" s="49">
        <v>141.9</v>
      </c>
      <c r="Z289" s="49">
        <v>149.6</v>
      </c>
      <c r="AA289" s="49">
        <v>159.19999999999999</v>
      </c>
      <c r="AB289" s="49">
        <v>156.80000000000001</v>
      </c>
      <c r="AC289" s="49">
        <v>151.9</v>
      </c>
      <c r="AD289" s="49">
        <v>157.30000000000001</v>
      </c>
    </row>
    <row r="290" spans="1:30" x14ac:dyDescent="0.3">
      <c r="A290" s="49" t="s">
        <v>41</v>
      </c>
      <c r="B290" s="49">
        <v>2021</v>
      </c>
      <c r="C290" s="49" t="s">
        <v>45</v>
      </c>
      <c r="D290" s="49">
        <v>142.80000000000001</v>
      </c>
      <c r="E290" s="49">
        <v>184</v>
      </c>
      <c r="F290" s="49">
        <v>168</v>
      </c>
      <c r="G290" s="49">
        <v>154.4</v>
      </c>
      <c r="H290" s="49">
        <v>163</v>
      </c>
      <c r="I290" s="49">
        <v>147.80000000000001</v>
      </c>
      <c r="J290" s="49">
        <v>149.69999999999999</v>
      </c>
      <c r="K290" s="49">
        <v>158.30000000000001</v>
      </c>
      <c r="L290" s="49">
        <v>111.8</v>
      </c>
      <c r="M290" s="49">
        <v>165</v>
      </c>
      <c r="N290" s="49">
        <v>160</v>
      </c>
      <c r="O290" s="49">
        <v>165.8</v>
      </c>
      <c r="P290" s="49">
        <v>154.69999999999999</v>
      </c>
      <c r="Q290" s="49">
        <v>186.5</v>
      </c>
      <c r="R290" s="49">
        <v>159.1</v>
      </c>
      <c r="S290" s="49">
        <v>153.9</v>
      </c>
      <c r="T290" s="49">
        <v>158.4</v>
      </c>
      <c r="U290" s="49" t="s">
        <v>43</v>
      </c>
      <c r="V290" s="49">
        <v>154.4</v>
      </c>
      <c r="W290" s="49">
        <v>154.80000000000001</v>
      </c>
      <c r="X290" s="49">
        <v>164.3</v>
      </c>
      <c r="Y290" s="49">
        <v>150.19999999999999</v>
      </c>
      <c r="Z290" s="49">
        <v>157</v>
      </c>
      <c r="AA290" s="49">
        <v>163.6</v>
      </c>
      <c r="AB290" s="49">
        <v>155.19999999999999</v>
      </c>
      <c r="AC290" s="49">
        <v>157.19999999999999</v>
      </c>
      <c r="AD290" s="49">
        <v>156.69999999999999</v>
      </c>
    </row>
    <row r="291" spans="1:30" x14ac:dyDescent="0.3">
      <c r="A291" s="49" t="s">
        <v>44</v>
      </c>
      <c r="B291" s="49">
        <v>2021</v>
      </c>
      <c r="C291" s="49" t="s">
        <v>45</v>
      </c>
      <c r="D291" s="49">
        <v>147.6</v>
      </c>
      <c r="E291" s="49">
        <v>191.2</v>
      </c>
      <c r="F291" s="49">
        <v>169.9</v>
      </c>
      <c r="G291" s="49">
        <v>155.1</v>
      </c>
      <c r="H291" s="49">
        <v>151.4</v>
      </c>
      <c r="I291" s="49">
        <v>154</v>
      </c>
      <c r="J291" s="49">
        <v>180.2</v>
      </c>
      <c r="K291" s="49">
        <v>159.80000000000001</v>
      </c>
      <c r="L291" s="49">
        <v>114.9</v>
      </c>
      <c r="M291" s="49">
        <v>162.5</v>
      </c>
      <c r="N291" s="49">
        <v>149.19999999999999</v>
      </c>
      <c r="O291" s="49">
        <v>169.4</v>
      </c>
      <c r="P291" s="49">
        <v>160.80000000000001</v>
      </c>
      <c r="Q291" s="49">
        <v>193.3</v>
      </c>
      <c r="R291" s="49">
        <v>154.19999999999999</v>
      </c>
      <c r="S291" s="49">
        <v>138.19999999999999</v>
      </c>
      <c r="T291" s="49">
        <v>151.80000000000001</v>
      </c>
      <c r="U291" s="49">
        <v>159.80000000000001</v>
      </c>
      <c r="V291" s="49">
        <v>149.1</v>
      </c>
      <c r="W291" s="49">
        <v>146.5</v>
      </c>
      <c r="X291" s="49">
        <v>156.30000000000001</v>
      </c>
      <c r="Y291" s="49">
        <v>140.5</v>
      </c>
      <c r="Z291" s="49">
        <v>147.30000000000001</v>
      </c>
      <c r="AA291" s="49">
        <v>156.6</v>
      </c>
      <c r="AB291" s="49">
        <v>156.69999999999999</v>
      </c>
      <c r="AC291" s="49">
        <v>149.30000000000001</v>
      </c>
      <c r="AD291" s="49">
        <v>156.5</v>
      </c>
    </row>
    <row r="292" spans="1:30" x14ac:dyDescent="0.3">
      <c r="A292" s="49" t="s">
        <v>30</v>
      </c>
      <c r="B292" s="49">
        <v>2021</v>
      </c>
      <c r="C292" s="49" t="s">
        <v>45</v>
      </c>
      <c r="D292" s="49">
        <v>144.30000000000001</v>
      </c>
      <c r="E292" s="49">
        <v>186.5</v>
      </c>
      <c r="F292" s="49">
        <v>168.7</v>
      </c>
      <c r="G292" s="49">
        <v>154.69999999999999</v>
      </c>
      <c r="H292" s="49">
        <v>158.69999999999999</v>
      </c>
      <c r="I292" s="49">
        <v>150.69999999999999</v>
      </c>
      <c r="J292" s="49">
        <v>160</v>
      </c>
      <c r="K292" s="49">
        <v>158.80000000000001</v>
      </c>
      <c r="L292" s="49">
        <v>112.8</v>
      </c>
      <c r="M292" s="49">
        <v>164.2</v>
      </c>
      <c r="N292" s="49">
        <v>155.5</v>
      </c>
      <c r="O292" s="49">
        <v>167.5</v>
      </c>
      <c r="P292" s="49">
        <v>156.9</v>
      </c>
      <c r="Q292" s="49">
        <v>188.3</v>
      </c>
      <c r="R292" s="49">
        <v>157.19999999999999</v>
      </c>
      <c r="S292" s="49">
        <v>147.4</v>
      </c>
      <c r="T292" s="49">
        <v>155.80000000000001</v>
      </c>
      <c r="U292" s="49">
        <v>159.80000000000001</v>
      </c>
      <c r="V292" s="49">
        <v>152.4</v>
      </c>
      <c r="W292" s="49">
        <v>150.9</v>
      </c>
      <c r="X292" s="49">
        <v>161.30000000000001</v>
      </c>
      <c r="Y292" s="49">
        <v>145.1</v>
      </c>
      <c r="Z292" s="49">
        <v>151.5</v>
      </c>
      <c r="AA292" s="49">
        <v>159.5</v>
      </c>
      <c r="AB292" s="49">
        <v>155.80000000000001</v>
      </c>
      <c r="AC292" s="49">
        <v>153.4</v>
      </c>
      <c r="AD292" s="49">
        <v>156.6</v>
      </c>
    </row>
    <row r="293" spans="1:30" x14ac:dyDescent="0.3">
      <c r="A293" s="49" t="s">
        <v>41</v>
      </c>
      <c r="B293" s="49">
        <v>2021</v>
      </c>
      <c r="C293" s="49" t="s">
        <v>46</v>
      </c>
      <c r="D293" s="49">
        <v>142.5</v>
      </c>
      <c r="E293" s="49">
        <v>189.4</v>
      </c>
      <c r="F293" s="49">
        <v>163.19999999999999</v>
      </c>
      <c r="G293" s="49">
        <v>154.5</v>
      </c>
      <c r="H293" s="49">
        <v>168.2</v>
      </c>
      <c r="I293" s="49">
        <v>150.5</v>
      </c>
      <c r="J293" s="49">
        <v>141</v>
      </c>
      <c r="K293" s="49">
        <v>159.19999999999999</v>
      </c>
      <c r="L293" s="49">
        <v>111.7</v>
      </c>
      <c r="M293" s="49">
        <v>164</v>
      </c>
      <c r="N293" s="49">
        <v>160.6</v>
      </c>
      <c r="O293" s="49">
        <v>166.4</v>
      </c>
      <c r="P293" s="49">
        <v>154.5</v>
      </c>
      <c r="Q293" s="49">
        <v>186.1</v>
      </c>
      <c r="R293" s="49">
        <v>159.6</v>
      </c>
      <c r="S293" s="49">
        <v>154.4</v>
      </c>
      <c r="T293" s="49">
        <v>158.9</v>
      </c>
      <c r="U293" s="49" t="s">
        <v>57</v>
      </c>
      <c r="V293" s="49">
        <v>156</v>
      </c>
      <c r="W293" s="49">
        <v>154.80000000000001</v>
      </c>
      <c r="X293" s="49">
        <v>164.6</v>
      </c>
      <c r="Y293" s="49">
        <v>151.30000000000001</v>
      </c>
      <c r="Z293" s="49">
        <v>157.80000000000001</v>
      </c>
      <c r="AA293" s="49">
        <v>163.80000000000001</v>
      </c>
      <c r="AB293" s="49">
        <v>153.1</v>
      </c>
      <c r="AC293" s="49">
        <v>157.30000000000001</v>
      </c>
      <c r="AD293" s="49">
        <v>156.69999999999999</v>
      </c>
    </row>
    <row r="294" spans="1:30" x14ac:dyDescent="0.3">
      <c r="A294" s="49" t="s">
        <v>44</v>
      </c>
      <c r="B294" s="49">
        <v>2021</v>
      </c>
      <c r="C294" s="49" t="s">
        <v>46</v>
      </c>
      <c r="D294" s="49">
        <v>147.5</v>
      </c>
      <c r="E294" s="49">
        <v>197.5</v>
      </c>
      <c r="F294" s="49">
        <v>164.7</v>
      </c>
      <c r="G294" s="49">
        <v>155.6</v>
      </c>
      <c r="H294" s="49">
        <v>156.4</v>
      </c>
      <c r="I294" s="49">
        <v>157.30000000000001</v>
      </c>
      <c r="J294" s="49">
        <v>166.1</v>
      </c>
      <c r="K294" s="49">
        <v>161.1</v>
      </c>
      <c r="L294" s="49">
        <v>114.3</v>
      </c>
      <c r="M294" s="49">
        <v>162.6</v>
      </c>
      <c r="N294" s="49">
        <v>150.69999999999999</v>
      </c>
      <c r="O294" s="49">
        <v>170.3</v>
      </c>
      <c r="P294" s="49">
        <v>160.4</v>
      </c>
      <c r="Q294" s="49">
        <v>193.5</v>
      </c>
      <c r="R294" s="49">
        <v>155.1</v>
      </c>
      <c r="S294" s="49">
        <v>138.69999999999999</v>
      </c>
      <c r="T294" s="49">
        <v>152.6</v>
      </c>
      <c r="U294" s="49">
        <v>159.9</v>
      </c>
      <c r="V294" s="49">
        <v>154.80000000000001</v>
      </c>
      <c r="W294" s="49">
        <v>147.19999999999999</v>
      </c>
      <c r="X294" s="49">
        <v>156.9</v>
      </c>
      <c r="Y294" s="49">
        <v>141.69999999999999</v>
      </c>
      <c r="Z294" s="49">
        <v>148.6</v>
      </c>
      <c r="AA294" s="49">
        <v>157.6</v>
      </c>
      <c r="AB294" s="49">
        <v>154.9</v>
      </c>
      <c r="AC294" s="49">
        <v>150</v>
      </c>
      <c r="AD294" s="49">
        <v>156.9</v>
      </c>
    </row>
    <row r="295" spans="1:30" x14ac:dyDescent="0.3">
      <c r="A295" s="49" t="s">
        <v>30</v>
      </c>
      <c r="B295" s="49">
        <v>2021</v>
      </c>
      <c r="C295" s="49" t="s">
        <v>46</v>
      </c>
      <c r="D295" s="49">
        <v>144.1</v>
      </c>
      <c r="E295" s="49">
        <v>192.2</v>
      </c>
      <c r="F295" s="49">
        <v>163.80000000000001</v>
      </c>
      <c r="G295" s="49">
        <v>154.9</v>
      </c>
      <c r="H295" s="49">
        <v>163.9</v>
      </c>
      <c r="I295" s="49">
        <v>153.69999999999999</v>
      </c>
      <c r="J295" s="49">
        <v>149.5</v>
      </c>
      <c r="K295" s="49">
        <v>159.80000000000001</v>
      </c>
      <c r="L295" s="49">
        <v>112.6</v>
      </c>
      <c r="M295" s="49">
        <v>163.5</v>
      </c>
      <c r="N295" s="49">
        <v>156.5</v>
      </c>
      <c r="O295" s="49">
        <v>168.2</v>
      </c>
      <c r="P295" s="49">
        <v>156.69999999999999</v>
      </c>
      <c r="Q295" s="49">
        <v>188.1</v>
      </c>
      <c r="R295" s="49">
        <v>157.80000000000001</v>
      </c>
      <c r="S295" s="49">
        <v>147.9</v>
      </c>
      <c r="T295" s="49">
        <v>156.4</v>
      </c>
      <c r="U295" s="49">
        <v>159.9</v>
      </c>
      <c r="V295" s="49">
        <v>155.5</v>
      </c>
      <c r="W295" s="49">
        <v>151.19999999999999</v>
      </c>
      <c r="X295" s="49">
        <v>161.69999999999999</v>
      </c>
      <c r="Y295" s="49">
        <v>146.19999999999999</v>
      </c>
      <c r="Z295" s="49">
        <v>152.6</v>
      </c>
      <c r="AA295" s="49">
        <v>160.19999999999999</v>
      </c>
      <c r="AB295" s="49">
        <v>153.80000000000001</v>
      </c>
      <c r="AC295" s="49">
        <v>153.80000000000001</v>
      </c>
      <c r="AD295" s="49">
        <v>156.80000000000001</v>
      </c>
    </row>
    <row r="296" spans="1:30" x14ac:dyDescent="0.3">
      <c r="A296" s="49" t="s">
        <v>41</v>
      </c>
      <c r="B296" s="49">
        <v>2021</v>
      </c>
      <c r="C296" s="49" t="s">
        <v>47</v>
      </c>
      <c r="D296" s="49">
        <v>142.69999999999999</v>
      </c>
      <c r="E296" s="49">
        <v>195.5</v>
      </c>
      <c r="F296" s="49">
        <v>163.4</v>
      </c>
      <c r="G296" s="49">
        <v>155</v>
      </c>
      <c r="H296" s="49">
        <v>175.2</v>
      </c>
      <c r="I296" s="49">
        <v>160.6</v>
      </c>
      <c r="J296" s="49">
        <v>135.1</v>
      </c>
      <c r="K296" s="49">
        <v>161.1</v>
      </c>
      <c r="L296" s="49">
        <v>112.2</v>
      </c>
      <c r="M296" s="49">
        <v>164.4</v>
      </c>
      <c r="N296" s="49">
        <v>161.9</v>
      </c>
      <c r="O296" s="49">
        <v>166.8</v>
      </c>
      <c r="P296" s="49">
        <v>155.6</v>
      </c>
      <c r="Q296" s="49">
        <v>186.8</v>
      </c>
      <c r="R296" s="49">
        <v>160.69999999999999</v>
      </c>
      <c r="S296" s="49">
        <v>155.1</v>
      </c>
      <c r="T296" s="49">
        <v>159.9</v>
      </c>
      <c r="U296" s="49" t="s">
        <v>57</v>
      </c>
      <c r="V296" s="49">
        <v>156</v>
      </c>
      <c r="W296" s="49">
        <v>155.5</v>
      </c>
      <c r="X296" s="49">
        <v>165.3</v>
      </c>
      <c r="Y296" s="49">
        <v>151.69999999999999</v>
      </c>
      <c r="Z296" s="49">
        <v>158.6</v>
      </c>
      <c r="AA296" s="49">
        <v>164.1</v>
      </c>
      <c r="AB296" s="49">
        <v>154.6</v>
      </c>
      <c r="AC296" s="49">
        <v>158</v>
      </c>
      <c r="AD296" s="49">
        <v>157.6</v>
      </c>
    </row>
    <row r="297" spans="1:30" x14ac:dyDescent="0.3">
      <c r="A297" s="49" t="s">
        <v>44</v>
      </c>
      <c r="B297" s="49">
        <v>2021</v>
      </c>
      <c r="C297" s="49" t="s">
        <v>47</v>
      </c>
      <c r="D297" s="49">
        <v>147.6</v>
      </c>
      <c r="E297" s="49">
        <v>202.5</v>
      </c>
      <c r="F297" s="49">
        <v>166.4</v>
      </c>
      <c r="G297" s="49">
        <v>156</v>
      </c>
      <c r="H297" s="49">
        <v>161.4</v>
      </c>
      <c r="I297" s="49">
        <v>168.8</v>
      </c>
      <c r="J297" s="49">
        <v>161.6</v>
      </c>
      <c r="K297" s="49">
        <v>162.80000000000001</v>
      </c>
      <c r="L297" s="49">
        <v>114.8</v>
      </c>
      <c r="M297" s="49">
        <v>162.80000000000001</v>
      </c>
      <c r="N297" s="49">
        <v>151.5</v>
      </c>
      <c r="O297" s="49">
        <v>171.4</v>
      </c>
      <c r="P297" s="49">
        <v>162</v>
      </c>
      <c r="Q297" s="49">
        <v>194.4</v>
      </c>
      <c r="R297" s="49">
        <v>155.9</v>
      </c>
      <c r="S297" s="49">
        <v>139.30000000000001</v>
      </c>
      <c r="T297" s="49">
        <v>153.4</v>
      </c>
      <c r="U297" s="49">
        <v>161.4</v>
      </c>
      <c r="V297" s="49">
        <v>154.9</v>
      </c>
      <c r="W297" s="49">
        <v>147.6</v>
      </c>
      <c r="X297" s="49">
        <v>157.5</v>
      </c>
      <c r="Y297" s="49">
        <v>142.1</v>
      </c>
      <c r="Z297" s="49">
        <v>149.1</v>
      </c>
      <c r="AA297" s="49">
        <v>157.6</v>
      </c>
      <c r="AB297" s="49">
        <v>156.6</v>
      </c>
      <c r="AC297" s="49">
        <v>150.5</v>
      </c>
      <c r="AD297" s="49">
        <v>158</v>
      </c>
    </row>
    <row r="298" spans="1:30" x14ac:dyDescent="0.3">
      <c r="A298" s="49" t="s">
        <v>30</v>
      </c>
      <c r="B298" s="49">
        <v>2021</v>
      </c>
      <c r="C298" s="49" t="s">
        <v>47</v>
      </c>
      <c r="D298" s="49">
        <v>144.30000000000001</v>
      </c>
      <c r="E298" s="49">
        <v>198</v>
      </c>
      <c r="F298" s="49">
        <v>164.6</v>
      </c>
      <c r="G298" s="49">
        <v>155.4</v>
      </c>
      <c r="H298" s="49">
        <v>170.1</v>
      </c>
      <c r="I298" s="49">
        <v>164.4</v>
      </c>
      <c r="J298" s="49">
        <v>144.1</v>
      </c>
      <c r="K298" s="49">
        <v>161.69999999999999</v>
      </c>
      <c r="L298" s="49">
        <v>113.1</v>
      </c>
      <c r="M298" s="49">
        <v>163.9</v>
      </c>
      <c r="N298" s="49">
        <v>157.6</v>
      </c>
      <c r="O298" s="49">
        <v>168.9</v>
      </c>
      <c r="P298" s="49">
        <v>158</v>
      </c>
      <c r="Q298" s="49">
        <v>188.8</v>
      </c>
      <c r="R298" s="49">
        <v>158.80000000000001</v>
      </c>
      <c r="S298" s="49">
        <v>148.5</v>
      </c>
      <c r="T298" s="49">
        <v>157.30000000000001</v>
      </c>
      <c r="U298" s="49">
        <v>161.4</v>
      </c>
      <c r="V298" s="49">
        <v>155.6</v>
      </c>
      <c r="W298" s="49">
        <v>151.80000000000001</v>
      </c>
      <c r="X298" s="49">
        <v>162.30000000000001</v>
      </c>
      <c r="Y298" s="49">
        <v>146.6</v>
      </c>
      <c r="Z298" s="49">
        <v>153.19999999999999</v>
      </c>
      <c r="AA298" s="49">
        <v>160.30000000000001</v>
      </c>
      <c r="AB298" s="49">
        <v>155.4</v>
      </c>
      <c r="AC298" s="49">
        <v>154.4</v>
      </c>
      <c r="AD298" s="49">
        <v>157.80000000000001</v>
      </c>
    </row>
    <row r="299" spans="1:30" x14ac:dyDescent="0.3">
      <c r="A299" s="49" t="s">
        <v>41</v>
      </c>
      <c r="B299" s="49">
        <v>2021</v>
      </c>
      <c r="C299" s="49" t="s">
        <v>31</v>
      </c>
      <c r="D299" s="49">
        <v>145.1</v>
      </c>
      <c r="E299" s="49">
        <v>198.5</v>
      </c>
      <c r="F299" s="49">
        <v>168.6</v>
      </c>
      <c r="G299" s="49">
        <v>155.80000000000001</v>
      </c>
      <c r="H299" s="49">
        <v>184.4</v>
      </c>
      <c r="I299" s="49">
        <v>162.30000000000001</v>
      </c>
      <c r="J299" s="49">
        <v>138.4</v>
      </c>
      <c r="K299" s="49">
        <v>165.1</v>
      </c>
      <c r="L299" s="49">
        <v>114.3</v>
      </c>
      <c r="M299" s="49">
        <v>169.7</v>
      </c>
      <c r="N299" s="49">
        <v>164.6</v>
      </c>
      <c r="O299" s="49">
        <v>169.8</v>
      </c>
      <c r="P299" s="49">
        <v>158.69999999999999</v>
      </c>
      <c r="Q299" s="49">
        <v>189.6</v>
      </c>
      <c r="R299" s="49">
        <v>165.3</v>
      </c>
      <c r="S299" s="49">
        <v>160.6</v>
      </c>
      <c r="T299" s="49">
        <v>164.5</v>
      </c>
      <c r="U299" s="49" t="s">
        <v>43</v>
      </c>
      <c r="V299" s="49">
        <v>161.69999999999999</v>
      </c>
      <c r="W299" s="49">
        <v>158.80000000000001</v>
      </c>
      <c r="X299" s="49">
        <v>169.1</v>
      </c>
      <c r="Y299" s="49">
        <v>153.19999999999999</v>
      </c>
      <c r="Z299" s="49">
        <v>160</v>
      </c>
      <c r="AA299" s="49">
        <v>167.6</v>
      </c>
      <c r="AB299" s="49">
        <v>159.30000000000001</v>
      </c>
      <c r="AC299" s="49">
        <v>161.1</v>
      </c>
      <c r="AD299" s="49">
        <v>161.1</v>
      </c>
    </row>
    <row r="300" spans="1:30" x14ac:dyDescent="0.3">
      <c r="A300" s="49" t="s">
        <v>44</v>
      </c>
      <c r="B300" s="49">
        <v>2021</v>
      </c>
      <c r="C300" s="49" t="s">
        <v>31</v>
      </c>
      <c r="D300" s="49">
        <v>148.80000000000001</v>
      </c>
      <c r="E300" s="49">
        <v>204.3</v>
      </c>
      <c r="F300" s="49">
        <v>173</v>
      </c>
      <c r="G300" s="49">
        <v>156.5</v>
      </c>
      <c r="H300" s="49">
        <v>168.8</v>
      </c>
      <c r="I300" s="49">
        <v>172.5</v>
      </c>
      <c r="J300" s="49">
        <v>166.5</v>
      </c>
      <c r="K300" s="49">
        <v>165.9</v>
      </c>
      <c r="L300" s="49">
        <v>115.9</v>
      </c>
      <c r="M300" s="49">
        <v>165.2</v>
      </c>
      <c r="N300" s="49">
        <v>152</v>
      </c>
      <c r="O300" s="49">
        <v>171.1</v>
      </c>
      <c r="P300" s="49">
        <v>164.2</v>
      </c>
      <c r="Q300" s="49">
        <v>198.2</v>
      </c>
      <c r="R300" s="49">
        <v>156.5</v>
      </c>
      <c r="S300" s="49">
        <v>140.19999999999999</v>
      </c>
      <c r="T300" s="49">
        <v>154.1</v>
      </c>
      <c r="U300" s="49">
        <v>161.6</v>
      </c>
      <c r="V300" s="49">
        <v>155.5</v>
      </c>
      <c r="W300" s="49">
        <v>150.1</v>
      </c>
      <c r="X300" s="49">
        <v>160.4</v>
      </c>
      <c r="Y300" s="49">
        <v>145</v>
      </c>
      <c r="Z300" s="49">
        <v>152.6</v>
      </c>
      <c r="AA300" s="49">
        <v>156.6</v>
      </c>
      <c r="AB300" s="49">
        <v>157.5</v>
      </c>
      <c r="AC300" s="49">
        <v>152.30000000000001</v>
      </c>
      <c r="AD300" s="49">
        <v>159.5</v>
      </c>
    </row>
    <row r="301" spans="1:30" x14ac:dyDescent="0.3">
      <c r="A301" s="49" t="s">
        <v>30</v>
      </c>
      <c r="B301" s="49">
        <v>2021</v>
      </c>
      <c r="C301" s="49" t="s">
        <v>31</v>
      </c>
      <c r="D301" s="49">
        <v>146.30000000000001</v>
      </c>
      <c r="E301" s="49">
        <v>200.5</v>
      </c>
      <c r="F301" s="49">
        <v>170.3</v>
      </c>
      <c r="G301" s="49">
        <v>156.1</v>
      </c>
      <c r="H301" s="49">
        <v>178.7</v>
      </c>
      <c r="I301" s="49">
        <v>167.1</v>
      </c>
      <c r="J301" s="49">
        <v>147.9</v>
      </c>
      <c r="K301" s="49">
        <v>165.4</v>
      </c>
      <c r="L301" s="49">
        <v>114.8</v>
      </c>
      <c r="M301" s="49">
        <v>168.2</v>
      </c>
      <c r="N301" s="49">
        <v>159.30000000000001</v>
      </c>
      <c r="O301" s="49">
        <v>170.4</v>
      </c>
      <c r="P301" s="49">
        <v>160.69999999999999</v>
      </c>
      <c r="Q301" s="49">
        <v>191.9</v>
      </c>
      <c r="R301" s="49">
        <v>161.80000000000001</v>
      </c>
      <c r="S301" s="49">
        <v>152.1</v>
      </c>
      <c r="T301" s="49">
        <v>160.4</v>
      </c>
      <c r="U301" s="49">
        <v>161.6</v>
      </c>
      <c r="V301" s="49">
        <v>159.4</v>
      </c>
      <c r="W301" s="49">
        <v>154.69999999999999</v>
      </c>
      <c r="X301" s="49">
        <v>165.8</v>
      </c>
      <c r="Y301" s="49">
        <v>148.9</v>
      </c>
      <c r="Z301" s="49">
        <v>155.80000000000001</v>
      </c>
      <c r="AA301" s="49">
        <v>161.19999999999999</v>
      </c>
      <c r="AB301" s="49">
        <v>158.6</v>
      </c>
      <c r="AC301" s="49">
        <v>156.80000000000001</v>
      </c>
      <c r="AD301" s="49">
        <v>160.4</v>
      </c>
    </row>
    <row r="302" spans="1:30" x14ac:dyDescent="0.3">
      <c r="A302" s="49" t="s">
        <v>41</v>
      </c>
      <c r="B302" s="49">
        <v>2021</v>
      </c>
      <c r="C302" s="49" t="s">
        <v>48</v>
      </c>
      <c r="D302" s="49">
        <v>145.6</v>
      </c>
      <c r="E302" s="49">
        <v>200.1</v>
      </c>
      <c r="F302" s="49">
        <v>179.3</v>
      </c>
      <c r="G302" s="49">
        <v>156.1</v>
      </c>
      <c r="H302" s="49">
        <v>190.4</v>
      </c>
      <c r="I302" s="49">
        <v>158.6</v>
      </c>
      <c r="J302" s="49">
        <v>144.69999999999999</v>
      </c>
      <c r="K302" s="49">
        <v>165.5</v>
      </c>
      <c r="L302" s="49">
        <v>114.6</v>
      </c>
      <c r="M302" s="49">
        <v>170</v>
      </c>
      <c r="N302" s="49">
        <v>165.5</v>
      </c>
      <c r="O302" s="49">
        <v>171.7</v>
      </c>
      <c r="P302" s="49">
        <v>160.5</v>
      </c>
      <c r="Q302" s="49">
        <v>189.1</v>
      </c>
      <c r="R302" s="49">
        <v>165.3</v>
      </c>
      <c r="S302" s="49">
        <v>159.9</v>
      </c>
      <c r="T302" s="49">
        <v>164.6</v>
      </c>
      <c r="U302" s="49" t="s">
        <v>43</v>
      </c>
      <c r="V302" s="49">
        <v>162.1</v>
      </c>
      <c r="W302" s="49">
        <v>159.19999999999999</v>
      </c>
      <c r="X302" s="49">
        <v>169.7</v>
      </c>
      <c r="Y302" s="49">
        <v>154.19999999999999</v>
      </c>
      <c r="Z302" s="49">
        <v>160.4</v>
      </c>
      <c r="AA302" s="49">
        <v>166.8</v>
      </c>
      <c r="AB302" s="49">
        <v>159.4</v>
      </c>
      <c r="AC302" s="49">
        <v>161.5</v>
      </c>
      <c r="AD302" s="49">
        <v>162.1</v>
      </c>
    </row>
    <row r="303" spans="1:30" x14ac:dyDescent="0.3">
      <c r="A303" s="49" t="s">
        <v>44</v>
      </c>
      <c r="B303" s="49">
        <v>2021</v>
      </c>
      <c r="C303" s="49" t="s">
        <v>48</v>
      </c>
      <c r="D303" s="49">
        <v>149.19999999999999</v>
      </c>
      <c r="E303" s="49">
        <v>205.5</v>
      </c>
      <c r="F303" s="49">
        <v>182.8</v>
      </c>
      <c r="G303" s="49">
        <v>156.5</v>
      </c>
      <c r="H303" s="49">
        <v>172.2</v>
      </c>
      <c r="I303" s="49">
        <v>171.5</v>
      </c>
      <c r="J303" s="49">
        <v>176.2</v>
      </c>
      <c r="K303" s="49">
        <v>166.9</v>
      </c>
      <c r="L303" s="49">
        <v>116.1</v>
      </c>
      <c r="M303" s="49">
        <v>165.5</v>
      </c>
      <c r="N303" s="49">
        <v>152.30000000000001</v>
      </c>
      <c r="O303" s="49">
        <v>173.3</v>
      </c>
      <c r="P303" s="49">
        <v>166.2</v>
      </c>
      <c r="Q303" s="49">
        <v>195.6</v>
      </c>
      <c r="R303" s="49">
        <v>157.30000000000001</v>
      </c>
      <c r="S303" s="49">
        <v>140.5</v>
      </c>
      <c r="T303" s="49">
        <v>154.80000000000001</v>
      </c>
      <c r="U303" s="49">
        <v>160.5</v>
      </c>
      <c r="V303" s="49">
        <v>156.1</v>
      </c>
      <c r="W303" s="49">
        <v>149.80000000000001</v>
      </c>
      <c r="X303" s="49">
        <v>160.80000000000001</v>
      </c>
      <c r="Y303" s="49">
        <v>147.5</v>
      </c>
      <c r="Z303" s="49">
        <v>150.69999999999999</v>
      </c>
      <c r="AA303" s="49">
        <v>158.1</v>
      </c>
      <c r="AB303" s="49">
        <v>158</v>
      </c>
      <c r="AC303" s="49">
        <v>153.4</v>
      </c>
      <c r="AD303" s="49">
        <v>160.4</v>
      </c>
    </row>
    <row r="304" spans="1:30" x14ac:dyDescent="0.3">
      <c r="A304" s="49" t="s">
        <v>30</v>
      </c>
      <c r="B304" s="49">
        <v>2021</v>
      </c>
      <c r="C304" s="49" t="s">
        <v>48</v>
      </c>
      <c r="D304" s="49">
        <v>146.69999999999999</v>
      </c>
      <c r="E304" s="49">
        <v>202</v>
      </c>
      <c r="F304" s="49">
        <v>180.7</v>
      </c>
      <c r="G304" s="49">
        <v>156.19999999999999</v>
      </c>
      <c r="H304" s="49">
        <v>183.7</v>
      </c>
      <c r="I304" s="49">
        <v>164.6</v>
      </c>
      <c r="J304" s="49">
        <v>155.4</v>
      </c>
      <c r="K304" s="49">
        <v>166</v>
      </c>
      <c r="L304" s="49">
        <v>115.1</v>
      </c>
      <c r="M304" s="49">
        <v>168.5</v>
      </c>
      <c r="N304" s="49">
        <v>160</v>
      </c>
      <c r="O304" s="49">
        <v>172.4</v>
      </c>
      <c r="P304" s="49">
        <v>162.6</v>
      </c>
      <c r="Q304" s="49">
        <v>190.8</v>
      </c>
      <c r="R304" s="49">
        <v>162.19999999999999</v>
      </c>
      <c r="S304" s="49">
        <v>151.80000000000001</v>
      </c>
      <c r="T304" s="49">
        <v>160.69999999999999</v>
      </c>
      <c r="U304" s="49">
        <v>160.5</v>
      </c>
      <c r="V304" s="49">
        <v>159.80000000000001</v>
      </c>
      <c r="W304" s="49">
        <v>154.80000000000001</v>
      </c>
      <c r="X304" s="49">
        <v>166.3</v>
      </c>
      <c r="Y304" s="49">
        <v>150.69999999999999</v>
      </c>
      <c r="Z304" s="49">
        <v>154.9</v>
      </c>
      <c r="AA304" s="49">
        <v>161.69999999999999</v>
      </c>
      <c r="AB304" s="49">
        <v>158.80000000000001</v>
      </c>
      <c r="AC304" s="49">
        <v>157.6</v>
      </c>
      <c r="AD304" s="49">
        <v>161.30000000000001</v>
      </c>
    </row>
    <row r="305" spans="1:30" x14ac:dyDescent="0.3">
      <c r="A305" s="49" t="s">
        <v>41</v>
      </c>
      <c r="B305" s="49">
        <v>2021</v>
      </c>
      <c r="C305" s="49" t="s">
        <v>49</v>
      </c>
      <c r="D305" s="49">
        <v>145.1</v>
      </c>
      <c r="E305" s="49">
        <v>204.5</v>
      </c>
      <c r="F305" s="49">
        <v>180.4</v>
      </c>
      <c r="G305" s="49">
        <v>157.1</v>
      </c>
      <c r="H305" s="49">
        <v>188.7</v>
      </c>
      <c r="I305" s="49">
        <v>157.69999999999999</v>
      </c>
      <c r="J305" s="49">
        <v>152.80000000000001</v>
      </c>
      <c r="K305" s="49">
        <v>163.6</v>
      </c>
      <c r="L305" s="49">
        <v>113.9</v>
      </c>
      <c r="M305" s="49">
        <v>169.7</v>
      </c>
      <c r="N305" s="49">
        <v>166.2</v>
      </c>
      <c r="O305" s="49">
        <v>171</v>
      </c>
      <c r="P305" s="49">
        <v>161.69999999999999</v>
      </c>
      <c r="Q305" s="49">
        <v>189.7</v>
      </c>
      <c r="R305" s="49">
        <v>166</v>
      </c>
      <c r="S305" s="49">
        <v>161.1</v>
      </c>
      <c r="T305" s="49">
        <v>165.3</v>
      </c>
      <c r="U305" s="49" t="s">
        <v>43</v>
      </c>
      <c r="V305" s="49">
        <v>162.5</v>
      </c>
      <c r="W305" s="49">
        <v>160.30000000000001</v>
      </c>
      <c r="X305" s="49">
        <v>170.4</v>
      </c>
      <c r="Y305" s="49">
        <v>157.1</v>
      </c>
      <c r="Z305" s="49">
        <v>160.69999999999999</v>
      </c>
      <c r="AA305" s="49">
        <v>167.2</v>
      </c>
      <c r="AB305" s="49">
        <v>160.4</v>
      </c>
      <c r="AC305" s="49">
        <v>162.80000000000001</v>
      </c>
      <c r="AD305" s="49">
        <v>163.19999999999999</v>
      </c>
    </row>
    <row r="306" spans="1:30" x14ac:dyDescent="0.3">
      <c r="A306" s="49" t="s">
        <v>44</v>
      </c>
      <c r="B306" s="49">
        <v>2021</v>
      </c>
      <c r="C306" s="49" t="s">
        <v>49</v>
      </c>
      <c r="D306" s="49">
        <v>149.1</v>
      </c>
      <c r="E306" s="49">
        <v>210.9</v>
      </c>
      <c r="F306" s="49">
        <v>185</v>
      </c>
      <c r="G306" s="49">
        <v>158.19999999999999</v>
      </c>
      <c r="H306" s="49">
        <v>170.6</v>
      </c>
      <c r="I306" s="49">
        <v>170.9</v>
      </c>
      <c r="J306" s="49">
        <v>186.4</v>
      </c>
      <c r="K306" s="49">
        <v>164.7</v>
      </c>
      <c r="L306" s="49">
        <v>115.7</v>
      </c>
      <c r="M306" s="49">
        <v>165.5</v>
      </c>
      <c r="N306" s="49">
        <v>153.4</v>
      </c>
      <c r="O306" s="49">
        <v>173.5</v>
      </c>
      <c r="P306" s="49">
        <v>167.9</v>
      </c>
      <c r="Q306" s="49">
        <v>195.5</v>
      </c>
      <c r="R306" s="49">
        <v>157.9</v>
      </c>
      <c r="S306" s="49">
        <v>141.9</v>
      </c>
      <c r="T306" s="49">
        <v>155.5</v>
      </c>
      <c r="U306" s="49">
        <v>161.5</v>
      </c>
      <c r="V306" s="49">
        <v>157.69999999999999</v>
      </c>
      <c r="W306" s="49">
        <v>150.69999999999999</v>
      </c>
      <c r="X306" s="49">
        <v>161.5</v>
      </c>
      <c r="Y306" s="49">
        <v>149.5</v>
      </c>
      <c r="Z306" s="49">
        <v>151.19999999999999</v>
      </c>
      <c r="AA306" s="49">
        <v>160.30000000000001</v>
      </c>
      <c r="AB306" s="49">
        <v>159.6</v>
      </c>
      <c r="AC306" s="49">
        <v>155</v>
      </c>
      <c r="AD306" s="49">
        <v>161.80000000000001</v>
      </c>
    </row>
    <row r="307" spans="1:30" x14ac:dyDescent="0.3">
      <c r="A307" s="49" t="s">
        <v>30</v>
      </c>
      <c r="B307" s="49">
        <v>2021</v>
      </c>
      <c r="C307" s="49" t="s">
        <v>49</v>
      </c>
      <c r="D307" s="49">
        <v>146.4</v>
      </c>
      <c r="E307" s="49">
        <v>206.8</v>
      </c>
      <c r="F307" s="49">
        <v>182.2</v>
      </c>
      <c r="G307" s="49">
        <v>157.5</v>
      </c>
      <c r="H307" s="49">
        <v>182.1</v>
      </c>
      <c r="I307" s="49">
        <v>163.9</v>
      </c>
      <c r="J307" s="49">
        <v>164.2</v>
      </c>
      <c r="K307" s="49">
        <v>164</v>
      </c>
      <c r="L307" s="49">
        <v>114.5</v>
      </c>
      <c r="M307" s="49">
        <v>168.3</v>
      </c>
      <c r="N307" s="49">
        <v>160.9</v>
      </c>
      <c r="O307" s="49">
        <v>172.2</v>
      </c>
      <c r="P307" s="49">
        <v>164</v>
      </c>
      <c r="Q307" s="49">
        <v>191.2</v>
      </c>
      <c r="R307" s="49">
        <v>162.80000000000001</v>
      </c>
      <c r="S307" s="49">
        <v>153.1</v>
      </c>
      <c r="T307" s="49">
        <v>161.4</v>
      </c>
      <c r="U307" s="49">
        <v>161.5</v>
      </c>
      <c r="V307" s="49">
        <v>160.69999999999999</v>
      </c>
      <c r="W307" s="49">
        <v>155.80000000000001</v>
      </c>
      <c r="X307" s="49">
        <v>167</v>
      </c>
      <c r="Y307" s="49">
        <v>153.1</v>
      </c>
      <c r="Z307" s="49">
        <v>155.30000000000001</v>
      </c>
      <c r="AA307" s="49">
        <v>163.19999999999999</v>
      </c>
      <c r="AB307" s="49">
        <v>160.1</v>
      </c>
      <c r="AC307" s="49">
        <v>159</v>
      </c>
      <c r="AD307" s="49">
        <v>162.5</v>
      </c>
    </row>
    <row r="308" spans="1:30" x14ac:dyDescent="0.3">
      <c r="A308" s="49" t="s">
        <v>41</v>
      </c>
      <c r="B308" s="49">
        <v>2021</v>
      </c>
      <c r="C308" s="49" t="s">
        <v>50</v>
      </c>
      <c r="D308" s="49">
        <v>144.9</v>
      </c>
      <c r="E308" s="49">
        <v>202.3</v>
      </c>
      <c r="F308" s="49">
        <v>176.5</v>
      </c>
      <c r="G308" s="49">
        <v>157.5</v>
      </c>
      <c r="H308" s="49">
        <v>190.9</v>
      </c>
      <c r="I308" s="49">
        <v>155.69999999999999</v>
      </c>
      <c r="J308" s="49">
        <v>153.9</v>
      </c>
      <c r="K308" s="49">
        <v>162.80000000000001</v>
      </c>
      <c r="L308" s="49">
        <v>115.2</v>
      </c>
      <c r="M308" s="49">
        <v>169.8</v>
      </c>
      <c r="N308" s="49">
        <v>167.6</v>
      </c>
      <c r="O308" s="49">
        <v>171.9</v>
      </c>
      <c r="P308" s="49">
        <v>161.80000000000001</v>
      </c>
      <c r="Q308" s="49">
        <v>190.2</v>
      </c>
      <c r="R308" s="49">
        <v>167</v>
      </c>
      <c r="S308" s="49">
        <v>162.6</v>
      </c>
      <c r="T308" s="49">
        <v>166.3</v>
      </c>
      <c r="U308" s="49" t="s">
        <v>43</v>
      </c>
      <c r="V308" s="49">
        <v>163.1</v>
      </c>
      <c r="W308" s="49">
        <v>160.9</v>
      </c>
      <c r="X308" s="49">
        <v>171.1</v>
      </c>
      <c r="Y308" s="49">
        <v>157.69999999999999</v>
      </c>
      <c r="Z308" s="49">
        <v>161.1</v>
      </c>
      <c r="AA308" s="49">
        <v>167.5</v>
      </c>
      <c r="AB308" s="49">
        <v>160.30000000000001</v>
      </c>
      <c r="AC308" s="49">
        <v>163.30000000000001</v>
      </c>
      <c r="AD308" s="49">
        <v>163.6</v>
      </c>
    </row>
    <row r="309" spans="1:30" x14ac:dyDescent="0.3">
      <c r="A309" s="49" t="s">
        <v>44</v>
      </c>
      <c r="B309" s="49">
        <v>2021</v>
      </c>
      <c r="C309" s="49" t="s">
        <v>50</v>
      </c>
      <c r="D309" s="49">
        <v>149.30000000000001</v>
      </c>
      <c r="E309" s="49">
        <v>207.4</v>
      </c>
      <c r="F309" s="49">
        <v>174.1</v>
      </c>
      <c r="G309" s="49">
        <v>159.19999999999999</v>
      </c>
      <c r="H309" s="49">
        <v>175</v>
      </c>
      <c r="I309" s="49">
        <v>161.30000000000001</v>
      </c>
      <c r="J309" s="49">
        <v>183.3</v>
      </c>
      <c r="K309" s="49">
        <v>164.5</v>
      </c>
      <c r="L309" s="49">
        <v>120.4</v>
      </c>
      <c r="M309" s="49">
        <v>166.2</v>
      </c>
      <c r="N309" s="49">
        <v>154.80000000000001</v>
      </c>
      <c r="O309" s="49">
        <v>175.1</v>
      </c>
      <c r="P309" s="49">
        <v>167.3</v>
      </c>
      <c r="Q309" s="49">
        <v>196.5</v>
      </c>
      <c r="R309" s="49">
        <v>159.80000000000001</v>
      </c>
      <c r="S309" s="49">
        <v>143.6</v>
      </c>
      <c r="T309" s="49">
        <v>157.30000000000001</v>
      </c>
      <c r="U309" s="49">
        <v>162.1</v>
      </c>
      <c r="V309" s="49">
        <v>160.69999999999999</v>
      </c>
      <c r="W309" s="49">
        <v>153.19999999999999</v>
      </c>
      <c r="X309" s="49">
        <v>162.80000000000001</v>
      </c>
      <c r="Y309" s="49">
        <v>150.4</v>
      </c>
      <c r="Z309" s="49">
        <v>153.69999999999999</v>
      </c>
      <c r="AA309" s="49">
        <v>160.4</v>
      </c>
      <c r="AB309" s="49">
        <v>159.6</v>
      </c>
      <c r="AC309" s="49">
        <v>156</v>
      </c>
      <c r="AD309" s="49">
        <v>162.30000000000001</v>
      </c>
    </row>
    <row r="310" spans="1:30" x14ac:dyDescent="0.3">
      <c r="A310" s="49" t="s">
        <v>30</v>
      </c>
      <c r="B310" s="49">
        <v>2021</v>
      </c>
      <c r="C310" s="49" t="s">
        <v>50</v>
      </c>
      <c r="D310" s="49">
        <v>146.6</v>
      </c>
      <c r="E310" s="49">
        <v>204</v>
      </c>
      <c r="F310" s="49">
        <v>172.8</v>
      </c>
      <c r="G310" s="49">
        <v>158.4</v>
      </c>
      <c r="H310" s="49">
        <v>188</v>
      </c>
      <c r="I310" s="49">
        <v>156.80000000000001</v>
      </c>
      <c r="J310" s="49">
        <v>162.19999999999999</v>
      </c>
      <c r="K310" s="49">
        <v>164.1</v>
      </c>
      <c r="L310" s="49">
        <v>119.7</v>
      </c>
      <c r="M310" s="49">
        <v>168.8</v>
      </c>
      <c r="N310" s="49">
        <v>162.69999999999999</v>
      </c>
      <c r="O310" s="49">
        <v>173.9</v>
      </c>
      <c r="P310" s="49">
        <v>164</v>
      </c>
      <c r="Q310" s="49">
        <v>192.1</v>
      </c>
      <c r="R310" s="49">
        <v>164.5</v>
      </c>
      <c r="S310" s="49">
        <v>155.30000000000001</v>
      </c>
      <c r="T310" s="49">
        <v>163.19999999999999</v>
      </c>
      <c r="U310" s="49">
        <v>162.1</v>
      </c>
      <c r="V310" s="49">
        <v>162.6</v>
      </c>
      <c r="W310" s="49">
        <v>157.5</v>
      </c>
      <c r="X310" s="49">
        <v>168.4</v>
      </c>
      <c r="Y310" s="49">
        <v>154</v>
      </c>
      <c r="Z310" s="49">
        <v>157.6</v>
      </c>
      <c r="AA310" s="49">
        <v>163.80000000000001</v>
      </c>
      <c r="AB310" s="49">
        <v>160</v>
      </c>
      <c r="AC310" s="49">
        <v>160</v>
      </c>
      <c r="AD310" s="49">
        <v>163.19999999999999</v>
      </c>
    </row>
    <row r="311" spans="1:30" x14ac:dyDescent="0.3">
      <c r="A311" s="49" t="s">
        <v>41</v>
      </c>
      <c r="B311" s="49">
        <v>2021</v>
      </c>
      <c r="C311" s="49" t="s">
        <v>51</v>
      </c>
      <c r="D311" s="49">
        <v>145.4</v>
      </c>
      <c r="E311" s="49">
        <v>202.1</v>
      </c>
      <c r="F311" s="49">
        <v>172</v>
      </c>
      <c r="G311" s="49">
        <v>158</v>
      </c>
      <c r="H311" s="49">
        <v>195.5</v>
      </c>
      <c r="I311" s="49">
        <v>152.69999999999999</v>
      </c>
      <c r="J311" s="49">
        <v>151.4</v>
      </c>
      <c r="K311" s="49">
        <v>163.9</v>
      </c>
      <c r="L311" s="49">
        <v>119.3</v>
      </c>
      <c r="M311" s="49">
        <v>170.1</v>
      </c>
      <c r="N311" s="49">
        <v>168.3</v>
      </c>
      <c r="O311" s="49">
        <v>172.8</v>
      </c>
      <c r="P311" s="49">
        <v>162.1</v>
      </c>
      <c r="Q311" s="49">
        <v>190.5</v>
      </c>
      <c r="R311" s="49">
        <v>167.7</v>
      </c>
      <c r="S311" s="49">
        <v>163.6</v>
      </c>
      <c r="T311" s="49">
        <v>167.1</v>
      </c>
      <c r="U311" s="49" t="s">
        <v>43</v>
      </c>
      <c r="V311" s="49">
        <v>163.69999999999999</v>
      </c>
      <c r="W311" s="49">
        <v>161.30000000000001</v>
      </c>
      <c r="X311" s="49">
        <v>171.9</v>
      </c>
      <c r="Y311" s="49">
        <v>157.80000000000001</v>
      </c>
      <c r="Z311" s="49">
        <v>162.69999999999999</v>
      </c>
      <c r="AA311" s="49">
        <v>168.5</v>
      </c>
      <c r="AB311" s="49">
        <v>160.19999999999999</v>
      </c>
      <c r="AC311" s="49">
        <v>163.80000000000001</v>
      </c>
      <c r="AD311" s="49">
        <v>164</v>
      </c>
    </row>
    <row r="312" spans="1:30" x14ac:dyDescent="0.3">
      <c r="A312" s="49" t="s">
        <v>44</v>
      </c>
      <c r="B312" s="49">
        <v>2021</v>
      </c>
      <c r="C312" s="49" t="s">
        <v>51</v>
      </c>
      <c r="D312" s="49">
        <v>149.30000000000001</v>
      </c>
      <c r="E312" s="49">
        <v>207.4</v>
      </c>
      <c r="F312" s="49">
        <v>174.1</v>
      </c>
      <c r="G312" s="49">
        <v>159.1</v>
      </c>
      <c r="H312" s="49">
        <v>175</v>
      </c>
      <c r="I312" s="49">
        <v>161.19999999999999</v>
      </c>
      <c r="J312" s="49">
        <v>183.5</v>
      </c>
      <c r="K312" s="49">
        <v>164.5</v>
      </c>
      <c r="L312" s="49">
        <v>120.4</v>
      </c>
      <c r="M312" s="49">
        <v>166.2</v>
      </c>
      <c r="N312" s="49">
        <v>154.80000000000001</v>
      </c>
      <c r="O312" s="49">
        <v>175.1</v>
      </c>
      <c r="P312" s="49">
        <v>167.3</v>
      </c>
      <c r="Q312" s="49">
        <v>196.5</v>
      </c>
      <c r="R312" s="49">
        <v>159.80000000000001</v>
      </c>
      <c r="S312" s="49">
        <v>143.6</v>
      </c>
      <c r="T312" s="49">
        <v>157.4</v>
      </c>
      <c r="U312" s="49">
        <v>162.1</v>
      </c>
      <c r="V312" s="49">
        <v>160.80000000000001</v>
      </c>
      <c r="W312" s="49">
        <v>153.30000000000001</v>
      </c>
      <c r="X312" s="49">
        <v>162.80000000000001</v>
      </c>
      <c r="Y312" s="49">
        <v>150.5</v>
      </c>
      <c r="Z312" s="49">
        <v>153.9</v>
      </c>
      <c r="AA312" s="49">
        <v>160.30000000000001</v>
      </c>
      <c r="AB312" s="49">
        <v>159.6</v>
      </c>
      <c r="AC312" s="49">
        <v>156</v>
      </c>
      <c r="AD312" s="49">
        <v>162.30000000000001</v>
      </c>
    </row>
    <row r="313" spans="1:30" x14ac:dyDescent="0.3">
      <c r="A313" s="49" t="s">
        <v>30</v>
      </c>
      <c r="B313" s="49">
        <v>2021</v>
      </c>
      <c r="C313" s="49" t="s">
        <v>51</v>
      </c>
      <c r="D313" s="49">
        <v>146.6</v>
      </c>
      <c r="E313" s="49">
        <v>204</v>
      </c>
      <c r="F313" s="49">
        <v>172.8</v>
      </c>
      <c r="G313" s="49">
        <v>158.4</v>
      </c>
      <c r="H313" s="49">
        <v>188</v>
      </c>
      <c r="I313" s="49">
        <v>156.69999999999999</v>
      </c>
      <c r="J313" s="49">
        <v>162.30000000000001</v>
      </c>
      <c r="K313" s="49">
        <v>164.1</v>
      </c>
      <c r="L313" s="49">
        <v>119.7</v>
      </c>
      <c r="M313" s="49">
        <v>168.8</v>
      </c>
      <c r="N313" s="49">
        <v>162.69999999999999</v>
      </c>
      <c r="O313" s="49">
        <v>173.9</v>
      </c>
      <c r="P313" s="49">
        <v>164</v>
      </c>
      <c r="Q313" s="49">
        <v>192.1</v>
      </c>
      <c r="R313" s="49">
        <v>164.6</v>
      </c>
      <c r="S313" s="49">
        <v>155.30000000000001</v>
      </c>
      <c r="T313" s="49">
        <v>163.30000000000001</v>
      </c>
      <c r="U313" s="49">
        <v>162.1</v>
      </c>
      <c r="V313" s="49">
        <v>162.6</v>
      </c>
      <c r="W313" s="49">
        <v>157.5</v>
      </c>
      <c r="X313" s="49">
        <v>168.4</v>
      </c>
      <c r="Y313" s="49">
        <v>154</v>
      </c>
      <c r="Z313" s="49">
        <v>157.69999999999999</v>
      </c>
      <c r="AA313" s="49">
        <v>163.69999999999999</v>
      </c>
      <c r="AB313" s="49">
        <v>160</v>
      </c>
      <c r="AC313" s="49">
        <v>160</v>
      </c>
      <c r="AD313" s="49">
        <v>163.19999999999999</v>
      </c>
    </row>
    <row r="314" spans="1:30" x14ac:dyDescent="0.3">
      <c r="A314" s="49" t="s">
        <v>41</v>
      </c>
      <c r="B314" s="49">
        <v>2021</v>
      </c>
      <c r="C314" s="49" t="s">
        <v>52</v>
      </c>
      <c r="D314" s="49">
        <v>146.1</v>
      </c>
      <c r="E314" s="49">
        <v>202.5</v>
      </c>
      <c r="F314" s="49">
        <v>170.1</v>
      </c>
      <c r="G314" s="49">
        <v>158.4</v>
      </c>
      <c r="H314" s="49">
        <v>198.8</v>
      </c>
      <c r="I314" s="49">
        <v>152.6</v>
      </c>
      <c r="J314" s="49">
        <v>170.4</v>
      </c>
      <c r="K314" s="49">
        <v>165.2</v>
      </c>
      <c r="L314" s="49">
        <v>121.6</v>
      </c>
      <c r="M314" s="49">
        <v>170.6</v>
      </c>
      <c r="N314" s="49">
        <v>168.8</v>
      </c>
      <c r="O314" s="49">
        <v>173.6</v>
      </c>
      <c r="P314" s="49">
        <v>165.5</v>
      </c>
      <c r="Q314" s="49">
        <v>191.2</v>
      </c>
      <c r="R314" s="49">
        <v>168.9</v>
      </c>
      <c r="S314" s="49">
        <v>164.8</v>
      </c>
      <c r="T314" s="49">
        <v>168.3</v>
      </c>
      <c r="U314" s="49" t="s">
        <v>43</v>
      </c>
      <c r="V314" s="49">
        <v>165.5</v>
      </c>
      <c r="W314" s="49">
        <v>162</v>
      </c>
      <c r="X314" s="49">
        <v>172.5</v>
      </c>
      <c r="Y314" s="49">
        <v>159.5</v>
      </c>
      <c r="Z314" s="49">
        <v>163.19999999999999</v>
      </c>
      <c r="AA314" s="49">
        <v>169</v>
      </c>
      <c r="AB314" s="49">
        <v>161.1</v>
      </c>
      <c r="AC314" s="49">
        <v>164.7</v>
      </c>
      <c r="AD314" s="49">
        <v>166.3</v>
      </c>
    </row>
    <row r="315" spans="1:30" x14ac:dyDescent="0.3">
      <c r="A315" s="49" t="s">
        <v>44</v>
      </c>
      <c r="B315" s="49">
        <v>2021</v>
      </c>
      <c r="C315" s="49" t="s">
        <v>52</v>
      </c>
      <c r="D315" s="49">
        <v>150.1</v>
      </c>
      <c r="E315" s="49">
        <v>208.4</v>
      </c>
      <c r="F315" s="49">
        <v>173</v>
      </c>
      <c r="G315" s="49">
        <v>159.19999999999999</v>
      </c>
      <c r="H315" s="49">
        <v>176.6</v>
      </c>
      <c r="I315" s="49">
        <v>159.30000000000001</v>
      </c>
      <c r="J315" s="49">
        <v>214.4</v>
      </c>
      <c r="K315" s="49">
        <v>165.3</v>
      </c>
      <c r="L315" s="49">
        <v>122.5</v>
      </c>
      <c r="M315" s="49">
        <v>166.8</v>
      </c>
      <c r="N315" s="49">
        <v>155.4</v>
      </c>
      <c r="O315" s="49">
        <v>175.9</v>
      </c>
      <c r="P315" s="49">
        <v>171.5</v>
      </c>
      <c r="Q315" s="49">
        <v>197</v>
      </c>
      <c r="R315" s="49">
        <v>160.80000000000001</v>
      </c>
      <c r="S315" s="49">
        <v>144.4</v>
      </c>
      <c r="T315" s="49">
        <v>158.30000000000001</v>
      </c>
      <c r="U315" s="49">
        <v>163.6</v>
      </c>
      <c r="V315" s="49">
        <v>162.19999999999999</v>
      </c>
      <c r="W315" s="49">
        <v>154.30000000000001</v>
      </c>
      <c r="X315" s="49">
        <v>163.5</v>
      </c>
      <c r="Y315" s="49">
        <v>152.19999999999999</v>
      </c>
      <c r="Z315" s="49">
        <v>155.1</v>
      </c>
      <c r="AA315" s="49">
        <v>160.30000000000001</v>
      </c>
      <c r="AB315" s="49">
        <v>160.30000000000001</v>
      </c>
      <c r="AC315" s="49">
        <v>157</v>
      </c>
      <c r="AD315" s="49">
        <v>164.6</v>
      </c>
    </row>
    <row r="316" spans="1:30" x14ac:dyDescent="0.3">
      <c r="A316" s="49" t="s">
        <v>30</v>
      </c>
      <c r="B316" s="49">
        <v>2021</v>
      </c>
      <c r="C316" s="49" t="s">
        <v>52</v>
      </c>
      <c r="D316" s="49">
        <v>147.4</v>
      </c>
      <c r="E316" s="49">
        <v>204.6</v>
      </c>
      <c r="F316" s="49">
        <v>171.2</v>
      </c>
      <c r="G316" s="49">
        <v>158.69999999999999</v>
      </c>
      <c r="H316" s="49">
        <v>190.6</v>
      </c>
      <c r="I316" s="49">
        <v>155.69999999999999</v>
      </c>
      <c r="J316" s="49">
        <v>185.3</v>
      </c>
      <c r="K316" s="49">
        <v>165.2</v>
      </c>
      <c r="L316" s="49">
        <v>121.9</v>
      </c>
      <c r="M316" s="49">
        <v>169.3</v>
      </c>
      <c r="N316" s="49">
        <v>163.19999999999999</v>
      </c>
      <c r="O316" s="49">
        <v>174.7</v>
      </c>
      <c r="P316" s="49">
        <v>167.7</v>
      </c>
      <c r="Q316" s="49">
        <v>192.7</v>
      </c>
      <c r="R316" s="49">
        <v>165.7</v>
      </c>
      <c r="S316" s="49">
        <v>156.30000000000001</v>
      </c>
      <c r="T316" s="49">
        <v>164.3</v>
      </c>
      <c r="U316" s="49">
        <v>163.6</v>
      </c>
      <c r="V316" s="49">
        <v>164.2</v>
      </c>
      <c r="W316" s="49">
        <v>158.4</v>
      </c>
      <c r="X316" s="49">
        <v>169.1</v>
      </c>
      <c r="Y316" s="49">
        <v>155.69999999999999</v>
      </c>
      <c r="Z316" s="49">
        <v>158.6</v>
      </c>
      <c r="AA316" s="49">
        <v>163.9</v>
      </c>
      <c r="AB316" s="49">
        <v>160.80000000000001</v>
      </c>
      <c r="AC316" s="49">
        <v>161</v>
      </c>
      <c r="AD316" s="49">
        <v>165.5</v>
      </c>
    </row>
    <row r="317" spans="1:30" x14ac:dyDescent="0.3">
      <c r="A317" s="49" t="s">
        <v>41</v>
      </c>
      <c r="B317" s="49">
        <v>2021</v>
      </c>
      <c r="C317" s="49" t="s">
        <v>54</v>
      </c>
      <c r="D317" s="49">
        <v>146.9</v>
      </c>
      <c r="E317" s="49">
        <v>199.8</v>
      </c>
      <c r="F317" s="49">
        <v>171.5</v>
      </c>
      <c r="G317" s="49">
        <v>159.1</v>
      </c>
      <c r="H317" s="49">
        <v>198.4</v>
      </c>
      <c r="I317" s="49">
        <v>153.19999999999999</v>
      </c>
      <c r="J317" s="49">
        <v>183.9</v>
      </c>
      <c r="K317" s="49">
        <v>165.4</v>
      </c>
      <c r="L317" s="49">
        <v>122.1</v>
      </c>
      <c r="M317" s="49">
        <v>170.8</v>
      </c>
      <c r="N317" s="49">
        <v>169.1</v>
      </c>
      <c r="O317" s="49">
        <v>174.3</v>
      </c>
      <c r="P317" s="49">
        <v>167.5</v>
      </c>
      <c r="Q317" s="49">
        <v>191.4</v>
      </c>
      <c r="R317" s="49">
        <v>170.4</v>
      </c>
      <c r="S317" s="49">
        <v>166</v>
      </c>
      <c r="T317" s="49">
        <v>169.8</v>
      </c>
      <c r="U317" s="49" t="s">
        <v>43</v>
      </c>
      <c r="V317" s="49">
        <v>165.3</v>
      </c>
      <c r="W317" s="49">
        <v>162.9</v>
      </c>
      <c r="X317" s="49">
        <v>173.4</v>
      </c>
      <c r="Y317" s="49">
        <v>158.9</v>
      </c>
      <c r="Z317" s="49">
        <v>163.80000000000001</v>
      </c>
      <c r="AA317" s="49">
        <v>169.3</v>
      </c>
      <c r="AB317" s="49">
        <v>162.4</v>
      </c>
      <c r="AC317" s="49">
        <v>165.2</v>
      </c>
      <c r="AD317" s="49">
        <v>167.6</v>
      </c>
    </row>
    <row r="318" spans="1:30" x14ac:dyDescent="0.3">
      <c r="A318" s="49" t="s">
        <v>44</v>
      </c>
      <c r="B318" s="49">
        <v>2021</v>
      </c>
      <c r="C318" s="49" t="s">
        <v>54</v>
      </c>
      <c r="D318" s="49">
        <v>151</v>
      </c>
      <c r="E318" s="49">
        <v>204.9</v>
      </c>
      <c r="F318" s="49">
        <v>175.4</v>
      </c>
      <c r="G318" s="49">
        <v>159.6</v>
      </c>
      <c r="H318" s="49">
        <v>175.8</v>
      </c>
      <c r="I318" s="49">
        <v>160.30000000000001</v>
      </c>
      <c r="J318" s="49">
        <v>229.1</v>
      </c>
      <c r="K318" s="49">
        <v>165.1</v>
      </c>
      <c r="L318" s="49">
        <v>123.1</v>
      </c>
      <c r="M318" s="49">
        <v>167.2</v>
      </c>
      <c r="N318" s="49">
        <v>156.1</v>
      </c>
      <c r="O318" s="49">
        <v>176.8</v>
      </c>
      <c r="P318" s="49">
        <v>173.5</v>
      </c>
      <c r="Q318" s="49">
        <v>197</v>
      </c>
      <c r="R318" s="49">
        <v>162.30000000000001</v>
      </c>
      <c r="S318" s="49">
        <v>145.30000000000001</v>
      </c>
      <c r="T318" s="49">
        <v>159.69999999999999</v>
      </c>
      <c r="U318" s="49">
        <v>164.2</v>
      </c>
      <c r="V318" s="49">
        <v>161.6</v>
      </c>
      <c r="W318" s="49">
        <v>155.19999999999999</v>
      </c>
      <c r="X318" s="49">
        <v>164.2</v>
      </c>
      <c r="Y318" s="49">
        <v>151.19999999999999</v>
      </c>
      <c r="Z318" s="49">
        <v>156.69999999999999</v>
      </c>
      <c r="AA318" s="49">
        <v>160.80000000000001</v>
      </c>
      <c r="AB318" s="49">
        <v>161.80000000000001</v>
      </c>
      <c r="AC318" s="49">
        <v>157.30000000000001</v>
      </c>
      <c r="AD318" s="49">
        <v>165.6</v>
      </c>
    </row>
    <row r="319" spans="1:30" x14ac:dyDescent="0.3">
      <c r="A319" s="49" t="s">
        <v>30</v>
      </c>
      <c r="B319" s="49">
        <v>2021</v>
      </c>
      <c r="C319" s="49" t="s">
        <v>54</v>
      </c>
      <c r="D319" s="49">
        <v>148.19999999999999</v>
      </c>
      <c r="E319" s="49">
        <v>201.6</v>
      </c>
      <c r="F319" s="49">
        <v>173</v>
      </c>
      <c r="G319" s="49">
        <v>159.30000000000001</v>
      </c>
      <c r="H319" s="49">
        <v>190.1</v>
      </c>
      <c r="I319" s="49">
        <v>156.5</v>
      </c>
      <c r="J319" s="49">
        <v>199.2</v>
      </c>
      <c r="K319" s="49">
        <v>165.3</v>
      </c>
      <c r="L319" s="49">
        <v>122.4</v>
      </c>
      <c r="M319" s="49">
        <v>169.6</v>
      </c>
      <c r="N319" s="49">
        <v>163.69999999999999</v>
      </c>
      <c r="O319" s="49">
        <v>175.5</v>
      </c>
      <c r="P319" s="49">
        <v>169.7</v>
      </c>
      <c r="Q319" s="49">
        <v>192.9</v>
      </c>
      <c r="R319" s="49">
        <v>167.2</v>
      </c>
      <c r="S319" s="49">
        <v>157.4</v>
      </c>
      <c r="T319" s="49">
        <v>165.8</v>
      </c>
      <c r="U319" s="49">
        <v>164.2</v>
      </c>
      <c r="V319" s="49">
        <v>163.9</v>
      </c>
      <c r="W319" s="49">
        <v>159.30000000000001</v>
      </c>
      <c r="X319" s="49">
        <v>169.9</v>
      </c>
      <c r="Y319" s="49">
        <v>154.80000000000001</v>
      </c>
      <c r="Z319" s="49">
        <v>159.80000000000001</v>
      </c>
      <c r="AA319" s="49">
        <v>164.3</v>
      </c>
      <c r="AB319" s="49">
        <v>162.19999999999999</v>
      </c>
      <c r="AC319" s="49">
        <v>161.4</v>
      </c>
      <c r="AD319" s="49">
        <v>166.7</v>
      </c>
    </row>
    <row r="320" spans="1:30" x14ac:dyDescent="0.3">
      <c r="A320" s="49" t="s">
        <v>41</v>
      </c>
      <c r="B320" s="49">
        <v>2021</v>
      </c>
      <c r="C320" s="49" t="s">
        <v>55</v>
      </c>
      <c r="D320" s="49">
        <v>147.4</v>
      </c>
      <c r="E320" s="49">
        <v>197</v>
      </c>
      <c r="F320" s="49">
        <v>176.5</v>
      </c>
      <c r="G320" s="49">
        <v>159.80000000000001</v>
      </c>
      <c r="H320" s="49">
        <v>195.8</v>
      </c>
      <c r="I320" s="49">
        <v>152</v>
      </c>
      <c r="J320" s="49">
        <v>172.3</v>
      </c>
      <c r="K320" s="49">
        <v>164.5</v>
      </c>
      <c r="L320" s="49">
        <v>120.6</v>
      </c>
      <c r="M320" s="49">
        <v>171.7</v>
      </c>
      <c r="N320" s="49">
        <v>169.7</v>
      </c>
      <c r="O320" s="49">
        <v>175.1</v>
      </c>
      <c r="P320" s="49">
        <v>165.8</v>
      </c>
      <c r="Q320" s="49">
        <v>190.8</v>
      </c>
      <c r="R320" s="49">
        <v>171.8</v>
      </c>
      <c r="S320" s="49">
        <v>167.3</v>
      </c>
      <c r="T320" s="49">
        <v>171.2</v>
      </c>
      <c r="U320" s="49" t="s">
        <v>43</v>
      </c>
      <c r="V320" s="49">
        <v>165.6</v>
      </c>
      <c r="W320" s="49">
        <v>163.9</v>
      </c>
      <c r="X320" s="49">
        <v>174</v>
      </c>
      <c r="Y320" s="49">
        <v>160.1</v>
      </c>
      <c r="Z320" s="49">
        <v>164.5</v>
      </c>
      <c r="AA320" s="49">
        <v>169.7</v>
      </c>
      <c r="AB320" s="49">
        <v>162.80000000000001</v>
      </c>
      <c r="AC320" s="49">
        <v>166</v>
      </c>
      <c r="AD320" s="49">
        <v>167</v>
      </c>
    </row>
    <row r="321" spans="1:30" x14ac:dyDescent="0.3">
      <c r="A321" s="49" t="s">
        <v>44</v>
      </c>
      <c r="B321" s="49">
        <v>2021</v>
      </c>
      <c r="C321" s="49" t="s">
        <v>55</v>
      </c>
      <c r="D321" s="49">
        <v>151.6</v>
      </c>
      <c r="E321" s="49">
        <v>202.2</v>
      </c>
      <c r="F321" s="49">
        <v>180</v>
      </c>
      <c r="G321" s="49">
        <v>160</v>
      </c>
      <c r="H321" s="49">
        <v>173.5</v>
      </c>
      <c r="I321" s="49">
        <v>158.30000000000001</v>
      </c>
      <c r="J321" s="49">
        <v>219.5</v>
      </c>
      <c r="K321" s="49">
        <v>164.2</v>
      </c>
      <c r="L321" s="49">
        <v>121.9</v>
      </c>
      <c r="M321" s="49">
        <v>168.2</v>
      </c>
      <c r="N321" s="49">
        <v>156.5</v>
      </c>
      <c r="O321" s="49">
        <v>178.2</v>
      </c>
      <c r="P321" s="49">
        <v>172.2</v>
      </c>
      <c r="Q321" s="49">
        <v>196.8</v>
      </c>
      <c r="R321" s="49">
        <v>163.30000000000001</v>
      </c>
      <c r="S321" s="49">
        <v>146.69999999999999</v>
      </c>
      <c r="T321" s="49">
        <v>160.69999999999999</v>
      </c>
      <c r="U321" s="49">
        <v>163.4</v>
      </c>
      <c r="V321" s="49">
        <v>161.69999999999999</v>
      </c>
      <c r="W321" s="49">
        <v>156</v>
      </c>
      <c r="X321" s="49">
        <v>165.1</v>
      </c>
      <c r="Y321" s="49">
        <v>151.80000000000001</v>
      </c>
      <c r="Z321" s="49">
        <v>157.6</v>
      </c>
      <c r="AA321" s="49">
        <v>160.6</v>
      </c>
      <c r="AB321" s="49">
        <v>162.4</v>
      </c>
      <c r="AC321" s="49">
        <v>157.80000000000001</v>
      </c>
      <c r="AD321" s="49">
        <v>165.2</v>
      </c>
    </row>
    <row r="322" spans="1:30" x14ac:dyDescent="0.3">
      <c r="A322" s="49" t="s">
        <v>30</v>
      </c>
      <c r="B322" s="49">
        <v>2021</v>
      </c>
      <c r="C322" s="49" t="s">
        <v>55</v>
      </c>
      <c r="D322" s="49">
        <v>148.69999999999999</v>
      </c>
      <c r="E322" s="49">
        <v>198.8</v>
      </c>
      <c r="F322" s="49">
        <v>177.9</v>
      </c>
      <c r="G322" s="49">
        <v>159.9</v>
      </c>
      <c r="H322" s="49">
        <v>187.6</v>
      </c>
      <c r="I322" s="49">
        <v>154.9</v>
      </c>
      <c r="J322" s="49">
        <v>188.3</v>
      </c>
      <c r="K322" s="49">
        <v>164.4</v>
      </c>
      <c r="L322" s="49">
        <v>121</v>
      </c>
      <c r="M322" s="49">
        <v>170.5</v>
      </c>
      <c r="N322" s="49">
        <v>164.2</v>
      </c>
      <c r="O322" s="49">
        <v>176.5</v>
      </c>
      <c r="P322" s="49">
        <v>168.2</v>
      </c>
      <c r="Q322" s="49">
        <v>192.4</v>
      </c>
      <c r="R322" s="49">
        <v>168.5</v>
      </c>
      <c r="S322" s="49">
        <v>158.69999999999999</v>
      </c>
      <c r="T322" s="49">
        <v>167</v>
      </c>
      <c r="U322" s="49">
        <v>163.4</v>
      </c>
      <c r="V322" s="49">
        <v>164.1</v>
      </c>
      <c r="W322" s="49">
        <v>160.19999999999999</v>
      </c>
      <c r="X322" s="49">
        <v>170.6</v>
      </c>
      <c r="Y322" s="49">
        <v>155.69999999999999</v>
      </c>
      <c r="Z322" s="49">
        <v>160.6</v>
      </c>
      <c r="AA322" s="49">
        <v>164.4</v>
      </c>
      <c r="AB322" s="49">
        <v>162.6</v>
      </c>
      <c r="AC322" s="49">
        <v>162</v>
      </c>
      <c r="AD322" s="49">
        <v>166.2</v>
      </c>
    </row>
    <row r="323" spans="1:30" x14ac:dyDescent="0.3">
      <c r="A323" s="49" t="s">
        <v>41</v>
      </c>
      <c r="B323" s="49">
        <v>2022</v>
      </c>
      <c r="C323" s="49" t="s">
        <v>42</v>
      </c>
      <c r="D323" s="49">
        <v>148.30000000000001</v>
      </c>
      <c r="E323" s="49">
        <v>196.9</v>
      </c>
      <c r="F323" s="49">
        <v>178</v>
      </c>
      <c r="G323" s="49">
        <v>160.5</v>
      </c>
      <c r="H323" s="49">
        <v>192.6</v>
      </c>
      <c r="I323" s="49">
        <v>151.19999999999999</v>
      </c>
      <c r="J323" s="49">
        <v>159.19999999999999</v>
      </c>
      <c r="K323" s="49">
        <v>164</v>
      </c>
      <c r="L323" s="49">
        <v>119.3</v>
      </c>
      <c r="M323" s="49">
        <v>173.3</v>
      </c>
      <c r="N323" s="49">
        <v>169.8</v>
      </c>
      <c r="O323" s="49">
        <v>175.8</v>
      </c>
      <c r="P323" s="49">
        <v>164.1</v>
      </c>
      <c r="Q323" s="49">
        <v>190.7</v>
      </c>
      <c r="R323" s="49">
        <v>173.2</v>
      </c>
      <c r="S323" s="49">
        <v>169.3</v>
      </c>
      <c r="T323" s="49">
        <v>172.7</v>
      </c>
      <c r="U323" s="49" t="s">
        <v>43</v>
      </c>
      <c r="V323" s="49">
        <v>165.8</v>
      </c>
      <c r="W323" s="49">
        <v>164.9</v>
      </c>
      <c r="X323" s="49">
        <v>174.7</v>
      </c>
      <c r="Y323" s="49">
        <v>160.80000000000001</v>
      </c>
      <c r="Z323" s="49">
        <v>164.9</v>
      </c>
      <c r="AA323" s="49">
        <v>169.9</v>
      </c>
      <c r="AB323" s="49">
        <v>163.19999999999999</v>
      </c>
      <c r="AC323" s="49">
        <v>166.6</v>
      </c>
      <c r="AD323" s="49">
        <v>166.4</v>
      </c>
    </row>
    <row r="324" spans="1:30" x14ac:dyDescent="0.3">
      <c r="A324" s="49" t="s">
        <v>44</v>
      </c>
      <c r="B324" s="49">
        <v>2022</v>
      </c>
      <c r="C324" s="49" t="s">
        <v>42</v>
      </c>
      <c r="D324" s="49">
        <v>152.19999999999999</v>
      </c>
      <c r="E324" s="49">
        <v>202.1</v>
      </c>
      <c r="F324" s="49">
        <v>180.1</v>
      </c>
      <c r="G324" s="49">
        <v>160.4</v>
      </c>
      <c r="H324" s="49">
        <v>171</v>
      </c>
      <c r="I324" s="49">
        <v>156.5</v>
      </c>
      <c r="J324" s="49">
        <v>203.6</v>
      </c>
      <c r="K324" s="49">
        <v>163.80000000000001</v>
      </c>
      <c r="L324" s="49">
        <v>121.3</v>
      </c>
      <c r="M324" s="49">
        <v>169.8</v>
      </c>
      <c r="N324" s="49">
        <v>156.6</v>
      </c>
      <c r="O324" s="49">
        <v>179</v>
      </c>
      <c r="P324" s="49">
        <v>170.3</v>
      </c>
      <c r="Q324" s="49">
        <v>196.4</v>
      </c>
      <c r="R324" s="49">
        <v>164.7</v>
      </c>
      <c r="S324" s="49">
        <v>148.5</v>
      </c>
      <c r="T324" s="49">
        <v>162.19999999999999</v>
      </c>
      <c r="U324" s="49">
        <v>164.5</v>
      </c>
      <c r="V324" s="49">
        <v>161.6</v>
      </c>
      <c r="W324" s="49">
        <v>156.80000000000001</v>
      </c>
      <c r="X324" s="49">
        <v>166.1</v>
      </c>
      <c r="Y324" s="49">
        <v>152.69999999999999</v>
      </c>
      <c r="Z324" s="49">
        <v>158.4</v>
      </c>
      <c r="AA324" s="49">
        <v>161</v>
      </c>
      <c r="AB324" s="49">
        <v>162.80000000000001</v>
      </c>
      <c r="AC324" s="49">
        <v>158.6</v>
      </c>
      <c r="AD324" s="49">
        <v>165</v>
      </c>
    </row>
    <row r="325" spans="1:30" x14ac:dyDescent="0.3">
      <c r="A325" s="49" t="s">
        <v>30</v>
      </c>
      <c r="B325" s="49">
        <v>2022</v>
      </c>
      <c r="C325" s="49" t="s">
        <v>42</v>
      </c>
      <c r="D325" s="49">
        <v>149.5</v>
      </c>
      <c r="E325" s="49">
        <v>198.7</v>
      </c>
      <c r="F325" s="49">
        <v>178.8</v>
      </c>
      <c r="G325" s="49">
        <v>160.5</v>
      </c>
      <c r="H325" s="49">
        <v>184.7</v>
      </c>
      <c r="I325" s="49">
        <v>153.69999999999999</v>
      </c>
      <c r="J325" s="49">
        <v>174.3</v>
      </c>
      <c r="K325" s="49">
        <v>163.9</v>
      </c>
      <c r="L325" s="49">
        <v>120</v>
      </c>
      <c r="M325" s="49">
        <v>172.1</v>
      </c>
      <c r="N325" s="49">
        <v>164.3</v>
      </c>
      <c r="O325" s="49">
        <v>177.3</v>
      </c>
      <c r="P325" s="49">
        <v>166.4</v>
      </c>
      <c r="Q325" s="49">
        <v>192.2</v>
      </c>
      <c r="R325" s="49">
        <v>169.9</v>
      </c>
      <c r="S325" s="49">
        <v>160.69999999999999</v>
      </c>
      <c r="T325" s="49">
        <v>168.5</v>
      </c>
      <c r="U325" s="49">
        <v>164.5</v>
      </c>
      <c r="V325" s="49">
        <v>164.2</v>
      </c>
      <c r="W325" s="49">
        <v>161.1</v>
      </c>
      <c r="X325" s="49">
        <v>171.4</v>
      </c>
      <c r="Y325" s="49">
        <v>156.5</v>
      </c>
      <c r="Z325" s="49">
        <v>161.19999999999999</v>
      </c>
      <c r="AA325" s="49">
        <v>164.7</v>
      </c>
      <c r="AB325" s="49">
        <v>163</v>
      </c>
      <c r="AC325" s="49">
        <v>162.69999999999999</v>
      </c>
      <c r="AD325" s="49">
        <v>165.7</v>
      </c>
    </row>
    <row r="326" spans="1:30" x14ac:dyDescent="0.3">
      <c r="A326" s="49" t="s">
        <v>41</v>
      </c>
      <c r="B326" s="49">
        <v>2022</v>
      </c>
      <c r="C326" s="49" t="s">
        <v>45</v>
      </c>
      <c r="D326" s="49">
        <v>148.80000000000001</v>
      </c>
      <c r="E326" s="49">
        <v>198.1</v>
      </c>
      <c r="F326" s="49">
        <v>175.5</v>
      </c>
      <c r="G326" s="49">
        <v>160.69999999999999</v>
      </c>
      <c r="H326" s="49">
        <v>192.6</v>
      </c>
      <c r="I326" s="49">
        <v>151.4</v>
      </c>
      <c r="J326" s="49">
        <v>155.19999999999999</v>
      </c>
      <c r="K326" s="49">
        <v>163.9</v>
      </c>
      <c r="L326" s="49">
        <v>118.1</v>
      </c>
      <c r="M326" s="49">
        <v>175.4</v>
      </c>
      <c r="N326" s="49">
        <v>170.5</v>
      </c>
      <c r="O326" s="49">
        <v>176.3</v>
      </c>
      <c r="P326" s="49">
        <v>163.9</v>
      </c>
      <c r="Q326" s="49">
        <v>191.5</v>
      </c>
      <c r="R326" s="49">
        <v>174.1</v>
      </c>
      <c r="S326" s="49">
        <v>171</v>
      </c>
      <c r="T326" s="49">
        <v>173.7</v>
      </c>
      <c r="U326" s="49" t="s">
        <v>43</v>
      </c>
      <c r="V326" s="49">
        <v>167.4</v>
      </c>
      <c r="W326" s="49">
        <v>165.7</v>
      </c>
      <c r="X326" s="49">
        <v>175.3</v>
      </c>
      <c r="Y326" s="49">
        <v>161.19999999999999</v>
      </c>
      <c r="Z326" s="49">
        <v>165.5</v>
      </c>
      <c r="AA326" s="49">
        <v>170.3</v>
      </c>
      <c r="AB326" s="49">
        <v>164.5</v>
      </c>
      <c r="AC326" s="49">
        <v>167.3</v>
      </c>
      <c r="AD326" s="49">
        <v>166.7</v>
      </c>
    </row>
    <row r="327" spans="1:30" x14ac:dyDescent="0.3">
      <c r="A327" s="49" t="s">
        <v>44</v>
      </c>
      <c r="B327" s="49">
        <v>2022</v>
      </c>
      <c r="C327" s="49" t="s">
        <v>45</v>
      </c>
      <c r="D327" s="49">
        <v>152.5</v>
      </c>
      <c r="E327" s="49">
        <v>205.2</v>
      </c>
      <c r="F327" s="49">
        <v>176.4</v>
      </c>
      <c r="G327" s="49">
        <v>160.6</v>
      </c>
      <c r="H327" s="49">
        <v>171.5</v>
      </c>
      <c r="I327" s="49">
        <v>156.4</v>
      </c>
      <c r="J327" s="49">
        <v>198</v>
      </c>
      <c r="K327" s="49">
        <v>163.19999999999999</v>
      </c>
      <c r="L327" s="49">
        <v>120.6</v>
      </c>
      <c r="M327" s="49">
        <v>172.2</v>
      </c>
      <c r="N327" s="49">
        <v>156.69999999999999</v>
      </c>
      <c r="O327" s="49">
        <v>180</v>
      </c>
      <c r="P327" s="49">
        <v>170.2</v>
      </c>
      <c r="Q327" s="49">
        <v>196.5</v>
      </c>
      <c r="R327" s="49">
        <v>165.7</v>
      </c>
      <c r="S327" s="49">
        <v>150.4</v>
      </c>
      <c r="T327" s="49">
        <v>163.4</v>
      </c>
      <c r="U327" s="49">
        <v>165.5</v>
      </c>
      <c r="V327" s="49">
        <v>163</v>
      </c>
      <c r="W327" s="49">
        <v>157.4</v>
      </c>
      <c r="X327" s="49">
        <v>167.2</v>
      </c>
      <c r="Y327" s="49">
        <v>153.1</v>
      </c>
      <c r="Z327" s="49">
        <v>159.5</v>
      </c>
      <c r="AA327" s="49">
        <v>162</v>
      </c>
      <c r="AB327" s="49">
        <v>164.2</v>
      </c>
      <c r="AC327" s="49">
        <v>159.4</v>
      </c>
      <c r="AD327" s="49">
        <v>165.5</v>
      </c>
    </row>
    <row r="328" spans="1:30" x14ac:dyDescent="0.3">
      <c r="A328" s="49" t="s">
        <v>30</v>
      </c>
      <c r="B328" s="49">
        <v>2022</v>
      </c>
      <c r="C328" s="49" t="s">
        <v>45</v>
      </c>
      <c r="D328" s="49">
        <v>150</v>
      </c>
      <c r="E328" s="49">
        <v>200.6</v>
      </c>
      <c r="F328" s="49">
        <v>175.8</v>
      </c>
      <c r="G328" s="49">
        <v>160.69999999999999</v>
      </c>
      <c r="H328" s="49">
        <v>184.9</v>
      </c>
      <c r="I328" s="49">
        <v>153.69999999999999</v>
      </c>
      <c r="J328" s="49">
        <v>169.7</v>
      </c>
      <c r="K328" s="49">
        <v>163.69999999999999</v>
      </c>
      <c r="L328" s="49">
        <v>118.9</v>
      </c>
      <c r="M328" s="49">
        <v>174.3</v>
      </c>
      <c r="N328" s="49">
        <v>164.7</v>
      </c>
      <c r="O328" s="49">
        <v>178</v>
      </c>
      <c r="P328" s="49">
        <v>166.2</v>
      </c>
      <c r="Q328" s="49">
        <v>192.8</v>
      </c>
      <c r="R328" s="49">
        <v>170.8</v>
      </c>
      <c r="S328" s="49">
        <v>162.4</v>
      </c>
      <c r="T328" s="49">
        <v>169.6</v>
      </c>
      <c r="U328" s="49">
        <v>165.5</v>
      </c>
      <c r="V328" s="49">
        <v>165.7</v>
      </c>
      <c r="W328" s="49">
        <v>161.80000000000001</v>
      </c>
      <c r="X328" s="49">
        <v>172.2</v>
      </c>
      <c r="Y328" s="49">
        <v>156.9</v>
      </c>
      <c r="Z328" s="49">
        <v>162.1</v>
      </c>
      <c r="AA328" s="49">
        <v>165.4</v>
      </c>
      <c r="AB328" s="49">
        <v>164.4</v>
      </c>
      <c r="AC328" s="49">
        <v>163.5</v>
      </c>
      <c r="AD328" s="49">
        <v>166.1</v>
      </c>
    </row>
    <row r="329" spans="1:30" x14ac:dyDescent="0.3">
      <c r="A329" s="49" t="s">
        <v>41</v>
      </c>
      <c r="B329" s="49">
        <v>2022</v>
      </c>
      <c r="C329" s="49" t="s">
        <v>46</v>
      </c>
      <c r="D329" s="49">
        <v>150.19999999999999</v>
      </c>
      <c r="E329" s="49">
        <v>208</v>
      </c>
      <c r="F329" s="49">
        <v>167.9</v>
      </c>
      <c r="G329" s="49">
        <v>162</v>
      </c>
      <c r="H329" s="49">
        <v>203.1</v>
      </c>
      <c r="I329" s="49">
        <v>155.9</v>
      </c>
      <c r="J329" s="49">
        <v>155.80000000000001</v>
      </c>
      <c r="K329" s="49">
        <v>164.2</v>
      </c>
      <c r="L329" s="49">
        <v>118.1</v>
      </c>
      <c r="M329" s="49">
        <v>178.7</v>
      </c>
      <c r="N329" s="49">
        <v>171.2</v>
      </c>
      <c r="O329" s="49">
        <v>177.4</v>
      </c>
      <c r="P329" s="49">
        <v>166.6</v>
      </c>
      <c r="Q329" s="49">
        <v>192.3</v>
      </c>
      <c r="R329" s="49">
        <v>175.4</v>
      </c>
      <c r="S329" s="49">
        <v>173.2</v>
      </c>
      <c r="T329" s="49">
        <v>175.1</v>
      </c>
      <c r="U329" s="49" t="s">
        <v>43</v>
      </c>
      <c r="V329" s="49">
        <v>168.9</v>
      </c>
      <c r="W329" s="49">
        <v>166.5</v>
      </c>
      <c r="X329" s="49">
        <v>176</v>
      </c>
      <c r="Y329" s="49">
        <v>162</v>
      </c>
      <c r="Z329" s="49">
        <v>166.6</v>
      </c>
      <c r="AA329" s="49">
        <v>170.6</v>
      </c>
      <c r="AB329" s="49">
        <v>167.4</v>
      </c>
      <c r="AC329" s="49">
        <v>168.3</v>
      </c>
      <c r="AD329" s="49">
        <v>168.7</v>
      </c>
    </row>
    <row r="330" spans="1:30" x14ac:dyDescent="0.3">
      <c r="A330" s="49" t="s">
        <v>44</v>
      </c>
      <c r="B330" s="49">
        <v>2022</v>
      </c>
      <c r="C330" s="49" t="s">
        <v>46</v>
      </c>
      <c r="D330" s="49">
        <v>153.69999999999999</v>
      </c>
      <c r="E330" s="49">
        <v>215.8</v>
      </c>
      <c r="F330" s="49">
        <v>167.7</v>
      </c>
      <c r="G330" s="49">
        <v>162.6</v>
      </c>
      <c r="H330" s="49">
        <v>180</v>
      </c>
      <c r="I330" s="49">
        <v>159.6</v>
      </c>
      <c r="J330" s="49">
        <v>188.4</v>
      </c>
      <c r="K330" s="49">
        <v>163.4</v>
      </c>
      <c r="L330" s="49">
        <v>120.3</v>
      </c>
      <c r="M330" s="49">
        <v>174.7</v>
      </c>
      <c r="N330" s="49">
        <v>157.1</v>
      </c>
      <c r="O330" s="49">
        <v>181.5</v>
      </c>
      <c r="P330" s="49">
        <v>171.5</v>
      </c>
      <c r="Q330" s="49">
        <v>197.5</v>
      </c>
      <c r="R330" s="49">
        <v>167.1</v>
      </c>
      <c r="S330" s="49">
        <v>152.6</v>
      </c>
      <c r="T330" s="49">
        <v>164.9</v>
      </c>
      <c r="U330" s="49">
        <v>165.3</v>
      </c>
      <c r="V330" s="49">
        <v>164.5</v>
      </c>
      <c r="W330" s="49">
        <v>158.6</v>
      </c>
      <c r="X330" s="49">
        <v>168.2</v>
      </c>
      <c r="Y330" s="49">
        <v>154.19999999999999</v>
      </c>
      <c r="Z330" s="49">
        <v>160.80000000000001</v>
      </c>
      <c r="AA330" s="49">
        <v>162.69999999999999</v>
      </c>
      <c r="AB330" s="49">
        <v>166.8</v>
      </c>
      <c r="AC330" s="49">
        <v>160.6</v>
      </c>
      <c r="AD330" s="49">
        <v>166.5</v>
      </c>
    </row>
    <row r="331" spans="1:30" x14ac:dyDescent="0.3">
      <c r="A331" s="49" t="s">
        <v>30</v>
      </c>
      <c r="B331" s="49">
        <v>2022</v>
      </c>
      <c r="C331" s="49" t="s">
        <v>46</v>
      </c>
      <c r="D331" s="49">
        <v>151.30000000000001</v>
      </c>
      <c r="E331" s="49">
        <v>210.7</v>
      </c>
      <c r="F331" s="49">
        <v>167.8</v>
      </c>
      <c r="G331" s="49">
        <v>162.19999999999999</v>
      </c>
      <c r="H331" s="49">
        <v>194.6</v>
      </c>
      <c r="I331" s="49">
        <v>157.6</v>
      </c>
      <c r="J331" s="49">
        <v>166.9</v>
      </c>
      <c r="K331" s="49">
        <v>163.9</v>
      </c>
      <c r="L331" s="49">
        <v>118.8</v>
      </c>
      <c r="M331" s="49">
        <v>177.4</v>
      </c>
      <c r="N331" s="49">
        <v>165.3</v>
      </c>
      <c r="O331" s="49">
        <v>179.3</v>
      </c>
      <c r="P331" s="49">
        <v>168.4</v>
      </c>
      <c r="Q331" s="49">
        <v>193.7</v>
      </c>
      <c r="R331" s="49">
        <v>172.1</v>
      </c>
      <c r="S331" s="49">
        <v>164.6</v>
      </c>
      <c r="T331" s="49">
        <v>171.1</v>
      </c>
      <c r="U331" s="49">
        <v>165.3</v>
      </c>
      <c r="V331" s="49">
        <v>167.2</v>
      </c>
      <c r="W331" s="49">
        <v>162.80000000000001</v>
      </c>
      <c r="X331" s="49">
        <v>173</v>
      </c>
      <c r="Y331" s="49">
        <v>157.9</v>
      </c>
      <c r="Z331" s="49">
        <v>163.30000000000001</v>
      </c>
      <c r="AA331" s="49">
        <v>166</v>
      </c>
      <c r="AB331" s="49">
        <v>167.2</v>
      </c>
      <c r="AC331" s="49">
        <v>164.6</v>
      </c>
      <c r="AD331" s="49">
        <v>167.7</v>
      </c>
    </row>
    <row r="332" spans="1:30" x14ac:dyDescent="0.3">
      <c r="A332" s="49" t="s">
        <v>41</v>
      </c>
      <c r="B332" s="49">
        <v>2022</v>
      </c>
      <c r="C332" s="49" t="s">
        <v>47</v>
      </c>
      <c r="D332" s="49">
        <v>151.80000000000001</v>
      </c>
      <c r="E332" s="49">
        <v>209.7</v>
      </c>
      <c r="F332" s="49">
        <v>164.5</v>
      </c>
      <c r="G332" s="49">
        <v>163.80000000000001</v>
      </c>
      <c r="H332" s="49">
        <v>207.4</v>
      </c>
      <c r="I332" s="49">
        <v>169.7</v>
      </c>
      <c r="J332" s="49">
        <v>153.6</v>
      </c>
      <c r="K332" s="49">
        <v>165.1</v>
      </c>
      <c r="L332" s="49">
        <v>118.2</v>
      </c>
      <c r="M332" s="49">
        <v>182.9</v>
      </c>
      <c r="N332" s="49">
        <v>172.4</v>
      </c>
      <c r="O332" s="49">
        <v>178.9</v>
      </c>
      <c r="P332" s="49">
        <v>168.6</v>
      </c>
      <c r="Q332" s="49">
        <v>192.8</v>
      </c>
      <c r="R332" s="49">
        <v>177.5</v>
      </c>
      <c r="S332" s="49">
        <v>175.1</v>
      </c>
      <c r="T332" s="49">
        <v>177.1</v>
      </c>
      <c r="U332" s="49" t="s">
        <v>43</v>
      </c>
      <c r="V332" s="49">
        <v>173.3</v>
      </c>
      <c r="W332" s="49">
        <v>167.7</v>
      </c>
      <c r="X332" s="49">
        <v>177</v>
      </c>
      <c r="Y332" s="49">
        <v>166.2</v>
      </c>
      <c r="Z332" s="49">
        <v>167.2</v>
      </c>
      <c r="AA332" s="49">
        <v>170.9</v>
      </c>
      <c r="AB332" s="49">
        <v>169</v>
      </c>
      <c r="AC332" s="49">
        <v>170.2</v>
      </c>
      <c r="AD332" s="49">
        <v>170.8</v>
      </c>
    </row>
    <row r="333" spans="1:30" x14ac:dyDescent="0.3">
      <c r="A333" s="49" t="s">
        <v>44</v>
      </c>
      <c r="B333" s="49">
        <v>2022</v>
      </c>
      <c r="C333" s="49" t="s">
        <v>47</v>
      </c>
      <c r="D333" s="49">
        <v>155.4</v>
      </c>
      <c r="E333" s="49">
        <v>215.8</v>
      </c>
      <c r="F333" s="49">
        <v>164.6</v>
      </c>
      <c r="G333" s="49">
        <v>164.2</v>
      </c>
      <c r="H333" s="49">
        <v>186</v>
      </c>
      <c r="I333" s="49">
        <v>175.9</v>
      </c>
      <c r="J333" s="49">
        <v>190.7</v>
      </c>
      <c r="K333" s="49">
        <v>164</v>
      </c>
      <c r="L333" s="49">
        <v>120.5</v>
      </c>
      <c r="M333" s="49">
        <v>178</v>
      </c>
      <c r="N333" s="49">
        <v>157.5</v>
      </c>
      <c r="O333" s="49">
        <v>183.3</v>
      </c>
      <c r="P333" s="49">
        <v>174.5</v>
      </c>
      <c r="Q333" s="49">
        <v>197.1</v>
      </c>
      <c r="R333" s="49">
        <v>168.4</v>
      </c>
      <c r="S333" s="49">
        <v>154.5</v>
      </c>
      <c r="T333" s="49">
        <v>166.3</v>
      </c>
      <c r="U333" s="49">
        <v>167</v>
      </c>
      <c r="V333" s="49">
        <v>170.5</v>
      </c>
      <c r="W333" s="49">
        <v>159.80000000000001</v>
      </c>
      <c r="X333" s="49">
        <v>169</v>
      </c>
      <c r="Y333" s="49">
        <v>159.30000000000001</v>
      </c>
      <c r="Z333" s="49">
        <v>162.19999999999999</v>
      </c>
      <c r="AA333" s="49">
        <v>164</v>
      </c>
      <c r="AB333" s="49">
        <v>168.4</v>
      </c>
      <c r="AC333" s="49">
        <v>163.1</v>
      </c>
      <c r="AD333" s="49">
        <v>169.2</v>
      </c>
    </row>
    <row r="334" spans="1:30" x14ac:dyDescent="0.3">
      <c r="A334" s="49" t="s">
        <v>30</v>
      </c>
      <c r="B334" s="49">
        <v>2022</v>
      </c>
      <c r="C334" s="49" t="s">
        <v>47</v>
      </c>
      <c r="D334" s="49">
        <v>152.9</v>
      </c>
      <c r="E334" s="49">
        <v>211.8</v>
      </c>
      <c r="F334" s="49">
        <v>164.5</v>
      </c>
      <c r="G334" s="49">
        <v>163.9</v>
      </c>
      <c r="H334" s="49">
        <v>199.5</v>
      </c>
      <c r="I334" s="49">
        <v>172.6</v>
      </c>
      <c r="J334" s="49">
        <v>166.2</v>
      </c>
      <c r="K334" s="49">
        <v>164.7</v>
      </c>
      <c r="L334" s="49">
        <v>119</v>
      </c>
      <c r="M334" s="49">
        <v>181.3</v>
      </c>
      <c r="N334" s="49">
        <v>166.2</v>
      </c>
      <c r="O334" s="49">
        <v>180.9</v>
      </c>
      <c r="P334" s="49">
        <v>170.8</v>
      </c>
      <c r="Q334" s="49">
        <v>193.9</v>
      </c>
      <c r="R334" s="49">
        <v>173.9</v>
      </c>
      <c r="S334" s="49">
        <v>166.5</v>
      </c>
      <c r="T334" s="49">
        <v>172.8</v>
      </c>
      <c r="U334" s="49">
        <v>167</v>
      </c>
      <c r="V334" s="49">
        <v>172.2</v>
      </c>
      <c r="W334" s="49">
        <v>164</v>
      </c>
      <c r="X334" s="49">
        <v>174</v>
      </c>
      <c r="Y334" s="49">
        <v>162.6</v>
      </c>
      <c r="Z334" s="49">
        <v>164.4</v>
      </c>
      <c r="AA334" s="49">
        <v>166.9</v>
      </c>
      <c r="AB334" s="49">
        <v>168.8</v>
      </c>
      <c r="AC334" s="49">
        <v>166.8</v>
      </c>
      <c r="AD334" s="49">
        <v>170.1</v>
      </c>
    </row>
    <row r="335" spans="1:30" x14ac:dyDescent="0.3">
      <c r="A335" s="49" t="s">
        <v>41</v>
      </c>
      <c r="B335" s="49">
        <v>2022</v>
      </c>
      <c r="C335" s="49" t="s">
        <v>31</v>
      </c>
      <c r="D335" s="49">
        <v>152.9</v>
      </c>
      <c r="E335" s="49">
        <v>214.7</v>
      </c>
      <c r="F335" s="49">
        <v>161.4</v>
      </c>
      <c r="G335" s="49">
        <v>164.6</v>
      </c>
      <c r="H335" s="49">
        <v>209.9</v>
      </c>
      <c r="I335" s="49">
        <v>168</v>
      </c>
      <c r="J335" s="49">
        <v>160.4</v>
      </c>
      <c r="K335" s="49">
        <v>165</v>
      </c>
      <c r="L335" s="49">
        <v>118.9</v>
      </c>
      <c r="M335" s="49">
        <v>186.6</v>
      </c>
      <c r="N335" s="49">
        <v>173.2</v>
      </c>
      <c r="O335" s="49">
        <v>180.4</v>
      </c>
      <c r="P335" s="49">
        <v>170.8</v>
      </c>
      <c r="Q335" s="49">
        <v>192.9</v>
      </c>
      <c r="R335" s="49">
        <v>179.3</v>
      </c>
      <c r="S335" s="49">
        <v>177.2</v>
      </c>
      <c r="T335" s="49">
        <v>179</v>
      </c>
      <c r="U335" s="49" t="s">
        <v>43</v>
      </c>
      <c r="V335" s="49">
        <v>175.3</v>
      </c>
      <c r="W335" s="49">
        <v>168.9</v>
      </c>
      <c r="X335" s="49">
        <v>177.7</v>
      </c>
      <c r="Y335" s="49">
        <v>167.1</v>
      </c>
      <c r="Z335" s="49">
        <v>167.6</v>
      </c>
      <c r="AA335" s="49">
        <v>171.8</v>
      </c>
      <c r="AB335" s="49">
        <v>168.5</v>
      </c>
      <c r="AC335" s="49">
        <v>170.9</v>
      </c>
      <c r="AD335" s="49">
        <v>172.5</v>
      </c>
    </row>
    <row r="336" spans="1:30" x14ac:dyDescent="0.3">
      <c r="A336" s="49" t="s">
        <v>44</v>
      </c>
      <c r="B336" s="49">
        <v>2022</v>
      </c>
      <c r="C336" s="49" t="s">
        <v>31</v>
      </c>
      <c r="D336" s="49">
        <v>156.69999999999999</v>
      </c>
      <c r="E336" s="49">
        <v>221.2</v>
      </c>
      <c r="F336" s="49">
        <v>164.1</v>
      </c>
      <c r="G336" s="49">
        <v>165.4</v>
      </c>
      <c r="H336" s="49">
        <v>189.5</v>
      </c>
      <c r="I336" s="49">
        <v>174.5</v>
      </c>
      <c r="J336" s="49">
        <v>203.2</v>
      </c>
      <c r="K336" s="49">
        <v>164.1</v>
      </c>
      <c r="L336" s="49">
        <v>121.2</v>
      </c>
      <c r="M336" s="49">
        <v>181.4</v>
      </c>
      <c r="N336" s="49">
        <v>158.5</v>
      </c>
      <c r="O336" s="49">
        <v>184.9</v>
      </c>
      <c r="P336" s="49">
        <v>177.5</v>
      </c>
      <c r="Q336" s="49">
        <v>197.5</v>
      </c>
      <c r="R336" s="49">
        <v>170</v>
      </c>
      <c r="S336" s="49">
        <v>155.9</v>
      </c>
      <c r="T336" s="49">
        <v>167.8</v>
      </c>
      <c r="U336" s="49">
        <v>167.5</v>
      </c>
      <c r="V336" s="49">
        <v>173.5</v>
      </c>
      <c r="W336" s="49">
        <v>161.1</v>
      </c>
      <c r="X336" s="49">
        <v>170.1</v>
      </c>
      <c r="Y336" s="49">
        <v>159.4</v>
      </c>
      <c r="Z336" s="49">
        <v>163.19999999999999</v>
      </c>
      <c r="AA336" s="49">
        <v>165.2</v>
      </c>
      <c r="AB336" s="49">
        <v>168.2</v>
      </c>
      <c r="AC336" s="49">
        <v>163.80000000000001</v>
      </c>
      <c r="AD336" s="49">
        <v>170.8</v>
      </c>
    </row>
    <row r="337" spans="1:30" x14ac:dyDescent="0.3">
      <c r="A337" s="49" t="s">
        <v>30</v>
      </c>
      <c r="B337" s="49">
        <v>2022</v>
      </c>
      <c r="C337" s="49" t="s">
        <v>31</v>
      </c>
      <c r="D337" s="49">
        <v>154.1</v>
      </c>
      <c r="E337" s="49">
        <v>217</v>
      </c>
      <c r="F337" s="49">
        <v>162.4</v>
      </c>
      <c r="G337" s="49">
        <v>164.9</v>
      </c>
      <c r="H337" s="49">
        <v>202.4</v>
      </c>
      <c r="I337" s="49">
        <v>171</v>
      </c>
      <c r="J337" s="49">
        <v>174.9</v>
      </c>
      <c r="K337" s="49">
        <v>164.7</v>
      </c>
      <c r="L337" s="49">
        <v>119.7</v>
      </c>
      <c r="M337" s="49">
        <v>184.9</v>
      </c>
      <c r="N337" s="49">
        <v>167.1</v>
      </c>
      <c r="O337" s="49">
        <v>182.5</v>
      </c>
      <c r="P337" s="49">
        <v>173.3</v>
      </c>
      <c r="Q337" s="49">
        <v>194.1</v>
      </c>
      <c r="R337" s="49">
        <v>175.6</v>
      </c>
      <c r="S337" s="49">
        <v>168.4</v>
      </c>
      <c r="T337" s="49">
        <v>174.6</v>
      </c>
      <c r="U337" s="49">
        <v>167.5</v>
      </c>
      <c r="V337" s="49">
        <v>174.6</v>
      </c>
      <c r="W337" s="49">
        <v>165.2</v>
      </c>
      <c r="X337" s="49">
        <v>174.8</v>
      </c>
      <c r="Y337" s="49">
        <v>163</v>
      </c>
      <c r="Z337" s="49">
        <v>165.1</v>
      </c>
      <c r="AA337" s="49">
        <v>167.9</v>
      </c>
      <c r="AB337" s="49">
        <v>168.4</v>
      </c>
      <c r="AC337" s="49">
        <v>167.5</v>
      </c>
      <c r="AD337" s="49">
        <v>171.7</v>
      </c>
    </row>
    <row r="338" spans="1:30" x14ac:dyDescent="0.3">
      <c r="A338" s="49" t="s">
        <v>41</v>
      </c>
      <c r="B338" s="49">
        <v>2022</v>
      </c>
      <c r="C338" s="49" t="s">
        <v>48</v>
      </c>
      <c r="D338" s="49">
        <v>153.80000000000001</v>
      </c>
      <c r="E338" s="49">
        <v>217.2</v>
      </c>
      <c r="F338" s="49">
        <v>169.6</v>
      </c>
      <c r="G338" s="49">
        <v>165.4</v>
      </c>
      <c r="H338" s="49">
        <v>208.1</v>
      </c>
      <c r="I338" s="49">
        <v>165.8</v>
      </c>
      <c r="J338" s="49">
        <v>167.3</v>
      </c>
      <c r="K338" s="49">
        <v>164.6</v>
      </c>
      <c r="L338" s="49">
        <v>119.1</v>
      </c>
      <c r="M338" s="49">
        <v>188.9</v>
      </c>
      <c r="N338" s="49">
        <v>174.2</v>
      </c>
      <c r="O338" s="49">
        <v>181.9</v>
      </c>
      <c r="P338" s="49">
        <v>172.4</v>
      </c>
      <c r="Q338" s="49">
        <v>192.9</v>
      </c>
      <c r="R338" s="49">
        <v>180.7</v>
      </c>
      <c r="S338" s="49">
        <v>178.7</v>
      </c>
      <c r="T338" s="49">
        <v>180.4</v>
      </c>
      <c r="U338" s="49" t="s">
        <v>43</v>
      </c>
      <c r="V338" s="49">
        <v>176.7</v>
      </c>
      <c r="W338" s="49">
        <v>170.3</v>
      </c>
      <c r="X338" s="49">
        <v>178.2</v>
      </c>
      <c r="Y338" s="49">
        <v>165.5</v>
      </c>
      <c r="Z338" s="49">
        <v>168</v>
      </c>
      <c r="AA338" s="49">
        <v>172.6</v>
      </c>
      <c r="AB338" s="49">
        <v>169.5</v>
      </c>
      <c r="AC338" s="49">
        <v>171</v>
      </c>
      <c r="AD338" s="49">
        <v>173.6</v>
      </c>
    </row>
    <row r="339" spans="1:30" x14ac:dyDescent="0.3">
      <c r="A339" s="49" t="s">
        <v>44</v>
      </c>
      <c r="B339" s="49">
        <v>2022</v>
      </c>
      <c r="C339" s="49" t="s">
        <v>48</v>
      </c>
      <c r="D339" s="49">
        <v>157.5</v>
      </c>
      <c r="E339" s="49">
        <v>223.4</v>
      </c>
      <c r="F339" s="49">
        <v>172.8</v>
      </c>
      <c r="G339" s="49">
        <v>166.4</v>
      </c>
      <c r="H339" s="49">
        <v>188.6</v>
      </c>
      <c r="I339" s="49">
        <v>174.1</v>
      </c>
      <c r="J339" s="49">
        <v>211.5</v>
      </c>
      <c r="K339" s="49">
        <v>163.6</v>
      </c>
      <c r="L339" s="49">
        <v>121.4</v>
      </c>
      <c r="M339" s="49">
        <v>183.5</v>
      </c>
      <c r="N339" s="49">
        <v>159.1</v>
      </c>
      <c r="O339" s="49">
        <v>186.3</v>
      </c>
      <c r="P339" s="49">
        <v>179.3</v>
      </c>
      <c r="Q339" s="49">
        <v>198.3</v>
      </c>
      <c r="R339" s="49">
        <v>171.6</v>
      </c>
      <c r="S339" s="49">
        <v>157.4</v>
      </c>
      <c r="T339" s="49">
        <v>169.4</v>
      </c>
      <c r="U339" s="49">
        <v>166.8</v>
      </c>
      <c r="V339" s="49">
        <v>174.9</v>
      </c>
      <c r="W339" s="49">
        <v>162.1</v>
      </c>
      <c r="X339" s="49">
        <v>170.9</v>
      </c>
      <c r="Y339" s="49">
        <v>157.19999999999999</v>
      </c>
      <c r="Z339" s="49">
        <v>164.1</v>
      </c>
      <c r="AA339" s="49">
        <v>166.5</v>
      </c>
      <c r="AB339" s="49">
        <v>169.2</v>
      </c>
      <c r="AC339" s="49">
        <v>163.80000000000001</v>
      </c>
      <c r="AD339" s="49">
        <v>171.4</v>
      </c>
    </row>
    <row r="340" spans="1:30" x14ac:dyDescent="0.3">
      <c r="A340" s="49" t="s">
        <v>30</v>
      </c>
      <c r="B340" s="49">
        <v>2022</v>
      </c>
      <c r="C340" s="49" t="s">
        <v>48</v>
      </c>
      <c r="D340" s="49">
        <v>155</v>
      </c>
      <c r="E340" s="49">
        <v>219.4</v>
      </c>
      <c r="F340" s="49">
        <v>170.8</v>
      </c>
      <c r="G340" s="49">
        <v>165.8</v>
      </c>
      <c r="H340" s="49">
        <v>200.9</v>
      </c>
      <c r="I340" s="49">
        <v>169.7</v>
      </c>
      <c r="J340" s="49">
        <v>182.3</v>
      </c>
      <c r="K340" s="49">
        <v>164.3</v>
      </c>
      <c r="L340" s="49">
        <v>119.9</v>
      </c>
      <c r="M340" s="49">
        <v>187.1</v>
      </c>
      <c r="N340" s="49">
        <v>167.9</v>
      </c>
      <c r="O340" s="49">
        <v>183.9</v>
      </c>
      <c r="P340" s="49">
        <v>174.9</v>
      </c>
      <c r="Q340" s="49">
        <v>194.3</v>
      </c>
      <c r="R340" s="49">
        <v>177.1</v>
      </c>
      <c r="S340" s="49">
        <v>169.9</v>
      </c>
      <c r="T340" s="49">
        <v>176</v>
      </c>
      <c r="U340" s="49">
        <v>166.8</v>
      </c>
      <c r="V340" s="49">
        <v>176</v>
      </c>
      <c r="W340" s="49">
        <v>166.4</v>
      </c>
      <c r="X340" s="49">
        <v>175.4</v>
      </c>
      <c r="Y340" s="49">
        <v>161.1</v>
      </c>
      <c r="Z340" s="49">
        <v>165.8</v>
      </c>
      <c r="AA340" s="49">
        <v>169</v>
      </c>
      <c r="AB340" s="49">
        <v>169.4</v>
      </c>
      <c r="AC340" s="49">
        <v>167.5</v>
      </c>
      <c r="AD340" s="49">
        <v>172.6</v>
      </c>
    </row>
    <row r="341" spans="1:30" x14ac:dyDescent="0.3">
      <c r="A341" s="49" t="s">
        <v>41</v>
      </c>
      <c r="B341" s="49">
        <v>2022</v>
      </c>
      <c r="C341" s="49" t="s">
        <v>49</v>
      </c>
      <c r="D341" s="49">
        <v>155.19999999999999</v>
      </c>
      <c r="E341" s="49">
        <v>210.8</v>
      </c>
      <c r="F341" s="49">
        <v>174.3</v>
      </c>
      <c r="G341" s="49">
        <v>166.3</v>
      </c>
      <c r="H341" s="49">
        <v>202.2</v>
      </c>
      <c r="I341" s="49">
        <v>169.6</v>
      </c>
      <c r="J341" s="49">
        <v>168.6</v>
      </c>
      <c r="K341" s="49">
        <v>164.4</v>
      </c>
      <c r="L341" s="49">
        <v>119.2</v>
      </c>
      <c r="M341" s="49">
        <v>191.8</v>
      </c>
      <c r="N341" s="49">
        <v>174.5</v>
      </c>
      <c r="O341" s="49">
        <v>183.1</v>
      </c>
      <c r="P341" s="49">
        <v>172.5</v>
      </c>
      <c r="Q341" s="49">
        <v>193.2</v>
      </c>
      <c r="R341" s="49">
        <v>182</v>
      </c>
      <c r="S341" s="49">
        <v>180.3</v>
      </c>
      <c r="T341" s="49">
        <v>181.7</v>
      </c>
      <c r="U341" s="49" t="s">
        <v>43</v>
      </c>
      <c r="V341" s="49">
        <v>179.6</v>
      </c>
      <c r="W341" s="49">
        <v>171.3</v>
      </c>
      <c r="X341" s="49">
        <v>178.8</v>
      </c>
      <c r="Y341" s="49">
        <v>166.3</v>
      </c>
      <c r="Z341" s="49">
        <v>168.6</v>
      </c>
      <c r="AA341" s="49">
        <v>174.7</v>
      </c>
      <c r="AB341" s="49">
        <v>169.7</v>
      </c>
      <c r="AC341" s="49">
        <v>171.8</v>
      </c>
      <c r="AD341" s="49">
        <v>174.3</v>
      </c>
    </row>
    <row r="342" spans="1:30" x14ac:dyDescent="0.3">
      <c r="A342" s="49" t="s">
        <v>44</v>
      </c>
      <c r="B342" s="49">
        <v>2022</v>
      </c>
      <c r="C342" s="49" t="s">
        <v>49</v>
      </c>
      <c r="D342" s="49">
        <v>159.30000000000001</v>
      </c>
      <c r="E342" s="49">
        <v>217.1</v>
      </c>
      <c r="F342" s="49">
        <v>176.6</v>
      </c>
      <c r="G342" s="49">
        <v>167.1</v>
      </c>
      <c r="H342" s="49">
        <v>184.8</v>
      </c>
      <c r="I342" s="49">
        <v>179.5</v>
      </c>
      <c r="J342" s="49">
        <v>208.5</v>
      </c>
      <c r="K342" s="49">
        <v>164</v>
      </c>
      <c r="L342" s="49">
        <v>121.5</v>
      </c>
      <c r="M342" s="49">
        <v>186.3</v>
      </c>
      <c r="N342" s="49">
        <v>159.80000000000001</v>
      </c>
      <c r="O342" s="49">
        <v>187.7</v>
      </c>
      <c r="P342" s="49">
        <v>179.4</v>
      </c>
      <c r="Q342" s="49">
        <v>198.6</v>
      </c>
      <c r="R342" s="49">
        <v>172.7</v>
      </c>
      <c r="S342" s="49">
        <v>158.69999999999999</v>
      </c>
      <c r="T342" s="49">
        <v>170.6</v>
      </c>
      <c r="U342" s="49">
        <v>167.8</v>
      </c>
      <c r="V342" s="49">
        <v>179.5</v>
      </c>
      <c r="W342" s="49">
        <v>163.1</v>
      </c>
      <c r="X342" s="49">
        <v>171.7</v>
      </c>
      <c r="Y342" s="49">
        <v>157.4</v>
      </c>
      <c r="Z342" s="49">
        <v>164.6</v>
      </c>
      <c r="AA342" s="49">
        <v>169.1</v>
      </c>
      <c r="AB342" s="49">
        <v>169.8</v>
      </c>
      <c r="AC342" s="49">
        <v>164.7</v>
      </c>
      <c r="AD342" s="49">
        <v>172.3</v>
      </c>
    </row>
    <row r="343" spans="1:30" x14ac:dyDescent="0.3">
      <c r="A343" s="49" t="s">
        <v>30</v>
      </c>
      <c r="B343" s="49">
        <v>2022</v>
      </c>
      <c r="C343" s="49" t="s">
        <v>49</v>
      </c>
      <c r="D343" s="49">
        <v>156.5</v>
      </c>
      <c r="E343" s="49">
        <v>213</v>
      </c>
      <c r="F343" s="49">
        <v>175.2</v>
      </c>
      <c r="G343" s="49">
        <v>166.6</v>
      </c>
      <c r="H343" s="49">
        <v>195.8</v>
      </c>
      <c r="I343" s="49">
        <v>174.2</v>
      </c>
      <c r="J343" s="49">
        <v>182.1</v>
      </c>
      <c r="K343" s="49">
        <v>164.3</v>
      </c>
      <c r="L343" s="49">
        <v>120</v>
      </c>
      <c r="M343" s="49">
        <v>190</v>
      </c>
      <c r="N343" s="49">
        <v>168.4</v>
      </c>
      <c r="O343" s="49">
        <v>185.2</v>
      </c>
      <c r="P343" s="49">
        <v>175</v>
      </c>
      <c r="Q343" s="49">
        <v>194.6</v>
      </c>
      <c r="R343" s="49">
        <v>178.3</v>
      </c>
      <c r="S343" s="49">
        <v>171.3</v>
      </c>
      <c r="T343" s="49">
        <v>177.3</v>
      </c>
      <c r="U343" s="49">
        <v>167.8</v>
      </c>
      <c r="V343" s="49">
        <v>179.6</v>
      </c>
      <c r="W343" s="49">
        <v>167.4</v>
      </c>
      <c r="X343" s="49">
        <v>176.1</v>
      </c>
      <c r="Y343" s="49">
        <v>161.6</v>
      </c>
      <c r="Z343" s="49">
        <v>166.3</v>
      </c>
      <c r="AA343" s="49">
        <v>171.4</v>
      </c>
      <c r="AB343" s="49">
        <v>169.7</v>
      </c>
      <c r="AC343" s="49">
        <v>168.4</v>
      </c>
      <c r="AD343" s="49">
        <v>173.4</v>
      </c>
    </row>
    <row r="344" spans="1:30" x14ac:dyDescent="0.3">
      <c r="A344" s="49" t="s">
        <v>41</v>
      </c>
      <c r="B344" s="49">
        <v>2022</v>
      </c>
      <c r="C344" s="49" t="s">
        <v>50</v>
      </c>
      <c r="D344" s="49">
        <v>159.5</v>
      </c>
      <c r="E344" s="49">
        <v>204.1</v>
      </c>
      <c r="F344" s="49">
        <v>168.3</v>
      </c>
      <c r="G344" s="49">
        <v>167.9</v>
      </c>
      <c r="H344" s="49">
        <v>198.1</v>
      </c>
      <c r="I344" s="49">
        <v>169.2</v>
      </c>
      <c r="J344" s="49">
        <v>173.1</v>
      </c>
      <c r="K344" s="49">
        <v>167.1</v>
      </c>
      <c r="L344" s="49">
        <v>120.2</v>
      </c>
      <c r="M344" s="49">
        <v>195.6</v>
      </c>
      <c r="N344" s="49">
        <v>174.8</v>
      </c>
      <c r="O344" s="49">
        <v>184</v>
      </c>
      <c r="P344" s="49">
        <v>173.9</v>
      </c>
      <c r="Q344" s="49">
        <v>193.7</v>
      </c>
      <c r="R344" s="49">
        <v>183.2</v>
      </c>
      <c r="S344" s="49">
        <v>181.7</v>
      </c>
      <c r="T344" s="49">
        <v>183</v>
      </c>
      <c r="U344" s="49" t="s">
        <v>43</v>
      </c>
      <c r="V344" s="49">
        <v>179.1</v>
      </c>
      <c r="W344" s="49">
        <v>172.3</v>
      </c>
      <c r="X344" s="49">
        <v>179.4</v>
      </c>
      <c r="Y344" s="49">
        <v>166.6</v>
      </c>
      <c r="Z344" s="49">
        <v>169.3</v>
      </c>
      <c r="AA344" s="49">
        <v>175.7</v>
      </c>
      <c r="AB344" s="49">
        <v>171.1</v>
      </c>
      <c r="AC344" s="49">
        <v>172.6</v>
      </c>
      <c r="AD344" s="49">
        <v>175.3</v>
      </c>
    </row>
    <row r="345" spans="1:30" x14ac:dyDescent="0.3">
      <c r="A345" s="49" t="s">
        <v>44</v>
      </c>
      <c r="B345" s="49">
        <v>2022</v>
      </c>
      <c r="C345" s="49" t="s">
        <v>50</v>
      </c>
      <c r="D345" s="49">
        <v>162.1</v>
      </c>
      <c r="E345" s="49">
        <v>210.9</v>
      </c>
      <c r="F345" s="49">
        <v>170.6</v>
      </c>
      <c r="G345" s="49">
        <v>168.4</v>
      </c>
      <c r="H345" s="49">
        <v>182.5</v>
      </c>
      <c r="I345" s="49">
        <v>177.1</v>
      </c>
      <c r="J345" s="49">
        <v>213.1</v>
      </c>
      <c r="K345" s="49">
        <v>167.3</v>
      </c>
      <c r="L345" s="49">
        <v>122.2</v>
      </c>
      <c r="M345" s="49">
        <v>189.7</v>
      </c>
      <c r="N345" s="49">
        <v>160.5</v>
      </c>
      <c r="O345" s="49">
        <v>188.9</v>
      </c>
      <c r="P345" s="49">
        <v>180.4</v>
      </c>
      <c r="Q345" s="49">
        <v>198.7</v>
      </c>
      <c r="R345" s="49">
        <v>173.7</v>
      </c>
      <c r="S345" s="49">
        <v>160</v>
      </c>
      <c r="T345" s="49">
        <v>171.6</v>
      </c>
      <c r="U345" s="49">
        <v>169</v>
      </c>
      <c r="V345" s="49">
        <v>178.4</v>
      </c>
      <c r="W345" s="49">
        <v>164.2</v>
      </c>
      <c r="X345" s="49">
        <v>172.6</v>
      </c>
      <c r="Y345" s="49">
        <v>157.69999999999999</v>
      </c>
      <c r="Z345" s="49">
        <v>165.1</v>
      </c>
      <c r="AA345" s="49">
        <v>169.9</v>
      </c>
      <c r="AB345" s="49">
        <v>171.4</v>
      </c>
      <c r="AC345" s="49">
        <v>165.4</v>
      </c>
      <c r="AD345" s="49">
        <v>173.1</v>
      </c>
    </row>
    <row r="346" spans="1:30" x14ac:dyDescent="0.3">
      <c r="A346" s="49" t="s">
        <v>30</v>
      </c>
      <c r="B346" s="49">
        <v>2022</v>
      </c>
      <c r="C346" s="49" t="s">
        <v>50</v>
      </c>
      <c r="D346" s="49">
        <v>160.30000000000001</v>
      </c>
      <c r="E346" s="49">
        <v>206.5</v>
      </c>
      <c r="F346" s="49">
        <v>169.2</v>
      </c>
      <c r="G346" s="49">
        <v>168.1</v>
      </c>
      <c r="H346" s="49">
        <v>192.4</v>
      </c>
      <c r="I346" s="49">
        <v>172.9</v>
      </c>
      <c r="J346" s="49">
        <v>186.7</v>
      </c>
      <c r="K346" s="49">
        <v>167.2</v>
      </c>
      <c r="L346" s="49">
        <v>120.9</v>
      </c>
      <c r="M346" s="49">
        <v>193.6</v>
      </c>
      <c r="N346" s="49">
        <v>168.8</v>
      </c>
      <c r="O346" s="49">
        <v>186.3</v>
      </c>
      <c r="P346" s="49">
        <v>176.3</v>
      </c>
      <c r="Q346" s="49">
        <v>195</v>
      </c>
      <c r="R346" s="49">
        <v>179.5</v>
      </c>
      <c r="S346" s="49">
        <v>172.7</v>
      </c>
      <c r="T346" s="49">
        <v>178.5</v>
      </c>
      <c r="U346" s="49">
        <v>169</v>
      </c>
      <c r="V346" s="49">
        <v>178.8</v>
      </c>
      <c r="W346" s="49">
        <v>168.5</v>
      </c>
      <c r="X346" s="49">
        <v>176.8</v>
      </c>
      <c r="Y346" s="49">
        <v>161.9</v>
      </c>
      <c r="Z346" s="49">
        <v>166.9</v>
      </c>
      <c r="AA346" s="49">
        <v>172.3</v>
      </c>
      <c r="AB346" s="49">
        <v>171.2</v>
      </c>
      <c r="AC346" s="49">
        <v>169.1</v>
      </c>
      <c r="AD346" s="49">
        <v>174.3</v>
      </c>
    </row>
    <row r="347" spans="1:30" x14ac:dyDescent="0.3">
      <c r="A347" s="49" t="s">
        <v>41</v>
      </c>
      <c r="B347" s="49">
        <v>2022</v>
      </c>
      <c r="C347" s="49" t="s">
        <v>51</v>
      </c>
      <c r="D347" s="49">
        <v>162.9</v>
      </c>
      <c r="E347" s="49">
        <v>206.7</v>
      </c>
      <c r="F347" s="49">
        <v>169</v>
      </c>
      <c r="G347" s="49">
        <v>169.5</v>
      </c>
      <c r="H347" s="49">
        <v>194.1</v>
      </c>
      <c r="I347" s="49">
        <v>164.1</v>
      </c>
      <c r="J347" s="49">
        <v>176.9</v>
      </c>
      <c r="K347" s="49">
        <v>169</v>
      </c>
      <c r="L347" s="49">
        <v>120.8</v>
      </c>
      <c r="M347" s="49">
        <v>199.1</v>
      </c>
      <c r="N347" s="49">
        <v>175.4</v>
      </c>
      <c r="O347" s="49">
        <v>184.8</v>
      </c>
      <c r="P347" s="49">
        <v>175.5</v>
      </c>
      <c r="Q347" s="49">
        <v>194.5</v>
      </c>
      <c r="R347" s="49">
        <v>184.7</v>
      </c>
      <c r="S347" s="49">
        <v>183.3</v>
      </c>
      <c r="T347" s="49">
        <v>184.5</v>
      </c>
      <c r="U347" s="49" t="s">
        <v>43</v>
      </c>
      <c r="V347" s="49">
        <v>179.7</v>
      </c>
      <c r="W347" s="49">
        <v>173.6</v>
      </c>
      <c r="X347" s="49">
        <v>180.2</v>
      </c>
      <c r="Y347" s="49">
        <v>166.9</v>
      </c>
      <c r="Z347" s="49">
        <v>170</v>
      </c>
      <c r="AA347" s="49">
        <v>176.2</v>
      </c>
      <c r="AB347" s="49">
        <v>170.8</v>
      </c>
      <c r="AC347" s="49">
        <v>173.1</v>
      </c>
      <c r="AD347" s="49">
        <v>176.4</v>
      </c>
    </row>
    <row r="348" spans="1:30" x14ac:dyDescent="0.3">
      <c r="A348" s="49" t="s">
        <v>44</v>
      </c>
      <c r="B348" s="49">
        <v>2022</v>
      </c>
      <c r="C348" s="49" t="s">
        <v>51</v>
      </c>
      <c r="D348" s="49">
        <v>164.9</v>
      </c>
      <c r="E348" s="49">
        <v>213.7</v>
      </c>
      <c r="F348" s="49">
        <v>170.9</v>
      </c>
      <c r="G348" s="49">
        <v>170.1</v>
      </c>
      <c r="H348" s="49">
        <v>179.3</v>
      </c>
      <c r="I348" s="49">
        <v>167.5</v>
      </c>
      <c r="J348" s="49">
        <v>220.8</v>
      </c>
      <c r="K348" s="49">
        <v>169.2</v>
      </c>
      <c r="L348" s="49">
        <v>123.1</v>
      </c>
      <c r="M348" s="49">
        <v>193.6</v>
      </c>
      <c r="N348" s="49">
        <v>161.1</v>
      </c>
      <c r="O348" s="49">
        <v>190.4</v>
      </c>
      <c r="P348" s="49">
        <v>181.8</v>
      </c>
      <c r="Q348" s="49">
        <v>199.7</v>
      </c>
      <c r="R348" s="49">
        <v>175</v>
      </c>
      <c r="S348" s="49">
        <v>161.69999999999999</v>
      </c>
      <c r="T348" s="49">
        <v>173</v>
      </c>
      <c r="U348" s="49">
        <v>169.5</v>
      </c>
      <c r="V348" s="49">
        <v>179.2</v>
      </c>
      <c r="W348" s="49">
        <v>165</v>
      </c>
      <c r="X348" s="49">
        <v>173.8</v>
      </c>
      <c r="Y348" s="49">
        <v>158.19999999999999</v>
      </c>
      <c r="Z348" s="49">
        <v>165.8</v>
      </c>
      <c r="AA348" s="49">
        <v>170.9</v>
      </c>
      <c r="AB348" s="49">
        <v>171.1</v>
      </c>
      <c r="AC348" s="49">
        <v>166.1</v>
      </c>
      <c r="AD348" s="49">
        <v>174.1</v>
      </c>
    </row>
    <row r="349" spans="1:30" x14ac:dyDescent="0.3">
      <c r="A349" s="49" t="s">
        <v>30</v>
      </c>
      <c r="B349" s="49">
        <v>2022</v>
      </c>
      <c r="C349" s="49" t="s">
        <v>51</v>
      </c>
      <c r="D349" s="49">
        <v>163.5</v>
      </c>
      <c r="E349" s="49">
        <v>209.2</v>
      </c>
      <c r="F349" s="49">
        <v>169.7</v>
      </c>
      <c r="G349" s="49">
        <v>169.7</v>
      </c>
      <c r="H349" s="49">
        <v>188.7</v>
      </c>
      <c r="I349" s="49">
        <v>165.7</v>
      </c>
      <c r="J349" s="49">
        <v>191.8</v>
      </c>
      <c r="K349" s="49">
        <v>169.1</v>
      </c>
      <c r="L349" s="49">
        <v>121.6</v>
      </c>
      <c r="M349" s="49">
        <v>197.3</v>
      </c>
      <c r="N349" s="49">
        <v>169.4</v>
      </c>
      <c r="O349" s="49">
        <v>187.4</v>
      </c>
      <c r="P349" s="49">
        <v>177.8</v>
      </c>
      <c r="Q349" s="49">
        <v>195.9</v>
      </c>
      <c r="R349" s="49">
        <v>180.9</v>
      </c>
      <c r="S349" s="49">
        <v>174.3</v>
      </c>
      <c r="T349" s="49">
        <v>179.9</v>
      </c>
      <c r="U349" s="49">
        <v>169.5</v>
      </c>
      <c r="V349" s="49">
        <v>179.5</v>
      </c>
      <c r="W349" s="49">
        <v>169.5</v>
      </c>
      <c r="X349" s="49">
        <v>177.8</v>
      </c>
      <c r="Y349" s="49">
        <v>162.30000000000001</v>
      </c>
      <c r="Z349" s="49">
        <v>167.6</v>
      </c>
      <c r="AA349" s="49">
        <v>173.1</v>
      </c>
      <c r="AB349" s="49">
        <v>170.9</v>
      </c>
      <c r="AC349" s="49">
        <v>169.7</v>
      </c>
      <c r="AD349" s="49">
        <v>175.3</v>
      </c>
    </row>
    <row r="350" spans="1:30" x14ac:dyDescent="0.3">
      <c r="A350" s="49" t="s">
        <v>41</v>
      </c>
      <c r="B350" s="49">
        <v>2022</v>
      </c>
      <c r="C350" s="49" t="s">
        <v>52</v>
      </c>
      <c r="D350" s="49">
        <v>164.7</v>
      </c>
      <c r="E350" s="49">
        <v>208.8</v>
      </c>
      <c r="F350" s="49">
        <v>170.3</v>
      </c>
      <c r="G350" s="49">
        <v>170.9</v>
      </c>
      <c r="H350" s="49">
        <v>191.6</v>
      </c>
      <c r="I350" s="49">
        <v>162.19999999999999</v>
      </c>
      <c r="J350" s="49">
        <v>184.8</v>
      </c>
      <c r="K350" s="49">
        <v>169.7</v>
      </c>
      <c r="L350" s="49">
        <v>121.1</v>
      </c>
      <c r="M350" s="49">
        <v>201.6</v>
      </c>
      <c r="N350" s="49">
        <v>175.8</v>
      </c>
      <c r="O350" s="49">
        <v>185.6</v>
      </c>
      <c r="P350" s="49">
        <v>177.4</v>
      </c>
      <c r="Q350" s="49">
        <v>194.9</v>
      </c>
      <c r="R350" s="49">
        <v>186.1</v>
      </c>
      <c r="S350" s="49">
        <v>184.4</v>
      </c>
      <c r="T350" s="49">
        <v>185.9</v>
      </c>
      <c r="U350" s="49" t="s">
        <v>43</v>
      </c>
      <c r="V350" s="49">
        <v>180.8</v>
      </c>
      <c r="W350" s="49">
        <v>174.4</v>
      </c>
      <c r="X350" s="49">
        <v>181.2</v>
      </c>
      <c r="Y350" s="49">
        <v>167.4</v>
      </c>
      <c r="Z350" s="49">
        <v>170.6</v>
      </c>
      <c r="AA350" s="49">
        <v>176.5</v>
      </c>
      <c r="AB350" s="49">
        <v>172</v>
      </c>
      <c r="AC350" s="49">
        <v>173.9</v>
      </c>
      <c r="AD350" s="49">
        <v>177.9</v>
      </c>
    </row>
    <row r="351" spans="1:30" x14ac:dyDescent="0.3">
      <c r="A351" s="49" t="s">
        <v>44</v>
      </c>
      <c r="B351" s="49">
        <v>2022</v>
      </c>
      <c r="C351" s="49" t="s">
        <v>52</v>
      </c>
      <c r="D351" s="49">
        <v>166.4</v>
      </c>
      <c r="E351" s="49">
        <v>214.9</v>
      </c>
      <c r="F351" s="49">
        <v>171.9</v>
      </c>
      <c r="G351" s="49">
        <v>171</v>
      </c>
      <c r="H351" s="49">
        <v>177.7</v>
      </c>
      <c r="I351" s="49">
        <v>165.7</v>
      </c>
      <c r="J351" s="49">
        <v>228.6</v>
      </c>
      <c r="K351" s="49">
        <v>169.9</v>
      </c>
      <c r="L351" s="49">
        <v>123.4</v>
      </c>
      <c r="M351" s="49">
        <v>196.4</v>
      </c>
      <c r="N351" s="49">
        <v>161.6</v>
      </c>
      <c r="O351" s="49">
        <v>191.5</v>
      </c>
      <c r="P351" s="49">
        <v>183.3</v>
      </c>
      <c r="Q351" s="49">
        <v>200.1</v>
      </c>
      <c r="R351" s="49">
        <v>175.5</v>
      </c>
      <c r="S351" s="49">
        <v>162.6</v>
      </c>
      <c r="T351" s="49">
        <v>173.6</v>
      </c>
      <c r="U351" s="49">
        <v>171.2</v>
      </c>
      <c r="V351" s="49">
        <v>180</v>
      </c>
      <c r="W351" s="49">
        <v>166</v>
      </c>
      <c r="X351" s="49">
        <v>174.7</v>
      </c>
      <c r="Y351" s="49">
        <v>158.80000000000001</v>
      </c>
      <c r="Z351" s="49">
        <v>166.3</v>
      </c>
      <c r="AA351" s="49">
        <v>171.2</v>
      </c>
      <c r="AB351" s="49">
        <v>172.3</v>
      </c>
      <c r="AC351" s="49">
        <v>166.8</v>
      </c>
      <c r="AD351" s="49">
        <v>175.3</v>
      </c>
    </row>
    <row r="352" spans="1:30" x14ac:dyDescent="0.3">
      <c r="A352" s="49" t="s">
        <v>30</v>
      </c>
      <c r="B352" s="49">
        <v>2022</v>
      </c>
      <c r="C352" s="49" t="s">
        <v>52</v>
      </c>
      <c r="D352" s="49">
        <v>165.2</v>
      </c>
      <c r="E352" s="49">
        <v>210.9</v>
      </c>
      <c r="F352" s="49">
        <v>170.9</v>
      </c>
      <c r="G352" s="49">
        <v>170.9</v>
      </c>
      <c r="H352" s="49">
        <v>186.5</v>
      </c>
      <c r="I352" s="49">
        <v>163.80000000000001</v>
      </c>
      <c r="J352" s="49">
        <v>199.7</v>
      </c>
      <c r="K352" s="49">
        <v>169.8</v>
      </c>
      <c r="L352" s="49">
        <v>121.9</v>
      </c>
      <c r="M352" s="49">
        <v>199.9</v>
      </c>
      <c r="N352" s="49">
        <v>169.9</v>
      </c>
      <c r="O352" s="49">
        <v>188.3</v>
      </c>
      <c r="P352" s="49">
        <v>179.6</v>
      </c>
      <c r="Q352" s="49">
        <v>196.3</v>
      </c>
      <c r="R352" s="49">
        <v>181.9</v>
      </c>
      <c r="S352" s="49">
        <v>175.3</v>
      </c>
      <c r="T352" s="49">
        <v>181</v>
      </c>
      <c r="U352" s="49">
        <v>171.2</v>
      </c>
      <c r="V352" s="49">
        <v>180.5</v>
      </c>
      <c r="W352" s="49">
        <v>170.4</v>
      </c>
      <c r="X352" s="49">
        <v>178.7</v>
      </c>
      <c r="Y352" s="49">
        <v>162.9</v>
      </c>
      <c r="Z352" s="49">
        <v>168.2</v>
      </c>
      <c r="AA352" s="49">
        <v>173.4</v>
      </c>
      <c r="AB352" s="49">
        <v>172.1</v>
      </c>
      <c r="AC352" s="49">
        <v>170.5</v>
      </c>
      <c r="AD352" s="49">
        <v>176.7</v>
      </c>
    </row>
    <row r="353" spans="1:30" x14ac:dyDescent="0.3">
      <c r="A353" s="49" t="s">
        <v>41</v>
      </c>
      <c r="B353" s="49">
        <v>2022</v>
      </c>
      <c r="C353" s="49" t="s">
        <v>54</v>
      </c>
      <c r="D353" s="49">
        <v>166.9</v>
      </c>
      <c r="E353" s="49">
        <v>207.2</v>
      </c>
      <c r="F353" s="49">
        <v>180.2</v>
      </c>
      <c r="G353" s="49">
        <v>172.3</v>
      </c>
      <c r="H353" s="49">
        <v>194</v>
      </c>
      <c r="I353" s="49">
        <v>159.1</v>
      </c>
      <c r="J353" s="49">
        <v>171.6</v>
      </c>
      <c r="K353" s="49">
        <v>170.2</v>
      </c>
      <c r="L353" s="49">
        <v>121.5</v>
      </c>
      <c r="M353" s="49">
        <v>204.8</v>
      </c>
      <c r="N353" s="49">
        <v>176.4</v>
      </c>
      <c r="O353" s="49">
        <v>186.9</v>
      </c>
      <c r="P353" s="49">
        <v>176.6</v>
      </c>
      <c r="Q353" s="49">
        <v>195.5</v>
      </c>
      <c r="R353" s="49">
        <v>187.2</v>
      </c>
      <c r="S353" s="49">
        <v>185.2</v>
      </c>
      <c r="T353" s="49">
        <v>186.9</v>
      </c>
      <c r="U353" s="49" t="s">
        <v>43</v>
      </c>
      <c r="V353" s="49">
        <v>181.9</v>
      </c>
      <c r="W353" s="49">
        <v>175.5</v>
      </c>
      <c r="X353" s="49">
        <v>182.3</v>
      </c>
      <c r="Y353" s="49">
        <v>167.5</v>
      </c>
      <c r="Z353" s="49">
        <v>170.8</v>
      </c>
      <c r="AA353" s="49">
        <v>176.9</v>
      </c>
      <c r="AB353" s="49">
        <v>173.4</v>
      </c>
      <c r="AC353" s="49">
        <v>174.6</v>
      </c>
      <c r="AD353" s="49">
        <v>177.8</v>
      </c>
    </row>
    <row r="354" spans="1:30" x14ac:dyDescent="0.3">
      <c r="A354" s="49" t="s">
        <v>44</v>
      </c>
      <c r="B354" s="49">
        <v>2022</v>
      </c>
      <c r="C354" s="49" t="s">
        <v>54</v>
      </c>
      <c r="D354" s="49">
        <v>168.4</v>
      </c>
      <c r="E354" s="49">
        <v>213.4</v>
      </c>
      <c r="F354" s="49">
        <v>183.2</v>
      </c>
      <c r="G354" s="49">
        <v>172.3</v>
      </c>
      <c r="H354" s="49">
        <v>180</v>
      </c>
      <c r="I354" s="49">
        <v>162.6</v>
      </c>
      <c r="J354" s="49">
        <v>205.5</v>
      </c>
      <c r="K354" s="49">
        <v>171</v>
      </c>
      <c r="L354" s="49">
        <v>123.4</v>
      </c>
      <c r="M354" s="49">
        <v>198.8</v>
      </c>
      <c r="N354" s="49">
        <v>162.1</v>
      </c>
      <c r="O354" s="49">
        <v>192.4</v>
      </c>
      <c r="P354" s="49">
        <v>181.3</v>
      </c>
      <c r="Q354" s="49">
        <v>200.6</v>
      </c>
      <c r="R354" s="49">
        <v>176.7</v>
      </c>
      <c r="S354" s="49">
        <v>163.5</v>
      </c>
      <c r="T354" s="49">
        <v>174.7</v>
      </c>
      <c r="U354" s="49">
        <v>171.8</v>
      </c>
      <c r="V354" s="49">
        <v>180.3</v>
      </c>
      <c r="W354" s="49">
        <v>166.9</v>
      </c>
      <c r="X354" s="49">
        <v>175.8</v>
      </c>
      <c r="Y354" s="49">
        <v>158.9</v>
      </c>
      <c r="Z354" s="49">
        <v>166.7</v>
      </c>
      <c r="AA354" s="49">
        <v>171.5</v>
      </c>
      <c r="AB354" s="49">
        <v>173.8</v>
      </c>
      <c r="AC354" s="49">
        <v>167.4</v>
      </c>
      <c r="AD354" s="49">
        <v>174.1</v>
      </c>
    </row>
    <row r="355" spans="1:30" x14ac:dyDescent="0.3">
      <c r="A355" s="49" t="s">
        <v>30</v>
      </c>
      <c r="B355" s="49">
        <v>2022</v>
      </c>
      <c r="C355" s="49" t="s">
        <v>54</v>
      </c>
      <c r="D355" s="49">
        <v>167.4</v>
      </c>
      <c r="E355" s="49">
        <v>209.4</v>
      </c>
      <c r="F355" s="49">
        <v>181.4</v>
      </c>
      <c r="G355" s="49">
        <v>172.3</v>
      </c>
      <c r="H355" s="49">
        <v>188.9</v>
      </c>
      <c r="I355" s="49">
        <v>160.69999999999999</v>
      </c>
      <c r="J355" s="49">
        <v>183.1</v>
      </c>
      <c r="K355" s="49">
        <v>170.5</v>
      </c>
      <c r="L355" s="49">
        <v>122.1</v>
      </c>
      <c r="M355" s="49">
        <v>202.8</v>
      </c>
      <c r="N355" s="49">
        <v>170.4</v>
      </c>
      <c r="O355" s="49">
        <v>189.5</v>
      </c>
      <c r="P355" s="49">
        <v>178.3</v>
      </c>
      <c r="Q355" s="49">
        <v>196.9</v>
      </c>
      <c r="R355" s="49">
        <v>183.1</v>
      </c>
      <c r="S355" s="49">
        <v>176.2</v>
      </c>
      <c r="T355" s="49">
        <v>182.1</v>
      </c>
      <c r="U355" s="49">
        <v>171.8</v>
      </c>
      <c r="V355" s="49">
        <v>181.3</v>
      </c>
      <c r="W355" s="49">
        <v>171.4</v>
      </c>
      <c r="X355" s="49">
        <v>179.8</v>
      </c>
      <c r="Y355" s="49">
        <v>163</v>
      </c>
      <c r="Z355" s="49">
        <v>168.5</v>
      </c>
      <c r="AA355" s="49">
        <v>173.7</v>
      </c>
      <c r="AB355" s="49">
        <v>173.6</v>
      </c>
      <c r="AC355" s="49">
        <v>171.1</v>
      </c>
      <c r="AD355" s="49">
        <v>176.5</v>
      </c>
    </row>
    <row r="356" spans="1:30" x14ac:dyDescent="0.3">
      <c r="A356" s="49" t="s">
        <v>41</v>
      </c>
      <c r="B356" s="49">
        <v>2022</v>
      </c>
      <c r="C356" s="49" t="s">
        <v>55</v>
      </c>
      <c r="D356" s="49">
        <v>168.8</v>
      </c>
      <c r="E356" s="49">
        <v>206.9</v>
      </c>
      <c r="F356" s="49">
        <v>189.1</v>
      </c>
      <c r="G356" s="49">
        <v>173.4</v>
      </c>
      <c r="H356" s="49">
        <v>193.9</v>
      </c>
      <c r="I356" s="49">
        <v>156.69999999999999</v>
      </c>
      <c r="J356" s="49">
        <v>150.19999999999999</v>
      </c>
      <c r="K356" s="49">
        <v>170.5</v>
      </c>
      <c r="L356" s="49">
        <v>121.2</v>
      </c>
      <c r="M356" s="49">
        <v>207.5</v>
      </c>
      <c r="N356" s="49">
        <v>176.8</v>
      </c>
      <c r="O356" s="49">
        <v>187.7</v>
      </c>
      <c r="P356" s="49">
        <v>174.4</v>
      </c>
      <c r="Q356" s="49">
        <v>195.9</v>
      </c>
      <c r="R356" s="49">
        <v>188.1</v>
      </c>
      <c r="S356" s="49">
        <v>185.9</v>
      </c>
      <c r="T356" s="49">
        <v>187.8</v>
      </c>
      <c r="U356" s="49" t="s">
        <v>43</v>
      </c>
      <c r="V356" s="49">
        <v>182.8</v>
      </c>
      <c r="W356" s="49">
        <v>176.4</v>
      </c>
      <c r="X356" s="49">
        <v>183.5</v>
      </c>
      <c r="Y356" s="49">
        <v>167.8</v>
      </c>
      <c r="Z356" s="49">
        <v>171.2</v>
      </c>
      <c r="AA356" s="49">
        <v>177.3</v>
      </c>
      <c r="AB356" s="49">
        <v>175.7</v>
      </c>
      <c r="AC356" s="49">
        <v>175.5</v>
      </c>
      <c r="AD356" s="49">
        <v>177.1</v>
      </c>
    </row>
    <row r="357" spans="1:30" x14ac:dyDescent="0.3">
      <c r="A357" s="49" t="s">
        <v>44</v>
      </c>
      <c r="B357" s="49">
        <v>2022</v>
      </c>
      <c r="C357" s="49" t="s">
        <v>55</v>
      </c>
      <c r="D357" s="49">
        <v>170.2</v>
      </c>
      <c r="E357" s="49">
        <v>212.9</v>
      </c>
      <c r="F357" s="49">
        <v>191.9</v>
      </c>
      <c r="G357" s="49">
        <v>173.9</v>
      </c>
      <c r="H357" s="49">
        <v>179.1</v>
      </c>
      <c r="I357" s="49">
        <v>159.5</v>
      </c>
      <c r="J357" s="49">
        <v>178.7</v>
      </c>
      <c r="K357" s="49">
        <v>171.3</v>
      </c>
      <c r="L357" s="49">
        <v>123.1</v>
      </c>
      <c r="M357" s="49">
        <v>200.5</v>
      </c>
      <c r="N357" s="49">
        <v>162.80000000000001</v>
      </c>
      <c r="O357" s="49">
        <v>193.3</v>
      </c>
      <c r="P357" s="49">
        <v>178.6</v>
      </c>
      <c r="Q357" s="49">
        <v>201.1</v>
      </c>
      <c r="R357" s="49">
        <v>177.7</v>
      </c>
      <c r="S357" s="49">
        <v>164.5</v>
      </c>
      <c r="T357" s="49">
        <v>175.7</v>
      </c>
      <c r="U357" s="49">
        <v>170.7</v>
      </c>
      <c r="V357" s="49">
        <v>180.6</v>
      </c>
      <c r="W357" s="49">
        <v>167.3</v>
      </c>
      <c r="X357" s="49">
        <v>177.2</v>
      </c>
      <c r="Y357" s="49">
        <v>159.4</v>
      </c>
      <c r="Z357" s="49">
        <v>167.1</v>
      </c>
      <c r="AA357" s="49">
        <v>171.8</v>
      </c>
      <c r="AB357" s="49">
        <v>176</v>
      </c>
      <c r="AC357" s="49">
        <v>168.2</v>
      </c>
      <c r="AD357" s="49">
        <v>174.1</v>
      </c>
    </row>
    <row r="358" spans="1:30" x14ac:dyDescent="0.3">
      <c r="A358" s="49" t="s">
        <v>30</v>
      </c>
      <c r="B358" s="49">
        <v>2022</v>
      </c>
      <c r="C358" s="49" t="s">
        <v>55</v>
      </c>
      <c r="D358" s="49">
        <v>169.2</v>
      </c>
      <c r="E358" s="49">
        <v>209</v>
      </c>
      <c r="F358" s="49">
        <v>190.2</v>
      </c>
      <c r="G358" s="49">
        <v>173.6</v>
      </c>
      <c r="H358" s="49">
        <v>188.5</v>
      </c>
      <c r="I358" s="49">
        <v>158</v>
      </c>
      <c r="J358" s="49">
        <v>159.9</v>
      </c>
      <c r="K358" s="49">
        <v>170.8</v>
      </c>
      <c r="L358" s="49">
        <v>121.8</v>
      </c>
      <c r="M358" s="49">
        <v>205.2</v>
      </c>
      <c r="N358" s="49">
        <v>171</v>
      </c>
      <c r="O358" s="49">
        <v>190.3</v>
      </c>
      <c r="P358" s="49">
        <v>175.9</v>
      </c>
      <c r="Q358" s="49">
        <v>197.3</v>
      </c>
      <c r="R358" s="49">
        <v>184</v>
      </c>
      <c r="S358" s="49">
        <v>177</v>
      </c>
      <c r="T358" s="49">
        <v>183</v>
      </c>
      <c r="U358" s="49">
        <v>170.7</v>
      </c>
      <c r="V358" s="49">
        <v>182</v>
      </c>
      <c r="W358" s="49">
        <v>172.1</v>
      </c>
      <c r="X358" s="49">
        <v>181.1</v>
      </c>
      <c r="Y358" s="49">
        <v>163.4</v>
      </c>
      <c r="Z358" s="49">
        <v>168.9</v>
      </c>
      <c r="AA358" s="49">
        <v>174.1</v>
      </c>
      <c r="AB358" s="49">
        <v>175.8</v>
      </c>
      <c r="AC358" s="49">
        <v>172</v>
      </c>
      <c r="AD358" s="49">
        <v>175.7</v>
      </c>
    </row>
    <row r="359" spans="1:30" x14ac:dyDescent="0.3">
      <c r="A359" s="49" t="s">
        <v>41</v>
      </c>
      <c r="B359" s="49">
        <v>2023</v>
      </c>
      <c r="C359" s="49" t="s">
        <v>42</v>
      </c>
      <c r="D359" s="49">
        <v>174</v>
      </c>
      <c r="E359" s="49">
        <v>208.3</v>
      </c>
      <c r="F359" s="49">
        <v>192.9</v>
      </c>
      <c r="G359" s="49">
        <v>174.3</v>
      </c>
      <c r="H359" s="49">
        <v>192.6</v>
      </c>
      <c r="I359" s="49">
        <v>156.30000000000001</v>
      </c>
      <c r="J359" s="49">
        <v>142.9</v>
      </c>
      <c r="K359" s="49">
        <v>170.7</v>
      </c>
      <c r="L359" s="49">
        <v>120.3</v>
      </c>
      <c r="M359" s="49">
        <v>210.5</v>
      </c>
      <c r="N359" s="49">
        <v>176.9</v>
      </c>
      <c r="O359" s="49">
        <v>188.5</v>
      </c>
      <c r="P359" s="49">
        <v>175</v>
      </c>
      <c r="Q359" s="49">
        <v>196.9</v>
      </c>
      <c r="R359" s="49">
        <v>189</v>
      </c>
      <c r="S359" s="49">
        <v>186.3</v>
      </c>
      <c r="T359" s="49">
        <v>188.6</v>
      </c>
      <c r="U359" s="49" t="s">
        <v>43</v>
      </c>
      <c r="V359" s="49">
        <v>183.2</v>
      </c>
      <c r="W359" s="49">
        <v>177.2</v>
      </c>
      <c r="X359" s="49">
        <v>184.7</v>
      </c>
      <c r="Y359" s="49">
        <v>168.2</v>
      </c>
      <c r="Z359" s="49">
        <v>171.8</v>
      </c>
      <c r="AA359" s="49">
        <v>177.8</v>
      </c>
      <c r="AB359" s="49">
        <v>178.4</v>
      </c>
      <c r="AC359" s="49">
        <v>176.5</v>
      </c>
      <c r="AD359" s="49">
        <v>177.8</v>
      </c>
    </row>
    <row r="360" spans="1:30" x14ac:dyDescent="0.3">
      <c r="A360" s="49" t="s">
        <v>44</v>
      </c>
      <c r="B360" s="49">
        <v>2023</v>
      </c>
      <c r="C360" s="49" t="s">
        <v>42</v>
      </c>
      <c r="D360" s="49">
        <v>173.3</v>
      </c>
      <c r="E360" s="49">
        <v>215.2</v>
      </c>
      <c r="F360" s="49">
        <v>197</v>
      </c>
      <c r="G360" s="49">
        <v>175.2</v>
      </c>
      <c r="H360" s="49">
        <v>178</v>
      </c>
      <c r="I360" s="49">
        <v>160.5</v>
      </c>
      <c r="J360" s="49">
        <v>175.3</v>
      </c>
      <c r="K360" s="49">
        <v>171.2</v>
      </c>
      <c r="L360" s="49">
        <v>122.7</v>
      </c>
      <c r="M360" s="49">
        <v>204.3</v>
      </c>
      <c r="N360" s="49">
        <v>163.69999999999999</v>
      </c>
      <c r="O360" s="49">
        <v>194.3</v>
      </c>
      <c r="P360" s="49">
        <v>179.5</v>
      </c>
      <c r="Q360" s="49">
        <v>201.6</v>
      </c>
      <c r="R360" s="49">
        <v>178.7</v>
      </c>
      <c r="S360" s="49">
        <v>165.3</v>
      </c>
      <c r="T360" s="49">
        <v>176.6</v>
      </c>
      <c r="U360" s="49">
        <v>172.1</v>
      </c>
      <c r="V360" s="49">
        <v>180.1</v>
      </c>
      <c r="W360" s="49">
        <v>168</v>
      </c>
      <c r="X360" s="49">
        <v>178.5</v>
      </c>
      <c r="Y360" s="49">
        <v>159.5</v>
      </c>
      <c r="Z360" s="49">
        <v>167.8</v>
      </c>
      <c r="AA360" s="49">
        <v>171.8</v>
      </c>
      <c r="AB360" s="49">
        <v>178.8</v>
      </c>
      <c r="AC360" s="49">
        <v>168.9</v>
      </c>
      <c r="AD360" s="49">
        <v>174.9</v>
      </c>
    </row>
    <row r="361" spans="1:30" x14ac:dyDescent="0.3">
      <c r="A361" s="49" t="s">
        <v>30</v>
      </c>
      <c r="B361" s="49">
        <v>2023</v>
      </c>
      <c r="C361" s="49" t="s">
        <v>42</v>
      </c>
      <c r="D361" s="49">
        <v>173.8</v>
      </c>
      <c r="E361" s="49">
        <v>210.7</v>
      </c>
      <c r="F361" s="49">
        <v>194.5</v>
      </c>
      <c r="G361" s="49">
        <v>174.6</v>
      </c>
      <c r="H361" s="49">
        <v>187.2</v>
      </c>
      <c r="I361" s="49">
        <v>158.30000000000001</v>
      </c>
      <c r="J361" s="49">
        <v>153.9</v>
      </c>
      <c r="K361" s="49">
        <v>170.9</v>
      </c>
      <c r="L361" s="49">
        <v>121.1</v>
      </c>
      <c r="M361" s="49">
        <v>208.4</v>
      </c>
      <c r="N361" s="49">
        <v>171.4</v>
      </c>
      <c r="O361" s="49">
        <v>191.2</v>
      </c>
      <c r="P361" s="49">
        <v>176.7</v>
      </c>
      <c r="Q361" s="49">
        <v>198.2</v>
      </c>
      <c r="R361" s="49">
        <v>184.9</v>
      </c>
      <c r="S361" s="49">
        <v>177.6</v>
      </c>
      <c r="T361" s="49">
        <v>183.8</v>
      </c>
      <c r="U361" s="49">
        <v>172.1</v>
      </c>
      <c r="V361" s="49">
        <v>182</v>
      </c>
      <c r="W361" s="49">
        <v>172.9</v>
      </c>
      <c r="X361" s="49">
        <v>182.3</v>
      </c>
      <c r="Y361" s="49">
        <v>163.6</v>
      </c>
      <c r="Z361" s="49">
        <v>169.5</v>
      </c>
      <c r="AA361" s="49">
        <v>174.3</v>
      </c>
      <c r="AB361" s="49">
        <v>178.6</v>
      </c>
      <c r="AC361" s="49">
        <v>172.8</v>
      </c>
      <c r="AD361" s="49">
        <v>176.5</v>
      </c>
    </row>
    <row r="362" spans="1:30" x14ac:dyDescent="0.3">
      <c r="A362" s="49" t="s">
        <v>41</v>
      </c>
      <c r="B362" s="49">
        <v>2023</v>
      </c>
      <c r="C362" s="49" t="s">
        <v>45</v>
      </c>
      <c r="D362" s="49">
        <v>174.2</v>
      </c>
      <c r="E362" s="49">
        <v>205.2</v>
      </c>
      <c r="F362" s="49">
        <v>173.9</v>
      </c>
      <c r="G362" s="49">
        <v>177</v>
      </c>
      <c r="H362" s="49">
        <v>183.4</v>
      </c>
      <c r="I362" s="49">
        <v>167.2</v>
      </c>
      <c r="J362" s="49">
        <v>140.9</v>
      </c>
      <c r="K362" s="49">
        <v>170.4</v>
      </c>
      <c r="L362" s="49">
        <v>119.1</v>
      </c>
      <c r="M362" s="49">
        <v>212.1</v>
      </c>
      <c r="N362" s="49">
        <v>177.6</v>
      </c>
      <c r="O362" s="49">
        <v>189.9</v>
      </c>
      <c r="P362" s="49">
        <v>174.8</v>
      </c>
      <c r="Q362" s="49">
        <v>198.3</v>
      </c>
      <c r="R362" s="49">
        <v>190</v>
      </c>
      <c r="S362" s="49">
        <v>187</v>
      </c>
      <c r="T362" s="49">
        <v>189.6</v>
      </c>
      <c r="U362" s="49" t="s">
        <v>43</v>
      </c>
      <c r="V362" s="49">
        <v>181.6</v>
      </c>
      <c r="W362" s="49">
        <v>178.6</v>
      </c>
      <c r="X362" s="49">
        <v>186.6</v>
      </c>
      <c r="Y362" s="49">
        <v>169</v>
      </c>
      <c r="Z362" s="49">
        <v>172.8</v>
      </c>
      <c r="AA362" s="49">
        <v>178.5</v>
      </c>
      <c r="AB362" s="49">
        <v>180.7</v>
      </c>
      <c r="AC362" s="49">
        <v>177.9</v>
      </c>
      <c r="AD362" s="49">
        <v>178</v>
      </c>
    </row>
    <row r="363" spans="1:30" x14ac:dyDescent="0.3">
      <c r="A363" s="49" t="s">
        <v>44</v>
      </c>
      <c r="B363" s="49">
        <v>2023</v>
      </c>
      <c r="C363" s="49" t="s">
        <v>45</v>
      </c>
      <c r="D363" s="49">
        <v>174.7</v>
      </c>
      <c r="E363" s="49">
        <v>212.2</v>
      </c>
      <c r="F363" s="49">
        <v>177.2</v>
      </c>
      <c r="G363" s="49">
        <v>177.9</v>
      </c>
      <c r="H363" s="49">
        <v>172.2</v>
      </c>
      <c r="I363" s="49">
        <v>172.1</v>
      </c>
      <c r="J363" s="49">
        <v>175.8</v>
      </c>
      <c r="K363" s="49">
        <v>172.2</v>
      </c>
      <c r="L363" s="49">
        <v>121.9</v>
      </c>
      <c r="M363" s="49">
        <v>204.8</v>
      </c>
      <c r="N363" s="49">
        <v>164.9</v>
      </c>
      <c r="O363" s="49">
        <v>196.6</v>
      </c>
      <c r="P363" s="49">
        <v>180.7</v>
      </c>
      <c r="Q363" s="49">
        <v>202.7</v>
      </c>
      <c r="R363" s="49">
        <v>180.3</v>
      </c>
      <c r="S363" s="49">
        <v>167</v>
      </c>
      <c r="T363" s="49">
        <v>178.2</v>
      </c>
      <c r="U363" s="49">
        <v>173.5</v>
      </c>
      <c r="V363" s="49">
        <v>182.8</v>
      </c>
      <c r="W363" s="49">
        <v>169.2</v>
      </c>
      <c r="X363" s="49">
        <v>180.8</v>
      </c>
      <c r="Y363" s="49">
        <v>159.80000000000001</v>
      </c>
      <c r="Z363" s="49">
        <v>168.4</v>
      </c>
      <c r="AA363" s="49">
        <v>172.5</v>
      </c>
      <c r="AB363" s="49">
        <v>181.4</v>
      </c>
      <c r="AC363" s="49">
        <v>170</v>
      </c>
      <c r="AD363" s="49">
        <v>176.3</v>
      </c>
    </row>
    <row r="364" spans="1:30" x14ac:dyDescent="0.3">
      <c r="A364" s="49" t="s">
        <v>30</v>
      </c>
      <c r="B364" s="49">
        <v>2023</v>
      </c>
      <c r="C364" s="49" t="s">
        <v>45</v>
      </c>
      <c r="D364" s="49">
        <v>174.4</v>
      </c>
      <c r="E364" s="49">
        <v>207.7</v>
      </c>
      <c r="F364" s="49">
        <v>175.2</v>
      </c>
      <c r="G364" s="49">
        <v>177.3</v>
      </c>
      <c r="H364" s="49">
        <v>179.3</v>
      </c>
      <c r="I364" s="49">
        <v>169.5</v>
      </c>
      <c r="J364" s="49">
        <v>152.69999999999999</v>
      </c>
      <c r="K364" s="49">
        <v>171</v>
      </c>
      <c r="L364" s="49">
        <v>120</v>
      </c>
      <c r="M364" s="49">
        <v>209.7</v>
      </c>
      <c r="N364" s="49">
        <v>172.3</v>
      </c>
      <c r="O364" s="49">
        <v>193</v>
      </c>
      <c r="P364" s="49">
        <v>177</v>
      </c>
      <c r="Q364" s="49">
        <v>199.5</v>
      </c>
      <c r="R364" s="49">
        <v>186.2</v>
      </c>
      <c r="S364" s="49">
        <v>178.7</v>
      </c>
      <c r="T364" s="49">
        <v>185.1</v>
      </c>
      <c r="U364" s="49">
        <v>173.5</v>
      </c>
      <c r="V364" s="49">
        <v>182.1</v>
      </c>
      <c r="W364" s="49">
        <v>174.2</v>
      </c>
      <c r="X364" s="49">
        <v>184.4</v>
      </c>
      <c r="Y364" s="49">
        <v>164.2</v>
      </c>
      <c r="Z364" s="49">
        <v>170.3</v>
      </c>
      <c r="AA364" s="49">
        <v>175</v>
      </c>
      <c r="AB364" s="49">
        <v>181</v>
      </c>
      <c r="AC364" s="49">
        <v>174.1</v>
      </c>
      <c r="AD364" s="49">
        <v>177.2</v>
      </c>
    </row>
    <row r="365" spans="1:30" x14ac:dyDescent="0.3">
      <c r="A365" s="49" t="s">
        <v>41</v>
      </c>
      <c r="B365" s="49">
        <v>2023</v>
      </c>
      <c r="C365" s="49" t="s">
        <v>46</v>
      </c>
      <c r="D365" s="49">
        <v>174.3</v>
      </c>
      <c r="E365" s="49">
        <v>205.2</v>
      </c>
      <c r="F365" s="49">
        <v>173.9</v>
      </c>
      <c r="G365" s="49">
        <v>177</v>
      </c>
      <c r="H365" s="49">
        <v>183.3</v>
      </c>
      <c r="I365" s="49">
        <v>167.2</v>
      </c>
      <c r="J365" s="49">
        <v>140.9</v>
      </c>
      <c r="K365" s="49">
        <v>170.5</v>
      </c>
      <c r="L365" s="49">
        <v>119.1</v>
      </c>
      <c r="M365" s="49">
        <v>212.1</v>
      </c>
      <c r="N365" s="49">
        <v>177.6</v>
      </c>
      <c r="O365" s="49">
        <v>189.9</v>
      </c>
      <c r="P365" s="49">
        <v>174.8</v>
      </c>
      <c r="Q365" s="49">
        <v>198.4</v>
      </c>
      <c r="R365" s="49">
        <v>190</v>
      </c>
      <c r="S365" s="49">
        <v>187</v>
      </c>
      <c r="T365" s="49">
        <v>189.6</v>
      </c>
      <c r="U365" s="49" t="s">
        <v>43</v>
      </c>
      <c r="V365" s="49">
        <v>181.4</v>
      </c>
      <c r="W365" s="49">
        <v>178.6</v>
      </c>
      <c r="X365" s="49">
        <v>186.6</v>
      </c>
      <c r="Y365" s="49">
        <v>169</v>
      </c>
      <c r="Z365" s="49">
        <v>172.8</v>
      </c>
      <c r="AA365" s="49">
        <v>178.5</v>
      </c>
      <c r="AB365" s="49">
        <v>180.7</v>
      </c>
      <c r="AC365" s="49">
        <v>177.9</v>
      </c>
      <c r="AD365" s="49">
        <v>178</v>
      </c>
    </row>
    <row r="366" spans="1:30" x14ac:dyDescent="0.3">
      <c r="A366" s="49" t="s">
        <v>44</v>
      </c>
      <c r="B366" s="49">
        <v>2023</v>
      </c>
      <c r="C366" s="49" t="s">
        <v>46</v>
      </c>
      <c r="D366" s="49">
        <v>174.7</v>
      </c>
      <c r="E366" s="49">
        <v>212.2</v>
      </c>
      <c r="F366" s="49">
        <v>177.2</v>
      </c>
      <c r="G366" s="49">
        <v>177.9</v>
      </c>
      <c r="H366" s="49">
        <v>172.2</v>
      </c>
      <c r="I366" s="49">
        <v>172.1</v>
      </c>
      <c r="J366" s="49">
        <v>175.9</v>
      </c>
      <c r="K366" s="49">
        <v>172.2</v>
      </c>
      <c r="L366" s="49">
        <v>121.9</v>
      </c>
      <c r="M366" s="49">
        <v>204.8</v>
      </c>
      <c r="N366" s="49">
        <v>164.9</v>
      </c>
      <c r="O366" s="49">
        <v>196.6</v>
      </c>
      <c r="P366" s="49">
        <v>180.8</v>
      </c>
      <c r="Q366" s="49">
        <v>202.7</v>
      </c>
      <c r="R366" s="49">
        <v>180.2</v>
      </c>
      <c r="S366" s="49">
        <v>167</v>
      </c>
      <c r="T366" s="49">
        <v>178.2</v>
      </c>
      <c r="U366" s="49">
        <v>173.5</v>
      </c>
      <c r="V366" s="49">
        <v>182.6</v>
      </c>
      <c r="W366" s="49">
        <v>169.2</v>
      </c>
      <c r="X366" s="49">
        <v>180.8</v>
      </c>
      <c r="Y366" s="49">
        <v>159.80000000000001</v>
      </c>
      <c r="Z366" s="49">
        <v>168.4</v>
      </c>
      <c r="AA366" s="49">
        <v>172.5</v>
      </c>
      <c r="AB366" s="49">
        <v>181.5</v>
      </c>
      <c r="AC366" s="49">
        <v>170</v>
      </c>
      <c r="AD366" s="49">
        <v>176.3</v>
      </c>
    </row>
    <row r="367" spans="1:30" x14ac:dyDescent="0.3">
      <c r="A367" s="49" t="s">
        <v>30</v>
      </c>
      <c r="B367" s="49">
        <v>2023</v>
      </c>
      <c r="C367" s="49" t="s">
        <v>46</v>
      </c>
      <c r="D367" s="49">
        <v>174.4</v>
      </c>
      <c r="E367" s="49">
        <v>207.7</v>
      </c>
      <c r="F367" s="49">
        <v>175.2</v>
      </c>
      <c r="G367" s="49">
        <v>177.3</v>
      </c>
      <c r="H367" s="49">
        <v>179.2</v>
      </c>
      <c r="I367" s="49">
        <v>169.5</v>
      </c>
      <c r="J367" s="49">
        <v>152.80000000000001</v>
      </c>
      <c r="K367" s="49">
        <v>171.1</v>
      </c>
      <c r="L367" s="49">
        <v>120</v>
      </c>
      <c r="M367" s="49">
        <v>209.7</v>
      </c>
      <c r="N367" s="49">
        <v>172.3</v>
      </c>
      <c r="O367" s="49">
        <v>193</v>
      </c>
      <c r="P367" s="49">
        <v>177</v>
      </c>
      <c r="Q367" s="49">
        <v>199.5</v>
      </c>
      <c r="R367" s="49">
        <v>186.1</v>
      </c>
      <c r="S367" s="49">
        <v>178.7</v>
      </c>
      <c r="T367" s="49">
        <v>185.1</v>
      </c>
      <c r="U367" s="49">
        <v>173.5</v>
      </c>
      <c r="V367" s="49">
        <v>181.9</v>
      </c>
      <c r="W367" s="49">
        <v>174.2</v>
      </c>
      <c r="X367" s="49">
        <v>184.4</v>
      </c>
      <c r="Y367" s="49">
        <v>164.2</v>
      </c>
      <c r="Z367" s="49">
        <v>170.3</v>
      </c>
      <c r="AA367" s="49">
        <v>175</v>
      </c>
      <c r="AB367" s="49">
        <v>181</v>
      </c>
      <c r="AC367" s="49">
        <v>174.1</v>
      </c>
      <c r="AD367" s="49">
        <v>177.2</v>
      </c>
    </row>
    <row r="368" spans="1:30" x14ac:dyDescent="0.3">
      <c r="A368" s="49" t="s">
        <v>41</v>
      </c>
      <c r="B368" s="49">
        <v>2023</v>
      </c>
      <c r="C368" s="49" t="s">
        <v>47</v>
      </c>
      <c r="D368" s="49">
        <v>173.3</v>
      </c>
      <c r="E368" s="49">
        <v>206.9</v>
      </c>
      <c r="F368" s="49">
        <v>167.9</v>
      </c>
      <c r="G368" s="49">
        <v>178.2</v>
      </c>
      <c r="H368" s="49">
        <v>178.5</v>
      </c>
      <c r="I368" s="49">
        <v>173.7</v>
      </c>
      <c r="J368" s="49">
        <v>142.80000000000001</v>
      </c>
      <c r="K368" s="49">
        <v>172.8</v>
      </c>
      <c r="L368" s="49">
        <v>120.4</v>
      </c>
      <c r="M368" s="49">
        <v>215.5</v>
      </c>
      <c r="N368" s="49">
        <v>178.2</v>
      </c>
      <c r="O368" s="49">
        <v>190.5</v>
      </c>
      <c r="P368" s="49">
        <v>175.5</v>
      </c>
      <c r="Q368" s="49">
        <v>199.5</v>
      </c>
      <c r="R368" s="49">
        <v>190.7</v>
      </c>
      <c r="S368" s="49">
        <v>187.3</v>
      </c>
      <c r="T368" s="49">
        <v>190.2</v>
      </c>
      <c r="U368" s="49" t="s">
        <v>57</v>
      </c>
      <c r="V368" s="49">
        <v>181.5</v>
      </c>
      <c r="W368" s="49">
        <v>179.1</v>
      </c>
      <c r="X368" s="49">
        <v>187.2</v>
      </c>
      <c r="Y368" s="49">
        <v>169.4</v>
      </c>
      <c r="Z368" s="49">
        <v>173.2</v>
      </c>
      <c r="AA368" s="49">
        <v>179.4</v>
      </c>
      <c r="AB368" s="49">
        <v>183.8</v>
      </c>
      <c r="AC368" s="49">
        <v>178.9</v>
      </c>
      <c r="AD368" s="49">
        <v>178.8</v>
      </c>
    </row>
    <row r="369" spans="1:30" x14ac:dyDescent="0.3">
      <c r="A369" s="49" t="s">
        <v>44</v>
      </c>
      <c r="B369" s="49">
        <v>2023</v>
      </c>
      <c r="C369" s="49" t="s">
        <v>47</v>
      </c>
      <c r="D369" s="49">
        <v>174.8</v>
      </c>
      <c r="E369" s="49">
        <v>213.7</v>
      </c>
      <c r="F369" s="49">
        <v>172.4</v>
      </c>
      <c r="G369" s="49">
        <v>178.8</v>
      </c>
      <c r="H369" s="49">
        <v>168.7</v>
      </c>
      <c r="I369" s="49">
        <v>179.2</v>
      </c>
      <c r="J369" s="49">
        <v>179.9</v>
      </c>
      <c r="K369" s="49">
        <v>174.7</v>
      </c>
      <c r="L369" s="49">
        <v>123.1</v>
      </c>
      <c r="M369" s="49">
        <v>207.8</v>
      </c>
      <c r="N369" s="49">
        <v>165.5</v>
      </c>
      <c r="O369" s="49">
        <v>197</v>
      </c>
      <c r="P369" s="49">
        <v>182.1</v>
      </c>
      <c r="Q369" s="49">
        <v>203.5</v>
      </c>
      <c r="R369" s="49">
        <v>181</v>
      </c>
      <c r="S369" s="49">
        <v>167.7</v>
      </c>
      <c r="T369" s="49">
        <v>178.9</v>
      </c>
      <c r="U369" s="49">
        <v>175.2</v>
      </c>
      <c r="V369" s="49">
        <v>182.1</v>
      </c>
      <c r="W369" s="49">
        <v>169.6</v>
      </c>
      <c r="X369" s="49">
        <v>181.5</v>
      </c>
      <c r="Y369" s="49">
        <v>160.1</v>
      </c>
      <c r="Z369" s="49">
        <v>168.8</v>
      </c>
      <c r="AA369" s="49">
        <v>174.2</v>
      </c>
      <c r="AB369" s="49">
        <v>184.4</v>
      </c>
      <c r="AC369" s="49">
        <v>170.9</v>
      </c>
      <c r="AD369" s="49">
        <v>177.4</v>
      </c>
    </row>
    <row r="370" spans="1:30" x14ac:dyDescent="0.3">
      <c r="A370" s="49" t="s">
        <v>30</v>
      </c>
      <c r="B370" s="49">
        <v>2023</v>
      </c>
      <c r="C370" s="49" t="s">
        <v>47</v>
      </c>
      <c r="D370" s="49">
        <v>173.8</v>
      </c>
      <c r="E370" s="49">
        <v>209.3</v>
      </c>
      <c r="F370" s="49">
        <v>169.6</v>
      </c>
      <c r="G370" s="49">
        <v>178.4</v>
      </c>
      <c r="H370" s="49">
        <v>174.9</v>
      </c>
      <c r="I370" s="49">
        <v>176.3</v>
      </c>
      <c r="J370" s="49">
        <v>155.4</v>
      </c>
      <c r="K370" s="49">
        <v>173.4</v>
      </c>
      <c r="L370" s="49">
        <v>121.3</v>
      </c>
      <c r="M370" s="49">
        <v>212.9</v>
      </c>
      <c r="N370" s="49">
        <v>172.9</v>
      </c>
      <c r="O370" s="49">
        <v>193.5</v>
      </c>
      <c r="P370" s="49">
        <v>177.9</v>
      </c>
      <c r="Q370" s="49">
        <v>200.6</v>
      </c>
      <c r="R370" s="49">
        <v>186.9</v>
      </c>
      <c r="S370" s="49">
        <v>179.2</v>
      </c>
      <c r="T370" s="49">
        <v>185.7</v>
      </c>
      <c r="U370" s="49">
        <v>175.2</v>
      </c>
      <c r="V370" s="49">
        <v>181.7</v>
      </c>
      <c r="W370" s="49">
        <v>174.6</v>
      </c>
      <c r="X370" s="49">
        <v>185</v>
      </c>
      <c r="Y370" s="49">
        <v>164.5</v>
      </c>
      <c r="Z370" s="49">
        <v>170.7</v>
      </c>
      <c r="AA370" s="49">
        <v>176.4</v>
      </c>
      <c r="AB370" s="49">
        <v>184</v>
      </c>
      <c r="AC370" s="49">
        <v>175</v>
      </c>
      <c r="AD370" s="49">
        <v>178.1</v>
      </c>
    </row>
    <row r="371" spans="1:30" x14ac:dyDescent="0.3">
      <c r="A371" s="49" t="s">
        <v>41</v>
      </c>
      <c r="B371" s="49">
        <v>2023</v>
      </c>
      <c r="C371" s="49" t="s">
        <v>31</v>
      </c>
      <c r="D371" s="49">
        <v>173.2</v>
      </c>
      <c r="E371" s="49">
        <v>211.5</v>
      </c>
      <c r="F371" s="49">
        <v>171</v>
      </c>
      <c r="G371" s="49">
        <v>179.6</v>
      </c>
      <c r="H371" s="49">
        <v>173.3</v>
      </c>
      <c r="I371" s="49">
        <v>169</v>
      </c>
      <c r="J371" s="49">
        <v>148.69999999999999</v>
      </c>
      <c r="K371" s="49">
        <v>174.9</v>
      </c>
      <c r="L371" s="49">
        <v>121.9</v>
      </c>
      <c r="M371" s="49">
        <v>221</v>
      </c>
      <c r="N371" s="49">
        <v>178.7</v>
      </c>
      <c r="O371" s="49">
        <v>191.1</v>
      </c>
      <c r="P371" s="49">
        <v>176.8</v>
      </c>
      <c r="Q371" s="49">
        <v>199.9</v>
      </c>
      <c r="R371" s="49">
        <v>191.2</v>
      </c>
      <c r="S371" s="49">
        <v>187.9</v>
      </c>
      <c r="T371" s="49">
        <v>190.8</v>
      </c>
      <c r="U371" s="49" t="s">
        <v>57</v>
      </c>
      <c r="V371" s="49">
        <v>182.5</v>
      </c>
      <c r="W371" s="49">
        <v>179.8</v>
      </c>
      <c r="X371" s="49">
        <v>187.8</v>
      </c>
      <c r="Y371" s="49">
        <v>169.7</v>
      </c>
      <c r="Z371" s="49">
        <v>173.8</v>
      </c>
      <c r="AA371" s="49">
        <v>180.3</v>
      </c>
      <c r="AB371" s="49">
        <v>184.9</v>
      </c>
      <c r="AC371" s="49">
        <v>179.5</v>
      </c>
      <c r="AD371" s="49">
        <v>179.8</v>
      </c>
    </row>
    <row r="372" spans="1:30" x14ac:dyDescent="0.3">
      <c r="A372" s="49" t="s">
        <v>44</v>
      </c>
      <c r="B372" s="49">
        <v>2023</v>
      </c>
      <c r="C372" s="49" t="s">
        <v>31</v>
      </c>
      <c r="D372" s="49">
        <v>174.7</v>
      </c>
      <c r="E372" s="49">
        <v>219.4</v>
      </c>
      <c r="F372" s="49">
        <v>176.7</v>
      </c>
      <c r="G372" s="49">
        <v>179.4</v>
      </c>
      <c r="H372" s="49">
        <v>164.4</v>
      </c>
      <c r="I372" s="49">
        <v>175.8</v>
      </c>
      <c r="J372" s="49">
        <v>185</v>
      </c>
      <c r="K372" s="49">
        <v>176.9</v>
      </c>
      <c r="L372" s="49">
        <v>124.2</v>
      </c>
      <c r="M372" s="49">
        <v>211.9</v>
      </c>
      <c r="N372" s="49">
        <v>165.9</v>
      </c>
      <c r="O372" s="49">
        <v>197.7</v>
      </c>
      <c r="P372" s="49">
        <v>183.1</v>
      </c>
      <c r="Q372" s="49">
        <v>204.2</v>
      </c>
      <c r="R372" s="49">
        <v>181.3</v>
      </c>
      <c r="S372" s="49">
        <v>168.1</v>
      </c>
      <c r="T372" s="49">
        <v>179.3</v>
      </c>
      <c r="U372" s="49">
        <v>175.6</v>
      </c>
      <c r="V372" s="49">
        <v>183.4</v>
      </c>
      <c r="W372" s="49">
        <v>170.1</v>
      </c>
      <c r="X372" s="49">
        <v>182.2</v>
      </c>
      <c r="Y372" s="49">
        <v>160.4</v>
      </c>
      <c r="Z372" s="49">
        <v>169.2</v>
      </c>
      <c r="AA372" s="49">
        <v>174.8</v>
      </c>
      <c r="AB372" s="49">
        <v>185.6</v>
      </c>
      <c r="AC372" s="49">
        <v>171.6</v>
      </c>
      <c r="AD372" s="49">
        <v>178.2</v>
      </c>
    </row>
    <row r="373" spans="1:30" x14ac:dyDescent="0.3">
      <c r="A373" s="49" t="s">
        <v>30</v>
      </c>
      <c r="B373" s="49">
        <v>2023</v>
      </c>
      <c r="C373" s="49" t="s">
        <v>31</v>
      </c>
      <c r="D373" s="49">
        <v>173.7</v>
      </c>
      <c r="E373" s="49">
        <v>214.3</v>
      </c>
      <c r="F373" s="49">
        <v>173.2</v>
      </c>
      <c r="G373" s="49">
        <v>179.5</v>
      </c>
      <c r="H373" s="49">
        <v>170</v>
      </c>
      <c r="I373" s="49">
        <v>172.2</v>
      </c>
      <c r="J373" s="49">
        <v>161</v>
      </c>
      <c r="K373" s="49">
        <v>175.6</v>
      </c>
      <c r="L373" s="49">
        <v>122.7</v>
      </c>
      <c r="M373" s="49">
        <v>218</v>
      </c>
      <c r="N373" s="49">
        <v>173.4</v>
      </c>
      <c r="O373" s="49">
        <v>194.2</v>
      </c>
      <c r="P373" s="49">
        <v>179.1</v>
      </c>
      <c r="Q373" s="49">
        <v>201</v>
      </c>
      <c r="R373" s="49">
        <v>187.3</v>
      </c>
      <c r="S373" s="49">
        <v>179.7</v>
      </c>
      <c r="T373" s="49">
        <v>186.2</v>
      </c>
      <c r="U373" s="49">
        <v>175.6</v>
      </c>
      <c r="V373" s="49">
        <v>182.8</v>
      </c>
      <c r="W373" s="49">
        <v>175.2</v>
      </c>
      <c r="X373" s="49">
        <v>185.7</v>
      </c>
      <c r="Y373" s="49">
        <v>164.8</v>
      </c>
      <c r="Z373" s="49">
        <v>171.2</v>
      </c>
      <c r="AA373" s="49">
        <v>177.1</v>
      </c>
      <c r="AB373" s="49">
        <v>185.2</v>
      </c>
      <c r="AC373" s="49">
        <v>175.7</v>
      </c>
      <c r="AD373" s="49">
        <v>179.1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abSelected="1" workbookViewId="0">
      <selection activeCell="W8" sqref="W8"/>
    </sheetView>
  </sheetViews>
  <sheetFormatPr defaultRowHeight="14.4" x14ac:dyDescent="0.3"/>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D12"/>
  <sheetViews>
    <sheetView workbookViewId="0">
      <selection activeCell="G19" sqref="G19"/>
    </sheetView>
  </sheetViews>
  <sheetFormatPr defaultRowHeight="14.4" x14ac:dyDescent="0.3"/>
  <cols>
    <col min="1" max="1" width="23" bestFit="1" customWidth="1"/>
    <col min="2" max="2" width="7" bestFit="1" customWidth="1"/>
    <col min="3" max="3" width="15.6640625" bestFit="1" customWidth="1"/>
    <col min="4" max="4" width="18.21875" bestFit="1" customWidth="1"/>
    <col min="5" max="5" width="12.5546875" bestFit="1" customWidth="1"/>
    <col min="6" max="6" width="6" bestFit="1" customWidth="1"/>
    <col min="7" max="7" width="16.33203125" bestFit="1" customWidth="1"/>
    <col min="8" max="8" width="11.21875" bestFit="1" customWidth="1"/>
    <col min="9" max="9" width="6" bestFit="1" customWidth="1"/>
    <col min="10" max="10" width="10.21875" bestFit="1" customWidth="1"/>
    <col min="11" max="11" width="18" bestFit="1" customWidth="1"/>
    <col min="12" max="12" width="22.109375" bestFit="1" customWidth="1"/>
    <col min="13" max="13" width="6.21875" bestFit="1" customWidth="1"/>
    <col min="14" max="14" width="22" bestFit="1" customWidth="1"/>
    <col min="15" max="15" width="31.33203125" bestFit="1" customWidth="1"/>
    <col min="16" max="16" width="18.109375" bestFit="1" customWidth="1"/>
    <col min="17" max="17" width="25.6640625" bestFit="1" customWidth="1"/>
    <col min="18" max="18" width="8" bestFit="1" customWidth="1"/>
    <col min="20" max="20" width="20" bestFit="1" customWidth="1"/>
    <col min="21" max="21" width="7.77734375" bestFit="1" customWidth="1"/>
    <col min="22" max="22" width="12.21875" bestFit="1" customWidth="1"/>
    <col min="23" max="23" width="26.6640625" bestFit="1" customWidth="1"/>
    <col min="24" max="24" width="6.44140625" bestFit="1" customWidth="1"/>
    <col min="25" max="25" width="26.88671875" bestFit="1" customWidth="1"/>
    <col min="26" max="26" width="24.44140625" bestFit="1" customWidth="1"/>
    <col min="27" max="27" width="9.44140625" bestFit="1" customWidth="1"/>
    <col min="28" max="28" width="22.33203125" bestFit="1" customWidth="1"/>
    <col min="29" max="29" width="12.88671875" bestFit="1" customWidth="1"/>
    <col min="30" max="30" width="12.44140625" bestFit="1" customWidth="1"/>
  </cols>
  <sheetData>
    <row r="1" spans="1:30" x14ac:dyDescent="0.3">
      <c r="A1" s="9" t="s">
        <v>0</v>
      </c>
      <c r="B1" s="9" t="s">
        <v>1</v>
      </c>
      <c r="C1" s="9" t="s">
        <v>2</v>
      </c>
      <c r="D1" s="9" t="s">
        <v>3</v>
      </c>
      <c r="E1" s="9" t="s">
        <v>4</v>
      </c>
      <c r="F1" s="9" t="s">
        <v>5</v>
      </c>
      <c r="G1" s="9" t="s">
        <v>6</v>
      </c>
      <c r="H1" s="9" t="s">
        <v>7</v>
      </c>
      <c r="I1" s="9" t="s">
        <v>8</v>
      </c>
      <c r="J1" s="9" t="s">
        <v>9</v>
      </c>
      <c r="K1" s="9" t="s">
        <v>10</v>
      </c>
      <c r="L1" s="9" t="s">
        <v>11</v>
      </c>
      <c r="M1" s="9" t="s">
        <v>12</v>
      </c>
      <c r="N1" s="9" t="s">
        <v>13</v>
      </c>
      <c r="O1" s="9" t="s">
        <v>14</v>
      </c>
      <c r="P1" s="9" t="s">
        <v>15</v>
      </c>
      <c r="Q1" s="9" t="s">
        <v>16</v>
      </c>
      <c r="R1" s="9" t="s">
        <v>17</v>
      </c>
      <c r="S1" s="9" t="s">
        <v>18</v>
      </c>
      <c r="T1" s="9" t="s">
        <v>19</v>
      </c>
      <c r="U1" s="9" t="s">
        <v>20</v>
      </c>
      <c r="V1" s="9" t="s">
        <v>21</v>
      </c>
      <c r="W1" s="9" t="s">
        <v>22</v>
      </c>
      <c r="X1" s="9" t="s">
        <v>23</v>
      </c>
      <c r="Y1" s="9" t="s">
        <v>24</v>
      </c>
      <c r="Z1" s="9" t="s">
        <v>25</v>
      </c>
      <c r="AA1" s="9" t="s">
        <v>26</v>
      </c>
      <c r="AB1" s="9" t="s">
        <v>27</v>
      </c>
      <c r="AC1" s="9" t="s">
        <v>28</v>
      </c>
      <c r="AD1" s="9" t="s">
        <v>29</v>
      </c>
    </row>
    <row r="2" spans="1:30" x14ac:dyDescent="0.3">
      <c r="A2" s="10" t="s">
        <v>30</v>
      </c>
      <c r="B2" s="10">
        <v>2023</v>
      </c>
      <c r="C2" s="10" t="s">
        <v>31</v>
      </c>
      <c r="D2" s="10">
        <v>173.7</v>
      </c>
      <c r="E2" s="10">
        <v>214.3</v>
      </c>
      <c r="F2" s="10">
        <v>173.2</v>
      </c>
      <c r="G2" s="10">
        <v>179.5</v>
      </c>
      <c r="H2" s="10">
        <v>170</v>
      </c>
      <c r="I2" s="10">
        <v>172.2</v>
      </c>
      <c r="J2" s="10">
        <v>161</v>
      </c>
      <c r="K2" s="10">
        <v>175.6</v>
      </c>
      <c r="L2" s="10">
        <v>122.7</v>
      </c>
      <c r="M2" s="10">
        <v>218</v>
      </c>
      <c r="N2" s="10">
        <v>173.4</v>
      </c>
      <c r="O2" s="10">
        <v>194.2</v>
      </c>
      <c r="P2" s="10">
        <v>179.1</v>
      </c>
      <c r="Q2" s="10">
        <v>201</v>
      </c>
      <c r="R2" s="10">
        <v>187.3</v>
      </c>
      <c r="S2" s="10">
        <v>179.7</v>
      </c>
      <c r="T2" s="10">
        <v>186.2</v>
      </c>
      <c r="U2" s="10">
        <v>175.6</v>
      </c>
      <c r="V2" s="10">
        <v>182.8</v>
      </c>
      <c r="W2" s="10">
        <v>175.2</v>
      </c>
      <c r="X2" s="10">
        <v>185.7</v>
      </c>
      <c r="Y2" s="10">
        <v>164.8</v>
      </c>
      <c r="Z2" s="10">
        <v>171.2</v>
      </c>
      <c r="AA2" s="10">
        <v>177.1</v>
      </c>
      <c r="AB2" s="10">
        <v>185.2</v>
      </c>
      <c r="AC2" s="10">
        <v>175.7</v>
      </c>
      <c r="AD2" s="10">
        <v>179.1</v>
      </c>
    </row>
    <row r="4" spans="1:30" x14ac:dyDescent="0.3">
      <c r="A4" s="4" t="s">
        <v>32</v>
      </c>
    </row>
    <row r="5" spans="1:30" x14ac:dyDescent="0.3">
      <c r="A5" s="2" t="s">
        <v>33</v>
      </c>
      <c r="B5" s="2" t="s">
        <v>34</v>
      </c>
      <c r="C5" s="2" t="s">
        <v>40</v>
      </c>
      <c r="D5" s="2" t="s">
        <v>35</v>
      </c>
    </row>
    <row r="6" spans="1:30" x14ac:dyDescent="0.3">
      <c r="A6" s="1" t="s">
        <v>36</v>
      </c>
      <c r="B6" s="1">
        <v>177.3</v>
      </c>
      <c r="C6" s="1">
        <v>16.2</v>
      </c>
      <c r="D6" s="1">
        <f>MAX(C6:C11)</f>
        <v>18.3</v>
      </c>
    </row>
    <row r="7" spans="1:30" x14ac:dyDescent="0.3">
      <c r="A7" s="1" t="s">
        <v>37</v>
      </c>
      <c r="B7" s="1">
        <v>201</v>
      </c>
      <c r="C7" s="1">
        <v>18.3</v>
      </c>
      <c r="D7" s="1"/>
    </row>
    <row r="8" spans="1:30" x14ac:dyDescent="0.3">
      <c r="A8" s="1" t="s">
        <v>19</v>
      </c>
      <c r="B8" s="1">
        <v>183.5</v>
      </c>
      <c r="C8" s="1">
        <v>16.7</v>
      </c>
      <c r="D8" s="1"/>
    </row>
    <row r="9" spans="1:30" x14ac:dyDescent="0.3">
      <c r="A9" s="1" t="s">
        <v>20</v>
      </c>
      <c r="B9" s="1">
        <v>175.6</v>
      </c>
      <c r="C9" s="1">
        <v>16</v>
      </c>
      <c r="D9" s="1"/>
    </row>
    <row r="10" spans="1:30" x14ac:dyDescent="0.3">
      <c r="A10" s="1" t="s">
        <v>21</v>
      </c>
      <c r="B10" s="1">
        <v>182.8</v>
      </c>
      <c r="C10" s="1">
        <v>16.7</v>
      </c>
      <c r="D10" s="1"/>
    </row>
    <row r="11" spans="1:30" x14ac:dyDescent="0.3">
      <c r="A11" s="1" t="s">
        <v>38</v>
      </c>
      <c r="B11" s="1">
        <v>176.5</v>
      </c>
      <c r="C11" s="1">
        <v>16.100000000000001</v>
      </c>
      <c r="D11" s="1"/>
    </row>
    <row r="12" spans="1:30" x14ac:dyDescent="0.3">
      <c r="A12" s="1" t="s">
        <v>39</v>
      </c>
      <c r="B12" s="1">
        <v>1096.8</v>
      </c>
      <c r="C12" s="1"/>
      <c r="D12" s="1"/>
    </row>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62"/>
  <sheetViews>
    <sheetView topLeftCell="A42" workbookViewId="0">
      <selection activeCell="G52" sqref="G52"/>
    </sheetView>
  </sheetViews>
  <sheetFormatPr defaultRowHeight="14.4" x14ac:dyDescent="0.3"/>
  <cols>
    <col min="1" max="1" width="30.44140625" customWidth="1"/>
    <col min="2" max="2" width="25.44140625" customWidth="1"/>
    <col min="3" max="3" width="38" customWidth="1"/>
    <col min="4" max="4" width="28.6640625" customWidth="1"/>
    <col min="5" max="5" width="24.5546875" customWidth="1"/>
    <col min="6" max="6" width="18.88671875" bestFit="1" customWidth="1"/>
    <col min="7" max="7" width="26.21875" bestFit="1" customWidth="1"/>
    <col min="8" max="8" width="28.5546875" customWidth="1"/>
    <col min="9" max="9" width="12" customWidth="1"/>
    <col min="10" max="10" width="23" customWidth="1"/>
    <col min="11" max="11" width="19.21875" customWidth="1"/>
    <col min="12" max="12" width="17.88671875" customWidth="1"/>
    <col min="13" max="13" width="10.44140625" customWidth="1"/>
    <col min="14" max="14" width="24.6640625" customWidth="1"/>
    <col min="15" max="15" width="32.21875" customWidth="1"/>
    <col min="16" max="16" width="10.44140625" customWidth="1"/>
    <col min="17" max="17" width="19.44140625" customWidth="1"/>
    <col min="18" max="18" width="26.6640625" customWidth="1"/>
    <col min="19" max="19" width="10.44140625" customWidth="1"/>
    <col min="20" max="20" width="12.5546875" customWidth="1"/>
    <col min="21" max="21" width="14.33203125" customWidth="1"/>
    <col min="22" max="22" width="10.44140625" customWidth="1"/>
    <col min="23" max="23" width="12.5546875" customWidth="1"/>
    <col min="24" max="24" width="18.88671875" customWidth="1"/>
    <col min="25" max="25" width="10.44140625" customWidth="1"/>
    <col min="26" max="26" width="25.88671875" customWidth="1"/>
    <col min="27" max="27" width="33.21875" customWidth="1"/>
    <col min="28" max="28" width="12.88671875" customWidth="1"/>
    <col min="29" max="29" width="33.44140625" customWidth="1"/>
    <col min="30" max="30" width="31.109375" customWidth="1"/>
    <col min="31" max="31" width="16" customWidth="1"/>
    <col min="32" max="32" width="28.88671875" customWidth="1"/>
    <col min="33" max="33" width="26.21875" bestFit="1" customWidth="1"/>
    <col min="34" max="269" width="18.21875" customWidth="1"/>
    <col min="270" max="270" width="10.77734375" customWidth="1"/>
    <col min="271" max="271" width="8" customWidth="1"/>
    <col min="272" max="272" width="10.21875" customWidth="1"/>
    <col min="273" max="273" width="8" customWidth="1"/>
    <col min="274" max="274" width="10.21875" customWidth="1"/>
    <col min="275" max="275" width="8" customWidth="1"/>
    <col min="276" max="276" width="10.21875" customWidth="1"/>
    <col min="277" max="277" width="6" customWidth="1"/>
    <col min="278" max="278" width="8.6640625" customWidth="1"/>
    <col min="279" max="280" width="8" customWidth="1"/>
    <col min="281" max="281" width="10.21875" customWidth="1"/>
    <col min="282" max="282" width="8" customWidth="1"/>
    <col min="283" max="283" width="10.21875" customWidth="1"/>
    <col min="284" max="285" width="8" customWidth="1"/>
    <col min="286" max="286" width="10.21875" customWidth="1"/>
    <col min="287" max="287" width="8" customWidth="1"/>
    <col min="288" max="288" width="10.21875" customWidth="1"/>
    <col min="289" max="289" width="8" customWidth="1"/>
    <col min="290" max="290" width="10.21875" customWidth="1"/>
    <col min="291" max="291" width="8" customWidth="1"/>
    <col min="292" max="292" width="10.21875" customWidth="1"/>
    <col min="293" max="294" width="6" customWidth="1"/>
    <col min="295" max="295" width="8.6640625" customWidth="1"/>
    <col min="296" max="298" width="8" customWidth="1"/>
    <col min="299" max="299" width="10.21875" customWidth="1"/>
    <col min="300" max="300" width="8" customWidth="1"/>
    <col min="301" max="301" width="10.21875" customWidth="1"/>
    <col min="302" max="302" width="8" customWidth="1"/>
    <col min="303" max="303" width="10.21875" customWidth="1"/>
    <col min="304" max="304" width="8" customWidth="1"/>
    <col min="305" max="305" width="10.21875" customWidth="1"/>
    <col min="306" max="306" width="8" customWidth="1"/>
    <col min="307" max="307" width="10.21875" customWidth="1"/>
    <col min="308" max="311" width="8" customWidth="1"/>
    <col min="312" max="312" width="10.21875" bestFit="1" customWidth="1"/>
    <col min="313" max="313" width="8" customWidth="1"/>
    <col min="314" max="314" width="10.21875" customWidth="1"/>
    <col min="315" max="316" width="8" customWidth="1"/>
    <col min="317" max="317" width="10.21875" customWidth="1"/>
    <col min="318" max="318" width="8" customWidth="1"/>
    <col min="319" max="319" width="10.21875" customWidth="1"/>
    <col min="320" max="322" width="8" customWidth="1"/>
    <col min="323" max="323" width="10.21875" customWidth="1"/>
    <col min="324" max="324" width="8" customWidth="1"/>
    <col min="325" max="325" width="10.21875" customWidth="1"/>
    <col min="326" max="327" width="8" customWidth="1"/>
    <col min="328" max="328" width="10.21875" customWidth="1"/>
    <col min="329" max="329" width="8" customWidth="1"/>
    <col min="330" max="330" width="10.21875" customWidth="1"/>
    <col min="331" max="331" width="8" customWidth="1"/>
    <col min="332" max="332" width="10.21875" customWidth="1"/>
    <col min="333" max="333" width="8" customWidth="1"/>
    <col min="334" max="334" width="10.21875" customWidth="1"/>
    <col min="335" max="336" width="8" customWidth="1"/>
    <col min="337" max="337" width="10.21875" customWidth="1"/>
    <col min="338" max="338" width="8" customWidth="1"/>
    <col min="339" max="339" width="10.21875" customWidth="1"/>
    <col min="340" max="340" width="8" customWidth="1"/>
    <col min="341" max="341" width="10.21875" customWidth="1"/>
    <col min="342" max="342" width="8" customWidth="1"/>
    <col min="343" max="343" width="10.21875" bestFit="1" customWidth="1"/>
    <col min="344" max="344" width="8" customWidth="1"/>
    <col min="345" max="345" width="10.21875" customWidth="1"/>
    <col min="346" max="346" width="8" customWidth="1"/>
    <col min="347" max="347" width="10.21875" customWidth="1"/>
    <col min="348" max="348" width="8" customWidth="1"/>
    <col min="349" max="349" width="10.21875" customWidth="1"/>
    <col min="350" max="350" width="8" customWidth="1"/>
    <col min="351" max="351" width="10.21875" customWidth="1"/>
    <col min="352" max="352" width="6" customWidth="1"/>
    <col min="353" max="353" width="8.6640625" customWidth="1"/>
    <col min="354" max="354" width="8" customWidth="1"/>
    <col min="355" max="355" width="10.21875" customWidth="1"/>
    <col min="356" max="356" width="8" customWidth="1"/>
    <col min="357" max="357" width="10.21875" customWidth="1"/>
    <col min="358" max="358" width="8" customWidth="1"/>
    <col min="359" max="359" width="10.21875" customWidth="1"/>
    <col min="360" max="360" width="8" customWidth="1"/>
    <col min="361" max="361" width="10.21875" customWidth="1"/>
    <col min="362" max="363" width="8" customWidth="1"/>
    <col min="364" max="364" width="10.21875" customWidth="1"/>
    <col min="365" max="365" width="8" customWidth="1"/>
    <col min="366" max="366" width="10.21875" customWidth="1"/>
    <col min="367" max="367" width="8" customWidth="1"/>
    <col min="368" max="368" width="10.21875" customWidth="1"/>
    <col min="369" max="369" width="8" customWidth="1"/>
    <col min="370" max="370" width="10.21875" customWidth="1"/>
    <col min="371" max="371" width="8" customWidth="1"/>
    <col min="372" max="372" width="10.21875" customWidth="1"/>
    <col min="373" max="373" width="8" customWidth="1"/>
    <col min="374" max="374" width="10.21875" customWidth="1"/>
    <col min="375" max="375" width="8" customWidth="1"/>
    <col min="376" max="376" width="10.21875" customWidth="1"/>
    <col min="377" max="377" width="8" customWidth="1"/>
    <col min="378" max="378" width="10.21875" customWidth="1"/>
    <col min="379" max="379" width="8" customWidth="1"/>
    <col min="380" max="380" width="10.21875" customWidth="1"/>
    <col min="381" max="381" width="8" customWidth="1"/>
    <col min="382" max="382" width="10.21875" customWidth="1"/>
    <col min="383" max="383" width="8" customWidth="1"/>
    <col min="384" max="384" width="10.21875" bestFit="1" customWidth="1"/>
    <col min="385" max="385" width="8" customWidth="1"/>
    <col min="386" max="386" width="10.21875" customWidth="1"/>
    <col min="387" max="387" width="8" customWidth="1"/>
    <col min="388" max="388" width="10.21875" customWidth="1"/>
    <col min="389" max="389" width="8" customWidth="1"/>
    <col min="390" max="390" width="10.21875" customWidth="1"/>
    <col min="391" max="391" width="6" customWidth="1"/>
    <col min="392" max="392" width="8.6640625" customWidth="1"/>
    <col min="393" max="393" width="8" customWidth="1"/>
    <col min="394" max="394" width="10.21875" customWidth="1"/>
    <col min="395" max="396" width="6" customWidth="1"/>
    <col min="397" max="397" width="8.6640625" customWidth="1"/>
    <col min="398" max="398" width="8" customWidth="1"/>
    <col min="399" max="399" width="10.21875" customWidth="1"/>
    <col min="400" max="400" width="8" customWidth="1"/>
    <col min="401" max="401" width="10.21875" customWidth="1"/>
    <col min="402" max="402" width="8" customWidth="1"/>
    <col min="403" max="403" width="10.21875" customWidth="1"/>
    <col min="404" max="404" width="8" customWidth="1"/>
    <col min="405" max="405" width="10.21875" bestFit="1" customWidth="1"/>
    <col min="406" max="406" width="8" customWidth="1"/>
    <col min="407" max="407" width="10.21875" customWidth="1"/>
    <col min="408" max="408" width="8" customWidth="1"/>
    <col min="409" max="409" width="10.21875" customWidth="1"/>
    <col min="410" max="410" width="8" customWidth="1"/>
    <col min="411" max="411" width="10.21875" customWidth="1"/>
    <col min="412" max="412" width="8" customWidth="1"/>
    <col min="413" max="413" width="10.21875" customWidth="1"/>
    <col min="414" max="414" width="8" customWidth="1"/>
    <col min="415" max="415" width="10.21875" customWidth="1"/>
    <col min="416" max="416" width="8" customWidth="1"/>
    <col min="417" max="417" width="10.21875" customWidth="1"/>
    <col min="418" max="418" width="8" customWidth="1"/>
    <col min="419" max="419" width="10.21875" customWidth="1"/>
    <col min="420" max="420" width="6" customWidth="1"/>
    <col min="421" max="421" width="8.6640625" customWidth="1"/>
    <col min="422" max="422" width="8" customWidth="1"/>
    <col min="423" max="423" width="10.21875" customWidth="1"/>
    <col min="424" max="425" width="8" customWidth="1"/>
    <col min="426" max="426" width="10.21875" customWidth="1"/>
    <col min="427" max="427" width="8" customWidth="1"/>
    <col min="428" max="428" width="10.21875" customWidth="1"/>
    <col min="429" max="429" width="8" customWidth="1"/>
    <col min="430" max="430" width="10.21875" customWidth="1"/>
    <col min="431" max="431" width="8" customWidth="1"/>
    <col min="432" max="432" width="10.21875" customWidth="1"/>
    <col min="433" max="433" width="8" customWidth="1"/>
    <col min="434" max="434" width="10.21875" customWidth="1"/>
    <col min="435" max="435" width="8" customWidth="1"/>
    <col min="436" max="436" width="10.21875" customWidth="1"/>
    <col min="437" max="437" width="8" customWidth="1"/>
    <col min="438" max="438" width="10.21875" customWidth="1"/>
    <col min="439" max="439" width="6" customWidth="1"/>
    <col min="440" max="440" width="8.6640625" customWidth="1"/>
    <col min="441" max="441" width="8" customWidth="1"/>
    <col min="442" max="442" width="10.21875" customWidth="1"/>
    <col min="443" max="443" width="6" customWidth="1"/>
    <col min="444" max="444" width="8.6640625" customWidth="1"/>
    <col min="445" max="445" width="8" customWidth="1"/>
    <col min="446" max="446" width="10.21875" customWidth="1"/>
    <col min="447" max="447" width="8" customWidth="1"/>
    <col min="448" max="448" width="10.21875" customWidth="1"/>
    <col min="449" max="449" width="6" customWidth="1"/>
    <col min="450" max="450" width="8.6640625" customWidth="1"/>
    <col min="451" max="451" width="8" customWidth="1"/>
    <col min="452" max="452" width="10.21875" customWidth="1"/>
    <col min="453" max="453" width="8" customWidth="1"/>
    <col min="454" max="454" width="10.21875" customWidth="1"/>
    <col min="455" max="457" width="8" customWidth="1"/>
    <col min="458" max="458" width="10.21875" customWidth="1"/>
    <col min="459" max="460" width="8" customWidth="1"/>
    <col min="461" max="461" width="10.21875" customWidth="1"/>
    <col min="462" max="462" width="8" customWidth="1"/>
    <col min="463" max="463" width="10.21875" customWidth="1"/>
    <col min="464" max="464" width="6" customWidth="1"/>
    <col min="465" max="465" width="8.6640625" customWidth="1"/>
    <col min="466" max="466" width="8" customWidth="1"/>
    <col min="467" max="467" width="10.21875" customWidth="1"/>
    <col min="468" max="468" width="8" customWidth="1"/>
    <col min="469" max="469" width="10.21875" customWidth="1"/>
    <col min="470" max="470" width="8" customWidth="1"/>
    <col min="471" max="471" width="10.21875" bestFit="1" customWidth="1"/>
    <col min="472" max="472" width="8" customWidth="1"/>
    <col min="473" max="473" width="10.21875" customWidth="1"/>
    <col min="474" max="474" width="8" customWidth="1"/>
    <col min="475" max="475" width="10.21875" customWidth="1"/>
    <col min="476" max="476" width="8" customWidth="1"/>
    <col min="477" max="477" width="10.21875" customWidth="1"/>
    <col min="478" max="478" width="8" customWidth="1"/>
    <col min="479" max="479" width="10.21875" customWidth="1"/>
    <col min="480" max="480" width="8" customWidth="1"/>
    <col min="481" max="481" width="10.21875" customWidth="1"/>
    <col min="482" max="482" width="8" customWidth="1"/>
    <col min="483" max="483" width="10.21875" customWidth="1"/>
    <col min="484" max="484" width="8" customWidth="1"/>
    <col min="485" max="485" width="10.21875" customWidth="1"/>
    <col min="486" max="486" width="8" customWidth="1"/>
    <col min="487" max="487" width="10.21875" customWidth="1"/>
    <col min="488" max="488" width="8" customWidth="1"/>
    <col min="489" max="489" width="10.21875" customWidth="1"/>
    <col min="490" max="491" width="6" customWidth="1"/>
    <col min="492" max="492" width="8.6640625" customWidth="1"/>
    <col min="493" max="493" width="8" customWidth="1"/>
    <col min="494" max="494" width="10.21875" customWidth="1"/>
    <col min="495" max="495" width="8" customWidth="1"/>
    <col min="496" max="496" width="10.21875" customWidth="1"/>
    <col min="497" max="497" width="8" customWidth="1"/>
    <col min="498" max="498" width="10.21875" bestFit="1" customWidth="1"/>
    <col min="499" max="499" width="8" customWidth="1"/>
    <col min="500" max="500" width="10.21875" customWidth="1"/>
    <col min="501" max="501" width="8" customWidth="1"/>
    <col min="502" max="502" width="10.21875" customWidth="1"/>
    <col min="503" max="503" width="8" customWidth="1"/>
    <col min="504" max="504" width="10.21875" customWidth="1"/>
    <col min="505" max="506" width="8" customWidth="1"/>
    <col min="507" max="507" width="10.21875" customWidth="1"/>
    <col min="508" max="508" width="8" customWidth="1"/>
    <col min="509" max="509" width="10.21875" customWidth="1"/>
    <col min="510" max="510" width="8" customWidth="1"/>
    <col min="511" max="511" width="10.21875" customWidth="1"/>
    <col min="512" max="513" width="6" customWidth="1"/>
    <col min="514" max="514" width="8.6640625" customWidth="1"/>
    <col min="515" max="515" width="8" customWidth="1"/>
    <col min="516" max="516" width="10.21875" bestFit="1" customWidth="1"/>
    <col min="517" max="517" width="8" customWidth="1"/>
    <col min="518" max="518" width="10.21875" customWidth="1"/>
    <col min="519" max="519" width="6" customWidth="1"/>
    <col min="520" max="520" width="8.6640625" customWidth="1"/>
    <col min="521" max="521" width="8" customWidth="1"/>
    <col min="522" max="522" width="10.21875" customWidth="1"/>
    <col min="523" max="523" width="8" customWidth="1"/>
    <col min="524" max="524" width="10.21875" customWidth="1"/>
    <col min="525" max="525" width="8" customWidth="1"/>
    <col min="526" max="526" width="10.21875" customWidth="1"/>
    <col min="527" max="527" width="8" customWidth="1"/>
    <col min="528" max="528" width="10.21875" customWidth="1"/>
    <col min="529" max="529" width="8" customWidth="1"/>
    <col min="530" max="530" width="10.21875" customWidth="1"/>
    <col min="531" max="531" width="8" customWidth="1"/>
    <col min="532" max="532" width="10.21875" customWidth="1"/>
    <col min="533" max="533" width="8" customWidth="1"/>
    <col min="534" max="534" width="10.21875" customWidth="1"/>
    <col min="535" max="535" width="8" customWidth="1"/>
    <col min="536" max="536" width="10.21875" bestFit="1" customWidth="1"/>
    <col min="537" max="537" width="8" customWidth="1"/>
    <col min="538" max="538" width="10.21875" bestFit="1" customWidth="1"/>
    <col min="539" max="539" width="6" customWidth="1"/>
    <col min="540" max="540" width="8.6640625" customWidth="1"/>
    <col min="541" max="542" width="8" customWidth="1"/>
    <col min="543" max="543" width="10.21875" customWidth="1"/>
    <col min="544" max="544" width="8" customWidth="1"/>
    <col min="545" max="545" width="10.21875" bestFit="1" customWidth="1"/>
    <col min="546" max="546" width="8" customWidth="1"/>
    <col min="547" max="547" width="10.21875" customWidth="1"/>
    <col min="548" max="549" width="8" customWidth="1"/>
    <col min="550" max="550" width="10.21875" customWidth="1"/>
    <col min="551" max="551" width="6" customWidth="1"/>
    <col min="552" max="552" width="8.6640625" customWidth="1"/>
    <col min="553" max="553" width="8" customWidth="1"/>
    <col min="554" max="554" width="10.21875" customWidth="1"/>
    <col min="555" max="555" width="8" customWidth="1"/>
    <col min="556" max="556" width="10.21875" customWidth="1"/>
    <col min="557" max="557" width="8" customWidth="1"/>
    <col min="558" max="558" width="10.21875" customWidth="1"/>
    <col min="559" max="559" width="8" customWidth="1"/>
    <col min="560" max="560" width="10.21875" customWidth="1"/>
    <col min="561" max="561" width="8" customWidth="1"/>
    <col min="562" max="562" width="10.21875" customWidth="1"/>
    <col min="563" max="564" width="8" customWidth="1"/>
    <col min="565" max="565" width="10.21875" customWidth="1"/>
    <col min="566" max="566" width="8" customWidth="1"/>
    <col min="567" max="567" width="10.21875" customWidth="1"/>
    <col min="568" max="568" width="8" customWidth="1"/>
    <col min="569" max="569" width="10.21875" customWidth="1"/>
    <col min="570" max="570" width="8" customWidth="1"/>
    <col min="571" max="571" width="10.21875" customWidth="1"/>
    <col min="572" max="572" width="8" customWidth="1"/>
    <col min="573" max="573" width="10.21875" bestFit="1" customWidth="1"/>
    <col min="574" max="575" width="8" customWidth="1"/>
    <col min="576" max="576" width="10.21875" customWidth="1"/>
    <col min="577" max="577" width="8" customWidth="1"/>
    <col min="578" max="578" width="10.21875" customWidth="1"/>
    <col min="579" max="580" width="8" customWidth="1"/>
    <col min="581" max="581" width="10.21875" customWidth="1"/>
    <col min="582" max="582" width="8" customWidth="1"/>
    <col min="583" max="583" width="10.21875" bestFit="1" customWidth="1"/>
    <col min="584" max="584" width="6" customWidth="1"/>
    <col min="585" max="585" width="8.6640625" customWidth="1"/>
    <col min="586" max="586" width="8" customWidth="1"/>
    <col min="587" max="587" width="10.21875" customWidth="1"/>
    <col min="588" max="588" width="8" customWidth="1"/>
    <col min="589" max="589" width="10.21875" customWidth="1"/>
    <col min="590" max="590" width="8" customWidth="1"/>
    <col min="591" max="591" width="10.21875" bestFit="1" customWidth="1"/>
    <col min="592" max="592" width="6" customWidth="1"/>
    <col min="593" max="593" width="8.6640625" customWidth="1"/>
    <col min="594" max="594" width="8" customWidth="1"/>
    <col min="595" max="595" width="10.21875" customWidth="1"/>
    <col min="596" max="596" width="8" customWidth="1"/>
    <col min="597" max="597" width="10.21875" customWidth="1"/>
    <col min="598" max="598" width="8" customWidth="1"/>
    <col min="599" max="599" width="10.21875" customWidth="1"/>
    <col min="600" max="600" width="8" customWidth="1"/>
    <col min="601" max="601" width="10.21875" customWidth="1"/>
    <col min="602" max="603" width="8" customWidth="1"/>
    <col min="604" max="604" width="10.21875" customWidth="1"/>
    <col min="605" max="605" width="8" customWidth="1"/>
    <col min="606" max="606" width="10.21875" customWidth="1"/>
    <col min="607" max="609" width="8" customWidth="1"/>
    <col min="610" max="610" width="10.21875" customWidth="1"/>
    <col min="611" max="611" width="8" customWidth="1"/>
    <col min="612" max="612" width="10.21875" bestFit="1" customWidth="1"/>
    <col min="613" max="613" width="8" customWidth="1"/>
    <col min="614" max="614" width="10.21875" customWidth="1"/>
    <col min="615" max="615" width="8" customWidth="1"/>
    <col min="616" max="616" width="10.21875" customWidth="1"/>
    <col min="617" max="617" width="8" customWidth="1"/>
    <col min="618" max="618" width="10.21875" bestFit="1" customWidth="1"/>
    <col min="619" max="619" width="6" customWidth="1"/>
    <col min="620" max="620" width="8.6640625" customWidth="1"/>
    <col min="621" max="621" width="8" customWidth="1"/>
    <col min="622" max="622" width="10.21875" customWidth="1"/>
    <col min="623" max="624" width="8" customWidth="1"/>
    <col min="625" max="625" width="10.21875" customWidth="1"/>
    <col min="626" max="626" width="8" customWidth="1"/>
    <col min="627" max="627" width="10.21875" bestFit="1" customWidth="1"/>
    <col min="628" max="628" width="8" customWidth="1"/>
    <col min="629" max="629" width="10.21875" bestFit="1" customWidth="1"/>
    <col min="630" max="630" width="8" customWidth="1"/>
    <col min="631" max="631" width="10.21875" customWidth="1"/>
    <col min="632" max="632" width="8" customWidth="1"/>
    <col min="633" max="633" width="10.21875" customWidth="1"/>
    <col min="634" max="635" width="8" customWidth="1"/>
    <col min="636" max="636" width="10.21875" customWidth="1"/>
    <col min="637" max="637" width="6" customWidth="1"/>
    <col min="638" max="638" width="8.6640625" customWidth="1"/>
    <col min="639" max="639" width="8" customWidth="1"/>
    <col min="640" max="640" width="10.21875" customWidth="1"/>
    <col min="641" max="641" width="8" customWidth="1"/>
    <col min="642" max="642" width="10.21875" customWidth="1"/>
    <col min="643" max="644" width="8" customWidth="1"/>
    <col min="645" max="645" width="10.21875" customWidth="1"/>
    <col min="646" max="646" width="8" customWidth="1"/>
    <col min="647" max="647" width="10.21875" customWidth="1"/>
    <col min="648" max="648" width="8" customWidth="1"/>
    <col min="649" max="649" width="10.21875" customWidth="1"/>
    <col min="650" max="652" width="6" customWidth="1"/>
    <col min="653" max="653" width="8.21875" customWidth="1"/>
    <col min="654" max="654" width="10.77734375" bestFit="1" customWidth="1"/>
    <col min="655" max="655" width="8" customWidth="1"/>
    <col min="656" max="656" width="10.21875" customWidth="1"/>
    <col min="657" max="657" width="8.6640625" customWidth="1"/>
    <col min="658" max="658" width="8" customWidth="1"/>
    <col min="659" max="660" width="10.21875" customWidth="1"/>
    <col min="661" max="661" width="8" customWidth="1"/>
    <col min="662" max="662" width="10.21875" bestFit="1" customWidth="1"/>
    <col min="663" max="663" width="8" customWidth="1"/>
    <col min="664" max="665" width="10.21875" customWidth="1"/>
    <col min="666" max="666" width="8" customWidth="1"/>
    <col min="667" max="667" width="10.21875" bestFit="1" customWidth="1"/>
    <col min="668" max="668" width="10.21875" customWidth="1"/>
    <col min="669" max="669" width="8" customWidth="1"/>
    <col min="670" max="670" width="10.21875" bestFit="1" customWidth="1"/>
    <col min="671" max="671" width="10.21875" customWidth="1"/>
    <col min="672" max="672" width="8" customWidth="1"/>
    <col min="673" max="673" width="8.6640625" customWidth="1"/>
    <col min="674" max="674" width="10.21875" bestFit="1" customWidth="1"/>
    <col min="675" max="675" width="8" customWidth="1"/>
    <col min="676" max="676" width="10.21875" customWidth="1"/>
    <col min="677" max="677" width="10.21875" bestFit="1" customWidth="1"/>
    <col min="678" max="678" width="8" customWidth="1"/>
    <col min="679" max="680" width="10.21875" customWidth="1"/>
    <col min="681" max="681" width="8" customWidth="1"/>
    <col min="682" max="682" width="10.21875" bestFit="1" customWidth="1"/>
    <col min="683" max="683" width="10.21875" customWidth="1"/>
    <col min="684" max="684" width="8" customWidth="1"/>
    <col min="685" max="685" width="10.21875" bestFit="1" customWidth="1"/>
    <col min="686" max="686" width="8.6640625" customWidth="1"/>
    <col min="687" max="687" width="8" customWidth="1"/>
    <col min="688" max="688" width="10.21875" bestFit="1" customWidth="1"/>
    <col min="689" max="689" width="10.21875" customWidth="1"/>
    <col min="690" max="690" width="8" customWidth="1"/>
    <col min="691" max="691" width="10.21875" customWidth="1"/>
    <col min="692" max="692" width="8.6640625" customWidth="1"/>
    <col min="693" max="693" width="8" customWidth="1"/>
    <col min="694" max="694" width="10.21875" bestFit="1" customWidth="1"/>
    <col min="695" max="695" width="10.21875" customWidth="1"/>
    <col min="696" max="696" width="8" customWidth="1"/>
    <col min="697" max="697" width="10.21875" customWidth="1"/>
    <col min="698" max="698" width="10.21875" bestFit="1" customWidth="1"/>
    <col min="699" max="699" width="8" customWidth="1"/>
    <col min="700" max="700" width="10.21875" bestFit="1" customWidth="1"/>
    <col min="701" max="701" width="8.6640625" customWidth="1"/>
    <col min="702" max="702" width="8" customWidth="1"/>
    <col min="703" max="704" width="10.21875" customWidth="1"/>
    <col min="705" max="705" width="8" customWidth="1"/>
    <col min="706" max="706" width="10.21875" customWidth="1"/>
    <col min="707" max="707" width="10.21875" bestFit="1" customWidth="1"/>
    <col min="708" max="708" width="8" customWidth="1"/>
    <col min="709" max="709" width="10.21875" customWidth="1"/>
    <col min="710" max="710" width="8" customWidth="1"/>
    <col min="711" max="711" width="10.21875" customWidth="1"/>
    <col min="712" max="712" width="8" customWidth="1"/>
    <col min="713" max="713" width="10.21875" bestFit="1" customWidth="1"/>
    <col min="714" max="714" width="10.21875" customWidth="1"/>
    <col min="715" max="715" width="8" customWidth="1"/>
    <col min="716" max="716" width="10.21875" customWidth="1"/>
    <col min="717" max="717" width="6" customWidth="1"/>
    <col min="718" max="718" width="8.6640625" customWidth="1"/>
    <col min="719" max="719" width="10.21875" customWidth="1"/>
    <col min="720" max="720" width="8" customWidth="1"/>
    <col min="721" max="722" width="10.21875" customWidth="1"/>
    <col min="723" max="723" width="6" customWidth="1"/>
    <col min="724" max="725" width="8.6640625" customWidth="1"/>
    <col min="726" max="726" width="8" customWidth="1"/>
    <col min="727" max="727" width="10.21875" customWidth="1"/>
    <col min="728" max="728" width="10.21875" bestFit="1" customWidth="1"/>
    <col min="729" max="729" width="8" customWidth="1"/>
    <col min="730" max="730" width="10.21875" customWidth="1"/>
    <col min="731" max="731" width="10.21875" bestFit="1" customWidth="1"/>
    <col min="732" max="732" width="8" customWidth="1"/>
    <col min="733" max="733" width="10.21875" customWidth="1"/>
    <col min="734" max="734" width="10.21875" bestFit="1" customWidth="1"/>
    <col min="735" max="735" width="8" customWidth="1"/>
    <col min="736" max="736" width="10.21875" customWidth="1"/>
    <col min="737" max="737" width="10.21875" bestFit="1" customWidth="1"/>
    <col min="738" max="738" width="8" customWidth="1"/>
    <col min="739" max="740" width="10.21875" customWidth="1"/>
    <col min="741" max="741" width="8" customWidth="1"/>
    <col min="742" max="743" width="10.21875" customWidth="1"/>
    <col min="744" max="744" width="8" customWidth="1"/>
    <col min="745" max="746" width="10.21875" customWidth="1"/>
    <col min="747" max="747" width="8" customWidth="1"/>
    <col min="748" max="749" width="10.21875" customWidth="1"/>
    <col min="750" max="750" width="8" customWidth="1"/>
    <col min="751" max="752" width="10.21875" bestFit="1" customWidth="1"/>
    <col min="753" max="753" width="8" customWidth="1"/>
    <col min="754" max="754" width="10.21875" customWidth="1"/>
    <col min="755" max="755" width="10.21875" bestFit="1" customWidth="1"/>
    <col min="756" max="756" width="8" customWidth="1"/>
    <col min="757" max="758" width="10.21875" customWidth="1"/>
    <col min="759" max="759" width="8" customWidth="1"/>
    <col min="760" max="760" width="10.21875" bestFit="1" customWidth="1"/>
    <col min="761" max="761" width="10.21875" customWidth="1"/>
    <col min="762" max="762" width="8" customWidth="1"/>
    <col min="763" max="763" width="10.21875" customWidth="1"/>
    <col min="764" max="764" width="8" customWidth="1"/>
    <col min="765" max="765" width="10.21875" bestFit="1" customWidth="1"/>
    <col min="766" max="766" width="8.6640625" customWidth="1"/>
    <col min="767" max="767" width="8" customWidth="1"/>
    <col min="768" max="769" width="10.21875" customWidth="1"/>
    <col min="770" max="770" width="8" customWidth="1"/>
    <col min="771" max="772" width="10.21875" bestFit="1" customWidth="1"/>
    <col min="773" max="773" width="8" customWidth="1"/>
    <col min="774" max="774" width="10.21875" bestFit="1" customWidth="1"/>
    <col min="775" max="775" width="10.21875" customWidth="1"/>
    <col min="776" max="776" width="8" customWidth="1"/>
    <col min="777" max="777" width="10.21875" bestFit="1" customWidth="1"/>
    <col min="778" max="778" width="10.21875" customWidth="1"/>
    <col min="779" max="779" width="8" customWidth="1"/>
    <col min="780" max="780" width="10.21875" bestFit="1" customWidth="1"/>
    <col min="781" max="781" width="10.21875" customWidth="1"/>
    <col min="782" max="782" width="8" customWidth="1"/>
    <col min="783" max="784" width="10.21875" customWidth="1"/>
    <col min="785" max="785" width="8" customWidth="1"/>
    <col min="786" max="786" width="10.21875" customWidth="1"/>
    <col min="787" max="787" width="8" customWidth="1"/>
    <col min="788" max="788" width="10.21875" bestFit="1" customWidth="1"/>
    <col min="789" max="789" width="10.21875" customWidth="1"/>
    <col min="790" max="790" width="8" customWidth="1"/>
    <col min="791" max="791" width="10.21875" bestFit="1" customWidth="1"/>
    <col min="792" max="792" width="10.21875" customWidth="1"/>
    <col min="793" max="793" width="8" customWidth="1"/>
    <col min="794" max="794" width="8.6640625" customWidth="1"/>
    <col min="795" max="795" width="10.21875" bestFit="1" customWidth="1"/>
    <col min="796" max="796" width="8" customWidth="1"/>
    <col min="797" max="797" width="10.21875" customWidth="1"/>
    <col min="798" max="798" width="8" customWidth="1"/>
    <col min="799" max="799" width="10.21875" bestFit="1" customWidth="1"/>
    <col min="800" max="800" width="8.6640625" customWidth="1"/>
    <col min="801" max="801" width="8" customWidth="1"/>
    <col min="802" max="803" width="10.21875" customWidth="1"/>
    <col min="804" max="804" width="8" customWidth="1"/>
    <col min="805" max="805" width="10.21875" bestFit="1" customWidth="1"/>
    <col min="806" max="806" width="10.21875" customWidth="1"/>
    <col min="807" max="807" width="8" customWidth="1"/>
    <col min="808" max="808" width="10.21875" bestFit="1" customWidth="1"/>
    <col min="809" max="809" width="8.6640625" customWidth="1"/>
    <col min="810" max="810" width="8" customWidth="1"/>
    <col min="811" max="812" width="10.21875" customWidth="1"/>
    <col min="813" max="813" width="8" customWidth="1"/>
    <col min="814" max="814" width="10.21875" bestFit="1" customWidth="1"/>
    <col min="815" max="815" width="10.21875" customWidth="1"/>
    <col min="816" max="816" width="8" customWidth="1"/>
    <col min="817" max="817" width="10.21875" bestFit="1" customWidth="1"/>
    <col min="818" max="818" width="10.21875" customWidth="1"/>
    <col min="819" max="819" width="8" customWidth="1"/>
    <col min="820" max="820" width="10.21875" bestFit="1" customWidth="1"/>
    <col min="821" max="821" width="10.21875" customWidth="1"/>
    <col min="822" max="822" width="8" customWidth="1"/>
    <col min="823" max="824" width="10.21875" customWidth="1"/>
    <col min="825" max="825" width="8" customWidth="1"/>
    <col min="826" max="827" width="10.21875" customWidth="1"/>
    <col min="828" max="828" width="8" customWidth="1"/>
    <col min="829" max="829" width="10.21875" bestFit="1" customWidth="1"/>
    <col min="830" max="830" width="10.21875" customWidth="1"/>
    <col min="831" max="831" width="8" customWidth="1"/>
    <col min="832" max="832" width="10.21875" bestFit="1" customWidth="1"/>
    <col min="833" max="833" width="10.21875" customWidth="1"/>
    <col min="834" max="834" width="8" customWidth="1"/>
    <col min="835" max="835" width="8.6640625" customWidth="1"/>
    <col min="836" max="836" width="10.21875" customWidth="1"/>
    <col min="837" max="837" width="8" customWidth="1"/>
    <col min="838" max="838" width="10.21875" bestFit="1" customWidth="1"/>
    <col min="839" max="839" width="8.6640625" customWidth="1"/>
    <col min="840" max="840" width="8" customWidth="1"/>
    <col min="841" max="841" width="8.6640625" customWidth="1"/>
    <col min="842" max="842" width="8" customWidth="1"/>
    <col min="843" max="843" width="10.21875" bestFit="1" customWidth="1"/>
    <col min="844" max="844" width="10.21875" customWidth="1"/>
    <col min="845" max="845" width="8" customWidth="1"/>
    <col min="846" max="846" width="8.6640625" customWidth="1"/>
    <col min="847" max="847" width="10.21875" customWidth="1"/>
    <col min="848" max="848" width="8" customWidth="1"/>
    <col min="849" max="850" width="10.21875" customWidth="1"/>
    <col min="851" max="851" width="8" customWidth="1"/>
    <col min="852" max="852" width="10.21875" customWidth="1"/>
    <col min="853" max="853" width="8" customWidth="1"/>
    <col min="854" max="854" width="10.21875" bestFit="1" customWidth="1"/>
    <col min="855" max="855" width="10.21875" customWidth="1"/>
    <col min="856" max="856" width="8" customWidth="1"/>
    <col min="857" max="857" width="10.21875" bestFit="1" customWidth="1"/>
    <col min="858" max="858" width="8.6640625" customWidth="1"/>
    <col min="859" max="859" width="8" customWidth="1"/>
    <col min="860" max="860" width="10.21875" bestFit="1" customWidth="1"/>
    <col min="861" max="861" width="10.21875" customWidth="1"/>
    <col min="862" max="862" width="8" customWidth="1"/>
    <col min="863" max="863" width="8.6640625" customWidth="1"/>
    <col min="864" max="864" width="10.21875" bestFit="1" customWidth="1"/>
    <col min="865" max="865" width="8" customWidth="1"/>
    <col min="866" max="867" width="10.21875" customWidth="1"/>
    <col min="868" max="868" width="8" customWidth="1"/>
    <col min="869" max="870" width="10.21875" customWidth="1"/>
    <col min="871" max="871" width="8" customWidth="1"/>
    <col min="872" max="873" width="10.21875" customWidth="1"/>
    <col min="874" max="874" width="8" customWidth="1"/>
    <col min="875" max="875" width="10.21875" customWidth="1"/>
    <col min="876" max="876" width="8" customWidth="1"/>
    <col min="877" max="878" width="10.21875" customWidth="1"/>
    <col min="879" max="879" width="8" customWidth="1"/>
    <col min="880" max="880" width="10.21875" bestFit="1" customWidth="1"/>
    <col min="881" max="881" width="10.21875" customWidth="1"/>
    <col min="882" max="882" width="8" customWidth="1"/>
    <col min="883" max="883" width="10.21875" bestFit="1" customWidth="1"/>
    <col min="884" max="884" width="10.21875" customWidth="1"/>
    <col min="885" max="885" width="8" customWidth="1"/>
    <col min="886" max="886" width="8.6640625" customWidth="1"/>
    <col min="887" max="887" width="10.21875" customWidth="1"/>
    <col min="888" max="888" width="8" customWidth="1"/>
    <col min="889" max="890" width="10.21875" customWidth="1"/>
    <col min="891" max="891" width="8" customWidth="1"/>
    <col min="892" max="892" width="10.21875" bestFit="1" customWidth="1"/>
    <col min="893" max="893" width="8" customWidth="1"/>
    <col min="894" max="895" width="10.21875" bestFit="1" customWidth="1"/>
    <col min="896" max="896" width="8" customWidth="1"/>
    <col min="897" max="898" width="10.21875" bestFit="1" customWidth="1"/>
    <col min="899" max="900" width="8" customWidth="1"/>
    <col min="901" max="901" width="10.21875" bestFit="1" customWidth="1"/>
    <col min="902" max="902" width="10.21875" customWidth="1"/>
    <col min="903" max="903" width="8" customWidth="1"/>
    <col min="904" max="905" width="10.21875" customWidth="1"/>
    <col min="906" max="906" width="8" customWidth="1"/>
    <col min="907" max="907" width="10.21875" customWidth="1"/>
    <col min="908" max="908" width="8.6640625" customWidth="1"/>
    <col min="909" max="909" width="8" customWidth="1"/>
    <col min="910" max="910" width="10.21875" bestFit="1" customWidth="1"/>
    <col min="911" max="911" width="10.21875" customWidth="1"/>
    <col min="912" max="912" width="8" customWidth="1"/>
    <col min="913" max="913" width="8.6640625" customWidth="1"/>
    <col min="914" max="914" width="10.21875" customWidth="1"/>
    <col min="915" max="915" width="8" customWidth="1"/>
    <col min="916" max="917" width="10.21875" customWidth="1"/>
    <col min="918" max="918" width="8" customWidth="1"/>
    <col min="919" max="919" width="10.21875" bestFit="1" customWidth="1"/>
    <col min="920" max="920" width="8.6640625" customWidth="1"/>
    <col min="921" max="921" width="8" customWidth="1"/>
    <col min="922" max="923" width="10.21875" customWidth="1"/>
    <col min="924" max="924" width="8" customWidth="1"/>
    <col min="925" max="926" width="10.21875" customWidth="1"/>
    <col min="927" max="927" width="8" customWidth="1"/>
    <col min="928" max="928" width="10.21875" bestFit="1" customWidth="1"/>
    <col min="929" max="929" width="10.21875" customWidth="1"/>
    <col min="930" max="930" width="8" customWidth="1"/>
    <col min="931" max="931" width="10.21875" bestFit="1" customWidth="1"/>
    <col min="932" max="932" width="10.21875" customWidth="1"/>
    <col min="933" max="933" width="8" customWidth="1"/>
    <col min="934" max="934" width="10.21875" bestFit="1" customWidth="1"/>
    <col min="935" max="935" width="8" customWidth="1"/>
    <col min="936" max="936" width="10.21875" customWidth="1"/>
    <col min="937" max="937" width="10.21875" bestFit="1" customWidth="1"/>
    <col min="938" max="938" width="8" customWidth="1"/>
    <col min="939" max="939" width="10.21875" customWidth="1"/>
    <col min="940" max="940" width="10.21875" bestFit="1" customWidth="1"/>
    <col min="941" max="941" width="8" customWidth="1"/>
    <col min="942" max="942" width="10.21875" bestFit="1" customWidth="1"/>
    <col min="943" max="943" width="8" customWidth="1"/>
    <col min="944" max="944" width="10.21875" customWidth="1"/>
    <col min="945" max="945" width="6" customWidth="1"/>
    <col min="946" max="946" width="8.6640625" customWidth="1"/>
    <col min="947" max="947" width="10.21875" customWidth="1"/>
    <col min="948" max="948" width="8" customWidth="1"/>
    <col min="949" max="949" width="8.6640625" customWidth="1"/>
    <col min="950" max="950" width="10.21875" bestFit="1" customWidth="1"/>
    <col min="951" max="951" width="8" customWidth="1"/>
    <col min="952" max="952" width="10.21875" customWidth="1"/>
    <col min="953" max="953" width="10.21875" bestFit="1" customWidth="1"/>
    <col min="954" max="954" width="8" customWidth="1"/>
    <col min="955" max="955" width="10.21875" customWidth="1"/>
    <col min="956" max="956" width="10.21875" bestFit="1" customWidth="1"/>
    <col min="957" max="957" width="8" customWidth="1"/>
    <col min="958" max="959" width="10.21875" customWidth="1"/>
    <col min="960" max="960" width="8" customWidth="1"/>
    <col min="961" max="961" width="10.21875" customWidth="1"/>
    <col min="962" max="962" width="8.6640625" customWidth="1"/>
    <col min="963" max="963" width="8" customWidth="1"/>
    <col min="964" max="964" width="10.21875" bestFit="1" customWidth="1"/>
    <col min="965" max="965" width="10.21875" customWidth="1"/>
    <col min="966" max="966" width="8" customWidth="1"/>
    <col min="967" max="967" width="10.21875" customWidth="1"/>
    <col min="968" max="968" width="8" customWidth="1"/>
    <col min="969" max="969" width="10.21875" customWidth="1"/>
    <col min="970" max="970" width="10.21875" bestFit="1" customWidth="1"/>
    <col min="971" max="971" width="8" customWidth="1"/>
    <col min="972" max="973" width="10.21875" bestFit="1" customWidth="1"/>
    <col min="974" max="974" width="8" customWidth="1"/>
    <col min="975" max="975" width="10.21875" customWidth="1"/>
    <col min="976" max="976" width="10.21875" bestFit="1" customWidth="1"/>
    <col min="977" max="977" width="8" customWidth="1"/>
    <col min="978" max="979" width="10.21875" customWidth="1"/>
    <col min="980" max="980" width="8" customWidth="1"/>
    <col min="981" max="981" width="8.6640625" customWidth="1"/>
    <col min="982" max="982" width="10.21875" customWidth="1"/>
    <col min="983" max="983" width="8" customWidth="1"/>
    <col min="984" max="984" width="10.21875" bestFit="1" customWidth="1"/>
    <col min="985" max="985" width="8" customWidth="1"/>
    <col min="986" max="987" width="10.21875" bestFit="1" customWidth="1"/>
    <col min="988" max="988" width="8" customWidth="1"/>
    <col min="989" max="989" width="10.21875" customWidth="1"/>
    <col min="990" max="990" width="8.6640625" customWidth="1"/>
    <col min="991" max="991" width="8" customWidth="1"/>
    <col min="992" max="992" width="10.21875" customWidth="1"/>
    <col min="993" max="993" width="10.21875" bestFit="1" customWidth="1"/>
    <col min="994" max="994" width="8" customWidth="1"/>
    <col min="995" max="996" width="10.21875" customWidth="1"/>
    <col min="997" max="997" width="8" customWidth="1"/>
    <col min="998" max="998" width="10.21875" bestFit="1" customWidth="1"/>
    <col min="999" max="999" width="8" customWidth="1"/>
    <col min="1000" max="1000" width="10.21875" customWidth="1"/>
    <col min="1001" max="1001" width="10.21875" bestFit="1" customWidth="1"/>
    <col min="1002" max="1002" width="8" customWidth="1"/>
    <col min="1003" max="1003" width="10.21875" bestFit="1" customWidth="1"/>
    <col min="1004" max="1004" width="10.21875" customWidth="1"/>
    <col min="1005" max="1005" width="8" customWidth="1"/>
    <col min="1006" max="1007" width="10.21875" bestFit="1" customWidth="1"/>
    <col min="1008" max="1008" width="8" customWidth="1"/>
    <col min="1009" max="1009" width="10.21875" bestFit="1" customWidth="1"/>
    <col min="1010" max="1010" width="8" customWidth="1"/>
    <col min="1011" max="1011" width="10.21875" bestFit="1" customWidth="1"/>
    <col min="1012" max="1012" width="8" customWidth="1"/>
    <col min="1013" max="1013" width="10.21875" bestFit="1" customWidth="1"/>
    <col min="1014" max="1014" width="5.5546875" customWidth="1"/>
    <col min="1015" max="1016" width="8.21875" customWidth="1"/>
    <col min="1017" max="1017" width="10.77734375" bestFit="1" customWidth="1"/>
    <col min="1018" max="1018" width="8.6640625" customWidth="1"/>
    <col min="1019" max="1019" width="10.21875" bestFit="1" customWidth="1"/>
    <col min="1020" max="1020" width="8" customWidth="1"/>
    <col min="1021" max="1021" width="10.21875" bestFit="1" customWidth="1"/>
    <col min="1022" max="1022" width="8.6640625" customWidth="1"/>
    <col min="1023" max="1023" width="10.21875" bestFit="1" customWidth="1"/>
    <col min="1024" max="1024" width="8" customWidth="1"/>
    <col min="1025" max="1025" width="10.21875" bestFit="1" customWidth="1"/>
    <col min="1026" max="1026" width="8.6640625" customWidth="1"/>
    <col min="1027" max="1027" width="10.21875" bestFit="1" customWidth="1"/>
    <col min="1028" max="1028" width="8" customWidth="1"/>
    <col min="1029" max="1030" width="10.21875" bestFit="1" customWidth="1"/>
    <col min="1031" max="1031" width="8" customWidth="1"/>
    <col min="1032" max="1034" width="10.21875" bestFit="1" customWidth="1"/>
    <col min="1035" max="1035" width="8" customWidth="1"/>
    <col min="1036" max="1036" width="10.21875" bestFit="1" customWidth="1"/>
    <col min="1037" max="1037" width="8.21875" customWidth="1"/>
    <col min="1038" max="1038" width="10.21875" bestFit="1" customWidth="1"/>
    <col min="1039" max="1039" width="8" customWidth="1"/>
    <col min="1040" max="1040" width="10.21875" bestFit="1" customWidth="1"/>
    <col min="1041" max="1041" width="8.6640625" customWidth="1"/>
    <col min="1042" max="1042" width="8" customWidth="1"/>
    <col min="1043" max="1045" width="10.21875" bestFit="1" customWidth="1"/>
    <col min="1046" max="1046" width="8" customWidth="1"/>
    <col min="1047" max="1048" width="10.21875" bestFit="1" customWidth="1"/>
    <col min="1049" max="1049" width="8" customWidth="1"/>
    <col min="1050" max="1052" width="10.21875" bestFit="1" customWidth="1"/>
    <col min="1053" max="1053" width="8" customWidth="1"/>
    <col min="1054" max="1055" width="10.21875" bestFit="1" customWidth="1"/>
    <col min="1056" max="1056" width="8" customWidth="1"/>
    <col min="1057" max="1058" width="10.21875" bestFit="1" customWidth="1"/>
    <col min="1059" max="1059" width="8" customWidth="1"/>
    <col min="1060" max="1062" width="10.21875" bestFit="1" customWidth="1"/>
    <col min="1063" max="1063" width="8" customWidth="1"/>
    <col min="1064" max="1065" width="10.21875" bestFit="1" customWidth="1"/>
    <col min="1066" max="1066" width="8.6640625" customWidth="1"/>
    <col min="1067" max="1067" width="8" customWidth="1"/>
    <col min="1068" max="1069" width="10.21875" bestFit="1" customWidth="1"/>
    <col min="1070" max="1070" width="8" customWidth="1"/>
    <col min="1071" max="1071" width="8.6640625" customWidth="1"/>
    <col min="1072" max="1073" width="10.21875" bestFit="1" customWidth="1"/>
    <col min="1074" max="1074" width="8" customWidth="1"/>
    <col min="1075" max="1075" width="8.6640625" customWidth="1"/>
    <col min="1076" max="1077" width="10.21875" bestFit="1" customWidth="1"/>
    <col min="1078" max="1078" width="8" customWidth="1"/>
    <col min="1079" max="1081" width="10.21875" bestFit="1" customWidth="1"/>
    <col min="1082" max="1082" width="8" customWidth="1"/>
    <col min="1083" max="1084" width="10.21875" bestFit="1" customWidth="1"/>
    <col min="1085" max="1085" width="8" customWidth="1"/>
    <col min="1086" max="1086" width="10.21875" bestFit="1" customWidth="1"/>
    <col min="1087" max="1087" width="8.21875" customWidth="1"/>
    <col min="1088" max="1088" width="10.21875" bestFit="1" customWidth="1"/>
    <col min="1089" max="1089" width="8" customWidth="1"/>
    <col min="1090" max="1091" width="10.21875" bestFit="1" customWidth="1"/>
    <col min="1092" max="1092" width="8" customWidth="1"/>
    <col min="1093" max="1093" width="8.6640625" customWidth="1"/>
    <col min="1094" max="1095" width="10.21875" bestFit="1" customWidth="1"/>
    <col min="1096" max="1096" width="8" customWidth="1"/>
    <col min="1097" max="1099" width="10.21875" bestFit="1" customWidth="1"/>
    <col min="1100" max="1100" width="8" customWidth="1"/>
    <col min="1101" max="1102" width="10.21875" bestFit="1" customWidth="1"/>
    <col min="1103" max="1103" width="8.6640625" customWidth="1"/>
    <col min="1104" max="1104" width="8" customWidth="1"/>
    <col min="1105" max="1105" width="8.6640625" customWidth="1"/>
    <col min="1106" max="1107" width="10.21875" bestFit="1" customWidth="1"/>
    <col min="1108" max="1108" width="8" customWidth="1"/>
    <col min="1109" max="1111" width="10.21875" bestFit="1" customWidth="1"/>
    <col min="1112" max="1113" width="8" customWidth="1"/>
    <col min="1114" max="1116" width="10.21875" bestFit="1" customWidth="1"/>
    <col min="1117" max="1117" width="8" customWidth="1"/>
    <col min="1118" max="1120" width="10.21875" bestFit="1" customWidth="1"/>
    <col min="1121" max="1121" width="8" customWidth="1"/>
    <col min="1122" max="1124" width="10.21875" bestFit="1" customWidth="1"/>
    <col min="1125" max="1125" width="8" customWidth="1"/>
    <col min="1126" max="1128" width="10.21875" bestFit="1" customWidth="1"/>
    <col min="1129" max="1129" width="8" customWidth="1"/>
    <col min="1130" max="1131" width="10.21875" bestFit="1" customWidth="1"/>
    <col min="1132" max="1132" width="8.6640625" customWidth="1"/>
    <col min="1133" max="1133" width="8" customWidth="1"/>
    <col min="1134" max="1134" width="8.6640625" customWidth="1"/>
    <col min="1135" max="1136" width="10.21875" bestFit="1" customWidth="1"/>
    <col min="1137" max="1137" width="8" customWidth="1"/>
    <col min="1138" max="1138" width="10.21875" bestFit="1" customWidth="1"/>
    <col min="1139" max="1139" width="8.6640625" customWidth="1"/>
    <col min="1140" max="1140" width="10.21875" bestFit="1" customWidth="1"/>
    <col min="1141" max="1141" width="8" customWidth="1"/>
    <col min="1142" max="1144" width="10.21875" bestFit="1" customWidth="1"/>
    <col min="1145" max="1145" width="8" customWidth="1"/>
    <col min="1146" max="1147" width="10.21875" bestFit="1" customWidth="1"/>
    <col min="1148" max="1148" width="8.6640625" customWidth="1"/>
    <col min="1149" max="1149" width="8" customWidth="1"/>
    <col min="1150" max="1152" width="10.21875" bestFit="1" customWidth="1"/>
    <col min="1153" max="1153" width="8" customWidth="1"/>
    <col min="1154" max="1156" width="10.21875" bestFit="1" customWidth="1"/>
    <col min="1157" max="1157" width="8" customWidth="1"/>
    <col min="1158" max="1159" width="10.21875" bestFit="1" customWidth="1"/>
    <col min="1160" max="1160" width="8" customWidth="1"/>
    <col min="1161" max="1161" width="8.6640625" customWidth="1"/>
    <col min="1162" max="1163" width="10.21875" bestFit="1" customWidth="1"/>
    <col min="1164" max="1164" width="8" customWidth="1"/>
    <col min="1165" max="1166" width="10.21875" bestFit="1" customWidth="1"/>
    <col min="1167" max="1167" width="8" customWidth="1"/>
    <col min="1168" max="1168" width="10.21875" bestFit="1" customWidth="1"/>
    <col min="1169" max="1169" width="8.21875" customWidth="1"/>
    <col min="1170" max="1170" width="10.21875" bestFit="1" customWidth="1"/>
    <col min="1171" max="1171" width="8" customWidth="1"/>
    <col min="1172" max="1174" width="10.21875" bestFit="1" customWidth="1"/>
    <col min="1175" max="1175" width="8" customWidth="1"/>
    <col min="1176" max="1178" width="10.21875" bestFit="1" customWidth="1"/>
    <col min="1179" max="1179" width="8" customWidth="1"/>
    <col min="1180" max="1180" width="10.21875" bestFit="1" customWidth="1"/>
    <col min="1181" max="1181" width="8.6640625" customWidth="1"/>
    <col min="1182" max="1182" width="10.21875" bestFit="1" customWidth="1"/>
    <col min="1183" max="1183" width="8" customWidth="1"/>
    <col min="1184" max="1185" width="10.21875" bestFit="1" customWidth="1"/>
    <col min="1186" max="1186" width="8" customWidth="1"/>
    <col min="1187" max="1189" width="10.21875" bestFit="1" customWidth="1"/>
    <col min="1190" max="1190" width="8" customWidth="1"/>
    <col min="1191" max="1193" width="10.21875" bestFit="1" customWidth="1"/>
    <col min="1194" max="1194" width="8" customWidth="1"/>
    <col min="1195" max="1197" width="10.21875" bestFit="1" customWidth="1"/>
    <col min="1198" max="1198" width="8" customWidth="1"/>
    <col min="1199" max="1199" width="10.21875" bestFit="1" customWidth="1"/>
    <col min="1200" max="1200" width="8.6640625" customWidth="1"/>
    <col min="1201" max="1201" width="10.21875" bestFit="1" customWidth="1"/>
    <col min="1202" max="1202" width="8" customWidth="1"/>
    <col min="1203" max="1204" width="10.21875" bestFit="1" customWidth="1"/>
    <col min="1205" max="1205" width="8.6640625" customWidth="1"/>
    <col min="1206" max="1206" width="8" customWidth="1"/>
    <col min="1207" max="1209" width="10.21875" bestFit="1" customWidth="1"/>
    <col min="1210" max="1210" width="8" customWidth="1"/>
    <col min="1211" max="1213" width="10.21875" bestFit="1" customWidth="1"/>
    <col min="1214" max="1214" width="8" customWidth="1"/>
    <col min="1215" max="1215" width="10.21875" bestFit="1" customWidth="1"/>
    <col min="1216" max="1216" width="8.6640625" customWidth="1"/>
    <col min="1217" max="1217" width="10.21875" bestFit="1" customWidth="1"/>
    <col min="1218" max="1218" width="8" customWidth="1"/>
    <col min="1219" max="1221" width="10.21875" bestFit="1" customWidth="1"/>
    <col min="1222" max="1222" width="8" customWidth="1"/>
    <col min="1223" max="1225" width="10.21875" bestFit="1" customWidth="1"/>
    <col min="1226" max="1226" width="8" customWidth="1"/>
    <col min="1227" max="1229" width="10.21875" bestFit="1" customWidth="1"/>
    <col min="1230" max="1230" width="8" customWidth="1"/>
    <col min="1231" max="1233" width="10.21875" bestFit="1" customWidth="1"/>
    <col min="1234" max="1234" width="8" customWidth="1"/>
    <col min="1235" max="1237" width="10.21875" bestFit="1" customWidth="1"/>
    <col min="1238" max="1238" width="8" customWidth="1"/>
    <col min="1239" max="1241" width="10.21875" bestFit="1" customWidth="1"/>
    <col min="1242" max="1242" width="8" customWidth="1"/>
    <col min="1243" max="1243" width="8.6640625" customWidth="1"/>
    <col min="1244" max="1245" width="10.21875" bestFit="1" customWidth="1"/>
    <col min="1246" max="1246" width="8" customWidth="1"/>
    <col min="1247" max="1249" width="10.21875" bestFit="1" customWidth="1"/>
    <col min="1250" max="1250" width="8" customWidth="1"/>
    <col min="1251" max="1253" width="10.21875" bestFit="1" customWidth="1"/>
    <col min="1254" max="1254" width="8" customWidth="1"/>
    <col min="1255" max="1257" width="10.21875" bestFit="1" customWidth="1"/>
    <col min="1258" max="1258" width="8" customWidth="1"/>
    <col min="1259" max="1261" width="10.21875" bestFit="1" customWidth="1"/>
    <col min="1262" max="1262" width="8" customWidth="1"/>
    <col min="1263" max="1265" width="10.21875" bestFit="1" customWidth="1"/>
    <col min="1266" max="1266" width="8" customWidth="1"/>
    <col min="1267" max="1269" width="10.21875" bestFit="1" customWidth="1"/>
    <col min="1270" max="1270" width="8" customWidth="1"/>
    <col min="1271" max="1273" width="10.21875" bestFit="1" customWidth="1"/>
    <col min="1274" max="1274" width="8" customWidth="1"/>
    <col min="1275" max="1277" width="10.21875" bestFit="1" customWidth="1"/>
    <col min="1278" max="1278" width="8" customWidth="1"/>
    <col min="1279" max="1281" width="10.21875" bestFit="1" customWidth="1"/>
    <col min="1282" max="1282" width="8" customWidth="1"/>
    <col min="1283" max="1283" width="10.21875" bestFit="1" customWidth="1"/>
    <col min="1284" max="1284" width="8.6640625" customWidth="1"/>
    <col min="1285" max="1285" width="10.21875" bestFit="1" customWidth="1"/>
    <col min="1286" max="1286" width="8" customWidth="1"/>
    <col min="1287" max="1289" width="10.21875" bestFit="1" customWidth="1"/>
    <col min="1290" max="1290" width="8" customWidth="1"/>
    <col min="1291" max="1291" width="8.6640625" customWidth="1"/>
    <col min="1292" max="1293" width="10.21875" bestFit="1" customWidth="1"/>
    <col min="1294" max="1294" width="8" customWidth="1"/>
    <col min="1295" max="1296" width="10.21875" bestFit="1" customWidth="1"/>
    <col min="1297" max="1297" width="8" customWidth="1"/>
    <col min="1298" max="1298" width="8.6640625" customWidth="1"/>
    <col min="1299" max="1300" width="10.21875" bestFit="1" customWidth="1"/>
    <col min="1301" max="1301" width="8" customWidth="1"/>
    <col min="1302" max="1304" width="10.21875" bestFit="1" customWidth="1"/>
    <col min="1305" max="1305" width="8" customWidth="1"/>
    <col min="1306" max="1307" width="10.21875" bestFit="1" customWidth="1"/>
    <col min="1308" max="1308" width="8" customWidth="1"/>
    <col min="1309" max="1311" width="10.21875" bestFit="1" customWidth="1"/>
    <col min="1312" max="1312" width="8" customWidth="1"/>
    <col min="1313" max="1314" width="10.21875" bestFit="1" customWidth="1"/>
    <col min="1315" max="1315" width="8.6640625" customWidth="1"/>
    <col min="1316" max="1316" width="8" customWidth="1"/>
    <col min="1317" max="1319" width="10.21875" bestFit="1" customWidth="1"/>
    <col min="1320" max="1320" width="8" customWidth="1"/>
    <col min="1321" max="1323" width="10.21875" bestFit="1" customWidth="1"/>
    <col min="1324" max="1324" width="8" customWidth="1"/>
    <col min="1325" max="1327" width="10.21875" bestFit="1" customWidth="1"/>
    <col min="1328" max="1328" width="8" customWidth="1"/>
    <col min="1329" max="1330" width="10.21875" bestFit="1" customWidth="1"/>
    <col min="1331" max="1331" width="8" customWidth="1"/>
    <col min="1332" max="1334" width="10.21875" bestFit="1" customWidth="1"/>
    <col min="1335" max="1335" width="8" customWidth="1"/>
    <col min="1336" max="1338" width="10.21875" bestFit="1" customWidth="1"/>
    <col min="1339" max="1339" width="5.5546875" customWidth="1"/>
    <col min="1340" max="1342" width="8.21875" customWidth="1"/>
    <col min="1343" max="1343" width="10.77734375" bestFit="1" customWidth="1"/>
  </cols>
  <sheetData>
    <row r="1" spans="1:33" x14ac:dyDescent="0.3">
      <c r="A1" s="5" t="s">
        <v>0</v>
      </c>
      <c r="B1" t="s">
        <v>30</v>
      </c>
      <c r="Z1" s="3" t="s">
        <v>38</v>
      </c>
    </row>
    <row r="2" spans="1:33" x14ac:dyDescent="0.3">
      <c r="A2" s="5" t="s">
        <v>3</v>
      </c>
      <c r="B2" t="s">
        <v>60</v>
      </c>
      <c r="N2" s="5" t="s">
        <v>0</v>
      </c>
      <c r="O2" t="s">
        <v>30</v>
      </c>
      <c r="Q2" s="5" t="s">
        <v>0</v>
      </c>
      <c r="R2" t="s">
        <v>30</v>
      </c>
      <c r="T2" s="5" t="s">
        <v>0</v>
      </c>
      <c r="U2" t="s">
        <v>30</v>
      </c>
      <c r="W2" s="5" t="s">
        <v>0</v>
      </c>
      <c r="X2" t="s">
        <v>30</v>
      </c>
      <c r="Z2" s="5" t="s">
        <v>0</v>
      </c>
      <c r="AA2" t="s">
        <v>30</v>
      </c>
    </row>
    <row r="3" spans="1:33" x14ac:dyDescent="0.3">
      <c r="A3" s="5" t="s">
        <v>9</v>
      </c>
      <c r="B3" t="s">
        <v>60</v>
      </c>
      <c r="N3" s="5" t="s">
        <v>16</v>
      </c>
      <c r="O3" t="s">
        <v>60</v>
      </c>
      <c r="Q3" s="5" t="s">
        <v>19</v>
      </c>
      <c r="R3" t="s">
        <v>60</v>
      </c>
      <c r="T3" s="5" t="s">
        <v>20</v>
      </c>
      <c r="U3" t="s">
        <v>60</v>
      </c>
      <c r="W3" s="5" t="s">
        <v>21</v>
      </c>
      <c r="X3" t="s">
        <v>60</v>
      </c>
      <c r="Z3" s="5" t="s">
        <v>22</v>
      </c>
      <c r="AA3" t="s">
        <v>60</v>
      </c>
    </row>
    <row r="4" spans="1:33" x14ac:dyDescent="0.3">
      <c r="A4" s="5" t="s">
        <v>8</v>
      </c>
      <c r="B4" t="s">
        <v>60</v>
      </c>
      <c r="Z4" s="5" t="s">
        <v>23</v>
      </c>
      <c r="AA4" t="s">
        <v>60</v>
      </c>
    </row>
    <row r="5" spans="1:33" x14ac:dyDescent="0.3">
      <c r="A5" s="5" t="s">
        <v>5</v>
      </c>
      <c r="B5" t="s">
        <v>60</v>
      </c>
      <c r="N5" s="5" t="s">
        <v>58</v>
      </c>
      <c r="O5" t="s">
        <v>73</v>
      </c>
      <c r="Q5" s="5" t="s">
        <v>58</v>
      </c>
      <c r="R5" t="s">
        <v>74</v>
      </c>
      <c r="T5" s="5" t="s">
        <v>58</v>
      </c>
      <c r="U5" t="s">
        <v>75</v>
      </c>
      <c r="W5" s="5" t="s">
        <v>58</v>
      </c>
      <c r="X5" t="s">
        <v>76</v>
      </c>
      <c r="Z5" s="5" t="s">
        <v>25</v>
      </c>
      <c r="AA5" t="s">
        <v>60</v>
      </c>
    </row>
    <row r="6" spans="1:33" x14ac:dyDescent="0.3">
      <c r="A6" s="5" t="s">
        <v>10</v>
      </c>
      <c r="B6" t="s">
        <v>60</v>
      </c>
      <c r="N6" s="6">
        <v>2017</v>
      </c>
      <c r="O6" s="7">
        <v>1779.2</v>
      </c>
      <c r="Q6" s="6">
        <v>2017</v>
      </c>
      <c r="R6" s="7">
        <v>1661.8000000000002</v>
      </c>
      <c r="T6" s="6">
        <v>2017</v>
      </c>
      <c r="U6" s="7">
        <v>1604.1</v>
      </c>
      <c r="W6" s="6">
        <v>2017</v>
      </c>
      <c r="X6" s="7">
        <v>1566.1</v>
      </c>
      <c r="Z6" s="5" t="s">
        <v>24</v>
      </c>
      <c r="AA6" t="s">
        <v>60</v>
      </c>
    </row>
    <row r="7" spans="1:33" x14ac:dyDescent="0.3">
      <c r="A7" s="5" t="s">
        <v>4</v>
      </c>
      <c r="B7" t="s">
        <v>60</v>
      </c>
      <c r="N7" s="6">
        <v>2018</v>
      </c>
      <c r="O7" s="7">
        <v>1901.8000000000004</v>
      </c>
      <c r="Q7" s="6">
        <v>2018</v>
      </c>
      <c r="R7" s="7">
        <v>1740.3999999999999</v>
      </c>
      <c r="T7" s="6">
        <v>2018</v>
      </c>
      <c r="U7" s="7">
        <v>1726.1000000000001</v>
      </c>
      <c r="W7" s="6">
        <v>2018</v>
      </c>
      <c r="X7" s="7">
        <v>1677.3</v>
      </c>
      <c r="Z7" s="5" t="s">
        <v>26</v>
      </c>
      <c r="AA7" t="s">
        <v>60</v>
      </c>
    </row>
    <row r="8" spans="1:33" x14ac:dyDescent="0.3">
      <c r="A8" s="5" t="s">
        <v>11</v>
      </c>
      <c r="B8" t="s">
        <v>60</v>
      </c>
      <c r="N8" s="6">
        <v>2019</v>
      </c>
      <c r="O8" s="7">
        <v>1820.1000000000001</v>
      </c>
      <c r="Q8" s="6">
        <v>2019</v>
      </c>
      <c r="R8" s="7">
        <v>1623.5000000000002</v>
      </c>
      <c r="T8" s="6">
        <v>2019</v>
      </c>
      <c r="U8" s="7">
        <v>1658.4</v>
      </c>
      <c r="W8" s="6">
        <v>2019</v>
      </c>
      <c r="X8" s="7">
        <v>1542.7</v>
      </c>
      <c r="Z8" s="5" t="s">
        <v>27</v>
      </c>
      <c r="AA8" t="s">
        <v>60</v>
      </c>
    </row>
    <row r="9" spans="1:33" x14ac:dyDescent="0.3">
      <c r="A9" s="5" t="s">
        <v>7</v>
      </c>
      <c r="B9" t="s">
        <v>60</v>
      </c>
      <c r="N9" s="6">
        <v>2020</v>
      </c>
      <c r="O9" s="7">
        <v>1799</v>
      </c>
      <c r="Q9" s="6">
        <v>2020</v>
      </c>
      <c r="R9" s="7">
        <v>1513.7</v>
      </c>
      <c r="T9" s="6">
        <v>2020</v>
      </c>
      <c r="U9" s="7">
        <v>1712.9</v>
      </c>
      <c r="W9" s="6">
        <v>2020</v>
      </c>
      <c r="X9" s="7">
        <v>1585.8</v>
      </c>
    </row>
    <row r="10" spans="1:33" x14ac:dyDescent="0.3">
      <c r="A10" s="5" t="s">
        <v>13</v>
      </c>
      <c r="B10" t="s">
        <v>60</v>
      </c>
      <c r="N10" s="6">
        <v>2021</v>
      </c>
      <c r="O10" s="7">
        <v>2287.8000000000002</v>
      </c>
      <c r="Q10" s="6">
        <v>2021</v>
      </c>
      <c r="R10" s="7">
        <v>1929.8000000000002</v>
      </c>
      <c r="T10" s="6">
        <v>2021</v>
      </c>
      <c r="U10" s="7">
        <v>1937.8000000000002</v>
      </c>
      <c r="W10" s="6">
        <v>2021</v>
      </c>
      <c r="X10" s="7">
        <v>1908.7</v>
      </c>
      <c r="Z10" s="5" t="s">
        <v>58</v>
      </c>
      <c r="AA10" t="s">
        <v>77</v>
      </c>
      <c r="AB10" t="s">
        <v>78</v>
      </c>
      <c r="AC10" t="s">
        <v>79</v>
      </c>
      <c r="AD10" t="s">
        <v>80</v>
      </c>
      <c r="AE10" t="s">
        <v>81</v>
      </c>
      <c r="AF10" t="s">
        <v>82</v>
      </c>
      <c r="AG10" s="3" t="s">
        <v>84</v>
      </c>
    </row>
    <row r="11" spans="1:33" x14ac:dyDescent="0.3">
      <c r="A11" s="5" t="s">
        <v>12</v>
      </c>
      <c r="B11" t="s">
        <v>60</v>
      </c>
      <c r="N11" s="6">
        <v>2022</v>
      </c>
      <c r="O11" s="7">
        <v>2337</v>
      </c>
      <c r="Q11" s="6">
        <v>2022</v>
      </c>
      <c r="R11" s="7">
        <v>2114.3999999999996</v>
      </c>
      <c r="T11" s="6">
        <v>2022</v>
      </c>
      <c r="U11" s="7">
        <v>2016.6</v>
      </c>
      <c r="W11" s="6">
        <v>2022</v>
      </c>
      <c r="X11" s="7">
        <v>2101.6</v>
      </c>
      <c r="Z11" s="6">
        <v>2017</v>
      </c>
      <c r="AA11" s="7">
        <v>1582.4</v>
      </c>
      <c r="AB11" s="7">
        <v>1554.4999999999998</v>
      </c>
      <c r="AC11" s="7">
        <v>1408</v>
      </c>
      <c r="AD11" s="7">
        <v>1518.6</v>
      </c>
      <c r="AE11" s="7">
        <v>1632</v>
      </c>
      <c r="AF11" s="7">
        <v>1489.6999999999998</v>
      </c>
      <c r="AG11" s="14">
        <f>SUM(AA11:AF11)</f>
        <v>9185.2000000000007</v>
      </c>
    </row>
    <row r="12" spans="1:33" x14ac:dyDescent="0.3">
      <c r="A12" s="5" t="s">
        <v>6</v>
      </c>
      <c r="B12" t="s">
        <v>60</v>
      </c>
      <c r="N12" s="6">
        <v>2023</v>
      </c>
      <c r="O12" s="7">
        <v>998.8</v>
      </c>
      <c r="Q12" s="6">
        <v>2023</v>
      </c>
      <c r="R12" s="7">
        <v>925.90000000000009</v>
      </c>
      <c r="T12" s="6">
        <v>2023</v>
      </c>
      <c r="U12" s="7">
        <v>869.9</v>
      </c>
      <c r="W12" s="6">
        <v>2023</v>
      </c>
      <c r="X12" s="7">
        <v>910.5</v>
      </c>
      <c r="Z12" s="6">
        <v>2018</v>
      </c>
      <c r="AA12" s="7">
        <v>1662.8999999999999</v>
      </c>
      <c r="AB12" s="7">
        <v>1651</v>
      </c>
      <c r="AC12" s="7">
        <v>1477.5</v>
      </c>
      <c r="AD12" s="7">
        <v>1596.7000000000003</v>
      </c>
      <c r="AE12" s="7">
        <v>1726.6999999999998</v>
      </c>
      <c r="AF12" s="7">
        <v>1559.7000000000003</v>
      </c>
      <c r="AG12" s="14">
        <f t="shared" ref="AG12:AG18" si="0">SUM(AA12:AF12)</f>
        <v>9674.5</v>
      </c>
    </row>
    <row r="13" spans="1:33" x14ac:dyDescent="0.3">
      <c r="A13" s="5" t="s">
        <v>14</v>
      </c>
      <c r="B13" t="s">
        <v>60</v>
      </c>
      <c r="N13" s="6" t="s">
        <v>59</v>
      </c>
      <c r="O13" s="7">
        <v>12923.7</v>
      </c>
      <c r="Q13" s="6" t="s">
        <v>59</v>
      </c>
      <c r="R13" s="7">
        <v>11509.5</v>
      </c>
      <c r="T13" s="6" t="s">
        <v>59</v>
      </c>
      <c r="U13" s="7">
        <v>11525.8</v>
      </c>
      <c r="W13" s="6" t="s">
        <v>59</v>
      </c>
      <c r="X13" s="7">
        <v>11292.7</v>
      </c>
      <c r="Z13" s="6">
        <v>2019</v>
      </c>
      <c r="AA13" s="7">
        <v>1588</v>
      </c>
      <c r="AB13" s="7">
        <v>1626.3</v>
      </c>
      <c r="AC13" s="7">
        <v>1381.5</v>
      </c>
      <c r="AD13" s="7">
        <v>1539.1</v>
      </c>
      <c r="AE13" s="7">
        <v>1685.5999999999997</v>
      </c>
      <c r="AF13" s="7">
        <v>1502.5</v>
      </c>
      <c r="AG13" s="14">
        <f t="shared" si="0"/>
        <v>9323</v>
      </c>
    </row>
    <row r="14" spans="1:33" x14ac:dyDescent="0.3">
      <c r="A14" s="2" t="s">
        <v>36</v>
      </c>
      <c r="Z14" s="6">
        <v>2020</v>
      </c>
      <c r="AA14" s="7">
        <v>1476.5000000000002</v>
      </c>
      <c r="AB14" s="7">
        <v>1697.1000000000001</v>
      </c>
      <c r="AC14" s="7">
        <v>1360.9</v>
      </c>
      <c r="AD14" s="7">
        <v>1462.3</v>
      </c>
      <c r="AE14" s="7">
        <v>1573.6999999999998</v>
      </c>
      <c r="AF14" s="7">
        <v>1517.8000000000002</v>
      </c>
      <c r="AG14" s="14">
        <f t="shared" si="0"/>
        <v>9088.2999999999993</v>
      </c>
    </row>
    <row r="15" spans="1:33" x14ac:dyDescent="0.3">
      <c r="A15" s="5" t="s">
        <v>58</v>
      </c>
      <c r="B15" t="s">
        <v>61</v>
      </c>
      <c r="C15" t="s">
        <v>62</v>
      </c>
      <c r="D15" t="s">
        <v>63</v>
      </c>
      <c r="E15" t="s">
        <v>64</v>
      </c>
      <c r="F15" t="s">
        <v>65</v>
      </c>
      <c r="G15" t="s">
        <v>66</v>
      </c>
      <c r="H15" t="s">
        <v>67</v>
      </c>
      <c r="I15" t="s">
        <v>68</v>
      </c>
      <c r="J15" t="s">
        <v>69</v>
      </c>
      <c r="K15" t="s">
        <v>70</v>
      </c>
      <c r="L15" t="s">
        <v>71</v>
      </c>
      <c r="M15" t="s">
        <v>72</v>
      </c>
      <c r="Z15" s="6">
        <v>2021</v>
      </c>
      <c r="AA15" s="7">
        <v>1862.1000000000001</v>
      </c>
      <c r="AB15" s="7">
        <v>1990.1</v>
      </c>
      <c r="AC15" s="7">
        <v>1806.7</v>
      </c>
      <c r="AD15" s="7">
        <v>1867.2</v>
      </c>
      <c r="AE15" s="7">
        <v>1945.4</v>
      </c>
      <c r="AF15" s="7">
        <v>1904.8999999999999</v>
      </c>
      <c r="AG15" s="14">
        <f t="shared" si="0"/>
        <v>11376.4</v>
      </c>
    </row>
    <row r="16" spans="1:33" x14ac:dyDescent="0.3">
      <c r="A16" s="6">
        <v>2017</v>
      </c>
      <c r="B16" s="7">
        <v>1607.8</v>
      </c>
      <c r="C16" s="7">
        <v>1749.5</v>
      </c>
      <c r="D16" s="7">
        <v>1437.8999999999999</v>
      </c>
      <c r="E16" s="7">
        <v>1662.8000000000002</v>
      </c>
      <c r="F16" s="7">
        <v>1640.6</v>
      </c>
      <c r="G16" s="7">
        <v>1724.5000000000002</v>
      </c>
      <c r="H16" s="7">
        <v>1536.2</v>
      </c>
      <c r="I16" s="7">
        <v>1679.1000000000001</v>
      </c>
      <c r="J16" s="7">
        <v>1660</v>
      </c>
      <c r="K16" s="7">
        <v>1701.9</v>
      </c>
      <c r="L16" s="7">
        <v>1425.1000000000001</v>
      </c>
      <c r="M16" s="7">
        <v>1578.9999999999998</v>
      </c>
      <c r="Z16" s="6">
        <v>2022</v>
      </c>
      <c r="AA16" s="7">
        <v>2000.6</v>
      </c>
      <c r="AB16" s="7">
        <v>2111.1</v>
      </c>
      <c r="AC16" s="7">
        <v>1933.1</v>
      </c>
      <c r="AD16" s="7">
        <v>1988.2999999999997</v>
      </c>
      <c r="AE16" s="7">
        <v>2037.9000000000003</v>
      </c>
      <c r="AF16" s="7">
        <v>2034.5000000000002</v>
      </c>
      <c r="AG16" s="14">
        <f t="shared" si="0"/>
        <v>12105.499999999998</v>
      </c>
    </row>
    <row r="17" spans="1:33" x14ac:dyDescent="0.3">
      <c r="A17" s="6">
        <v>2018</v>
      </c>
      <c r="B17" s="7">
        <v>1644.7000000000003</v>
      </c>
      <c r="C17" s="7">
        <v>1826.9</v>
      </c>
      <c r="D17" s="7">
        <v>1362.3999999999999</v>
      </c>
      <c r="E17" s="7">
        <v>1468.3999999999996</v>
      </c>
      <c r="F17" s="7">
        <v>1667.6</v>
      </c>
      <c r="G17" s="7">
        <v>1729.6999999999996</v>
      </c>
      <c r="H17" s="7">
        <v>1569.6</v>
      </c>
      <c r="I17" s="7">
        <v>1764</v>
      </c>
      <c r="J17" s="7">
        <v>1702.9999999999998</v>
      </c>
      <c r="K17" s="7">
        <v>1763.1</v>
      </c>
      <c r="L17" s="7">
        <v>1455</v>
      </c>
      <c r="M17" s="7">
        <v>1651</v>
      </c>
      <c r="Z17" s="6">
        <v>2023</v>
      </c>
      <c r="AA17" s="7">
        <v>871.1</v>
      </c>
      <c r="AB17" s="7">
        <v>921.8</v>
      </c>
      <c r="AC17" s="7">
        <v>821.30000000000007</v>
      </c>
      <c r="AD17" s="7">
        <v>852</v>
      </c>
      <c r="AE17" s="7">
        <v>877.8</v>
      </c>
      <c r="AF17" s="7">
        <v>909.80000000000007</v>
      </c>
      <c r="AG17" s="14">
        <f t="shared" si="0"/>
        <v>5253.8</v>
      </c>
    </row>
    <row r="18" spans="1:33" x14ac:dyDescent="0.3">
      <c r="A18" s="6">
        <v>2019</v>
      </c>
      <c r="B18" s="7">
        <v>1537.6</v>
      </c>
      <c r="C18" s="7">
        <v>1718.3000000000002</v>
      </c>
      <c r="D18" s="7">
        <v>1226.5</v>
      </c>
      <c r="E18" s="7">
        <v>1415.3</v>
      </c>
      <c r="F18" s="7">
        <v>1568.6000000000001</v>
      </c>
      <c r="G18" s="7">
        <v>1793</v>
      </c>
      <c r="H18" s="7">
        <v>1479.6</v>
      </c>
      <c r="I18" s="7">
        <v>1590.1000000000001</v>
      </c>
      <c r="J18" s="7">
        <v>1587.6999999999998</v>
      </c>
      <c r="K18" s="7">
        <v>1750.3</v>
      </c>
      <c r="L18" s="7">
        <v>1352.8</v>
      </c>
      <c r="M18" s="7">
        <v>1553.2</v>
      </c>
      <c r="Z18" s="6" t="s">
        <v>59</v>
      </c>
      <c r="AA18" s="7">
        <v>11043.6</v>
      </c>
      <c r="AB18" s="7">
        <v>11551.9</v>
      </c>
      <c r="AC18" s="7">
        <v>10188.999999999998</v>
      </c>
      <c r="AD18" s="7">
        <v>10824.199999999999</v>
      </c>
      <c r="AE18" s="7">
        <v>11479.099999999999</v>
      </c>
      <c r="AF18" s="7">
        <v>10918.9</v>
      </c>
      <c r="AG18" s="14">
        <f t="shared" si="0"/>
        <v>66006.7</v>
      </c>
    </row>
    <row r="19" spans="1:33" x14ac:dyDescent="0.3">
      <c r="A19" s="6">
        <v>2020</v>
      </c>
      <c r="B19" s="7">
        <v>1619.6999999999998</v>
      </c>
      <c r="C19" s="7">
        <v>1617.8999999999996</v>
      </c>
      <c r="D19" s="7">
        <v>1268.3</v>
      </c>
      <c r="E19" s="7">
        <v>1642.9</v>
      </c>
      <c r="F19" s="7">
        <v>1738.3</v>
      </c>
      <c r="G19" s="7">
        <v>2041.1</v>
      </c>
      <c r="H19" s="7">
        <v>1547.3999999999999</v>
      </c>
      <c r="I19" s="7">
        <v>1620.4</v>
      </c>
      <c r="J19" s="7">
        <v>1682.9999999999998</v>
      </c>
      <c r="K19" s="7">
        <v>1836.2</v>
      </c>
      <c r="L19" s="7">
        <v>1505.2</v>
      </c>
      <c r="M19" s="7">
        <v>1719.9999999999998</v>
      </c>
    </row>
    <row r="20" spans="1:33" x14ac:dyDescent="0.3">
      <c r="A20" s="6">
        <v>2021</v>
      </c>
      <c r="B20" s="7">
        <v>1754.4999999999998</v>
      </c>
      <c r="C20" s="7">
        <v>2059.7000000000003</v>
      </c>
      <c r="D20" s="7">
        <v>1402.1999999999998</v>
      </c>
      <c r="E20" s="7">
        <v>1959.2</v>
      </c>
      <c r="F20" s="7">
        <v>2007.6000000000001</v>
      </c>
      <c r="G20" s="7">
        <v>2012.6000000000001</v>
      </c>
      <c r="H20" s="7">
        <v>1918.1</v>
      </c>
      <c r="I20" s="7">
        <v>1894.6</v>
      </c>
      <c r="J20" s="7">
        <v>1883.6000000000001</v>
      </c>
      <c r="K20" s="7">
        <v>2389.1</v>
      </c>
      <c r="L20" s="7">
        <v>2132.4</v>
      </c>
      <c r="M20" s="7">
        <v>2073.2999999999997</v>
      </c>
    </row>
    <row r="21" spans="1:33" x14ac:dyDescent="0.3">
      <c r="A21" s="6">
        <v>2022</v>
      </c>
      <c r="B21" s="7">
        <v>1894.8999999999999</v>
      </c>
      <c r="C21" s="7">
        <v>2208.9</v>
      </c>
      <c r="D21" s="7">
        <v>1444.6000000000001</v>
      </c>
      <c r="E21" s="7">
        <v>1996.9000000000003</v>
      </c>
      <c r="F21" s="7">
        <v>2265.9</v>
      </c>
      <c r="G21" s="7">
        <v>2137.6000000000004</v>
      </c>
      <c r="H21" s="7">
        <v>2013.3999999999999</v>
      </c>
      <c r="I21" s="7">
        <v>1973.6</v>
      </c>
      <c r="J21" s="7">
        <v>1999.2000000000003</v>
      </c>
      <c r="K21" s="7">
        <v>2516.1999999999998</v>
      </c>
      <c r="L21" s="7">
        <v>2307.7999999999997</v>
      </c>
      <c r="M21" s="7">
        <v>2076.7000000000003</v>
      </c>
    </row>
    <row r="22" spans="1:33" x14ac:dyDescent="0.3">
      <c r="A22" s="6">
        <v>2023</v>
      </c>
      <c r="B22" s="7">
        <v>870.09999999999991</v>
      </c>
      <c r="C22" s="7">
        <v>964.90000000000009</v>
      </c>
      <c r="D22" s="7">
        <v>605.1</v>
      </c>
      <c r="E22" s="7">
        <v>862</v>
      </c>
      <c r="F22" s="7">
        <v>1058.7</v>
      </c>
      <c r="G22" s="7">
        <v>775.8</v>
      </c>
      <c r="H22" s="7">
        <v>862.30000000000007</v>
      </c>
      <c r="I22" s="7">
        <v>845.8</v>
      </c>
      <c r="J22" s="7">
        <v>887.1</v>
      </c>
      <c r="K22" s="7">
        <v>1049.7</v>
      </c>
      <c r="L22" s="7">
        <v>890.59999999999991</v>
      </c>
      <c r="M22" s="7">
        <v>887.7</v>
      </c>
    </row>
    <row r="23" spans="1:33" x14ac:dyDescent="0.3">
      <c r="A23" s="6" t="s">
        <v>59</v>
      </c>
      <c r="B23" s="7">
        <v>10929.300000000001</v>
      </c>
      <c r="C23" s="7">
        <v>12146.1</v>
      </c>
      <c r="D23" s="7">
        <v>8747</v>
      </c>
      <c r="E23" s="7">
        <v>11007.5</v>
      </c>
      <c r="F23" s="7">
        <v>11947.300000000001</v>
      </c>
      <c r="G23" s="7">
        <v>12214.3</v>
      </c>
      <c r="H23" s="7">
        <v>10926.599999999999</v>
      </c>
      <c r="I23" s="7">
        <v>11367.6</v>
      </c>
      <c r="J23" s="7">
        <v>11403.6</v>
      </c>
      <c r="K23" s="7">
        <v>13006.5</v>
      </c>
      <c r="L23" s="7">
        <v>11068.9</v>
      </c>
      <c r="M23" s="7">
        <v>11540.900000000001</v>
      </c>
    </row>
    <row r="25" spans="1:33" x14ac:dyDescent="0.3">
      <c r="A25" s="9" t="s">
        <v>36</v>
      </c>
      <c r="B25" s="9" t="s">
        <v>83</v>
      </c>
    </row>
    <row r="26" spans="1:33" x14ac:dyDescent="0.3">
      <c r="A26" s="10">
        <v>2017</v>
      </c>
      <c r="B26" s="12">
        <f t="shared" ref="B26:B33" si="1">SUM(B16:M16)</f>
        <v>19404.400000000001</v>
      </c>
    </row>
    <row r="27" spans="1:33" x14ac:dyDescent="0.3">
      <c r="A27" s="10">
        <v>2018</v>
      </c>
      <c r="B27" s="12">
        <f t="shared" si="1"/>
        <v>19605.399999999998</v>
      </c>
    </row>
    <row r="28" spans="1:33" x14ac:dyDescent="0.3">
      <c r="A28" s="10">
        <v>2019</v>
      </c>
      <c r="B28" s="12">
        <f t="shared" si="1"/>
        <v>18573</v>
      </c>
    </row>
    <row r="29" spans="1:33" x14ac:dyDescent="0.3">
      <c r="A29" s="10">
        <v>2020</v>
      </c>
      <c r="B29" s="12">
        <f t="shared" si="1"/>
        <v>19840.399999999998</v>
      </c>
    </row>
    <row r="30" spans="1:33" x14ac:dyDescent="0.3">
      <c r="A30" s="10">
        <v>2021</v>
      </c>
      <c r="B30" s="12">
        <f t="shared" si="1"/>
        <v>23486.899999999998</v>
      </c>
    </row>
    <row r="31" spans="1:33" x14ac:dyDescent="0.3">
      <c r="A31" s="10">
        <v>2022</v>
      </c>
      <c r="B31" s="12">
        <f t="shared" si="1"/>
        <v>24835.7</v>
      </c>
    </row>
    <row r="32" spans="1:33" x14ac:dyDescent="0.3">
      <c r="A32" s="10">
        <v>2023</v>
      </c>
      <c r="B32" s="12">
        <f t="shared" si="1"/>
        <v>10559.800000000003</v>
      </c>
    </row>
    <row r="33" spans="1:8" x14ac:dyDescent="0.3">
      <c r="A33" s="11" t="s">
        <v>59</v>
      </c>
      <c r="B33" s="13">
        <f t="shared" si="1"/>
        <v>136305.60000000001</v>
      </c>
    </row>
    <row r="35" spans="1:8" x14ac:dyDescent="0.3">
      <c r="A35" s="11" t="s">
        <v>1</v>
      </c>
      <c r="B35" s="11" t="s">
        <v>36</v>
      </c>
      <c r="C35" s="11" t="s">
        <v>73</v>
      </c>
      <c r="D35" s="11" t="s">
        <v>74</v>
      </c>
      <c r="E35" s="11" t="s">
        <v>75</v>
      </c>
      <c r="F35" s="11" t="s">
        <v>76</v>
      </c>
      <c r="G35" s="11" t="s">
        <v>84</v>
      </c>
      <c r="H35" s="11" t="s">
        <v>83</v>
      </c>
    </row>
    <row r="36" spans="1:8" x14ac:dyDescent="0.3">
      <c r="A36" s="10">
        <v>2017</v>
      </c>
      <c r="B36" s="12">
        <v>19404.400000000001</v>
      </c>
      <c r="C36" s="12">
        <v>1779.2</v>
      </c>
      <c r="D36" s="12">
        <v>1661.8000000000002</v>
      </c>
      <c r="E36" s="12">
        <v>1604.1</v>
      </c>
      <c r="F36" s="12">
        <v>1566.1</v>
      </c>
      <c r="G36" s="12">
        <v>9185.2000000000007</v>
      </c>
      <c r="H36" s="16">
        <f>SUM(B36:G36)</f>
        <v>35200.800000000003</v>
      </c>
    </row>
    <row r="37" spans="1:8" x14ac:dyDescent="0.3">
      <c r="A37" s="10">
        <v>2018</v>
      </c>
      <c r="B37" s="12">
        <v>19605.399999999998</v>
      </c>
      <c r="C37" s="12">
        <v>1901.8000000000004</v>
      </c>
      <c r="D37" s="12">
        <v>1740.3999999999999</v>
      </c>
      <c r="E37" s="12">
        <v>1726.1000000000001</v>
      </c>
      <c r="F37" s="12">
        <v>1677.3</v>
      </c>
      <c r="G37" s="12">
        <v>9674.5</v>
      </c>
      <c r="H37" s="16">
        <f t="shared" ref="H37:H43" si="2">SUM(B37:G37)</f>
        <v>36325.5</v>
      </c>
    </row>
    <row r="38" spans="1:8" x14ac:dyDescent="0.3">
      <c r="A38" s="10">
        <v>2019</v>
      </c>
      <c r="B38" s="12">
        <v>18573</v>
      </c>
      <c r="C38" s="12">
        <v>1820.1000000000001</v>
      </c>
      <c r="D38" s="12">
        <v>1623.5000000000002</v>
      </c>
      <c r="E38" s="12">
        <v>1658.4</v>
      </c>
      <c r="F38" s="12">
        <v>1542.7</v>
      </c>
      <c r="G38" s="12">
        <v>9323</v>
      </c>
      <c r="H38" s="16">
        <f t="shared" si="2"/>
        <v>34540.699999999997</v>
      </c>
    </row>
    <row r="39" spans="1:8" x14ac:dyDescent="0.3">
      <c r="A39" s="10">
        <v>2020</v>
      </c>
      <c r="B39" s="12">
        <v>19840.399999999998</v>
      </c>
      <c r="C39" s="12">
        <v>1799</v>
      </c>
      <c r="D39" s="12">
        <v>1513.7</v>
      </c>
      <c r="E39" s="12">
        <v>1712.9</v>
      </c>
      <c r="F39" s="12">
        <v>1585.8</v>
      </c>
      <c r="G39" s="12">
        <v>9088.2999999999993</v>
      </c>
      <c r="H39" s="16">
        <f t="shared" si="2"/>
        <v>35540.1</v>
      </c>
    </row>
    <row r="40" spans="1:8" x14ac:dyDescent="0.3">
      <c r="A40" s="10">
        <v>2021</v>
      </c>
      <c r="B40" s="12">
        <v>23486.899999999998</v>
      </c>
      <c r="C40" s="12">
        <v>2287.8000000000002</v>
      </c>
      <c r="D40" s="12">
        <v>1929.8000000000002</v>
      </c>
      <c r="E40" s="12">
        <v>1937.8000000000002</v>
      </c>
      <c r="F40" s="12">
        <v>1908.7</v>
      </c>
      <c r="G40" s="12">
        <v>11376.4</v>
      </c>
      <c r="H40" s="16">
        <f t="shared" si="2"/>
        <v>42927.399999999994</v>
      </c>
    </row>
    <row r="41" spans="1:8" x14ac:dyDescent="0.3">
      <c r="A41" s="10">
        <v>2022</v>
      </c>
      <c r="B41" s="12">
        <v>24835.7</v>
      </c>
      <c r="C41" s="12">
        <v>2337</v>
      </c>
      <c r="D41" s="12">
        <v>2114.3999999999996</v>
      </c>
      <c r="E41" s="12">
        <v>2016.6</v>
      </c>
      <c r="F41" s="12">
        <v>2101.6</v>
      </c>
      <c r="G41" s="12">
        <v>12105.499999999998</v>
      </c>
      <c r="H41" s="16">
        <f t="shared" si="2"/>
        <v>45510.799999999996</v>
      </c>
    </row>
    <row r="42" spans="1:8" x14ac:dyDescent="0.3">
      <c r="A42" s="10">
        <v>2023</v>
      </c>
      <c r="B42" s="12">
        <v>10559.800000000003</v>
      </c>
      <c r="C42" s="12">
        <v>998.8</v>
      </c>
      <c r="D42" s="12">
        <v>925.90000000000009</v>
      </c>
      <c r="E42" s="12">
        <v>869.9</v>
      </c>
      <c r="F42" s="12">
        <v>910.5</v>
      </c>
      <c r="G42" s="12">
        <v>5253.8</v>
      </c>
      <c r="H42" s="16">
        <f t="shared" si="2"/>
        <v>19518.7</v>
      </c>
    </row>
    <row r="43" spans="1:8" x14ac:dyDescent="0.3">
      <c r="A43" s="11" t="s">
        <v>59</v>
      </c>
      <c r="B43" s="15">
        <f>SUM(B36:B42)</f>
        <v>136305.59999999998</v>
      </c>
      <c r="C43" s="15">
        <f t="shared" ref="C43:G43" si="3">SUM(C36:C42)</f>
        <v>12923.7</v>
      </c>
      <c r="D43" s="15">
        <f t="shared" si="3"/>
        <v>11509.5</v>
      </c>
      <c r="E43" s="15">
        <f t="shared" si="3"/>
        <v>11525.8</v>
      </c>
      <c r="F43" s="15">
        <f t="shared" si="3"/>
        <v>11292.7</v>
      </c>
      <c r="G43" s="15">
        <f t="shared" si="3"/>
        <v>66006.7</v>
      </c>
      <c r="H43" s="15">
        <f t="shared" si="2"/>
        <v>249564</v>
      </c>
    </row>
    <row r="45" spans="1:8" x14ac:dyDescent="0.3">
      <c r="A45" s="11" t="s">
        <v>1</v>
      </c>
      <c r="B45" s="11" t="s">
        <v>83</v>
      </c>
      <c r="C45" s="11" t="s">
        <v>85</v>
      </c>
    </row>
    <row r="46" spans="1:8" x14ac:dyDescent="0.3">
      <c r="A46" s="10">
        <v>2017</v>
      </c>
      <c r="B46" s="12">
        <v>35200.800000000003</v>
      </c>
      <c r="C46" s="1" t="s">
        <v>57</v>
      </c>
    </row>
    <row r="47" spans="1:8" x14ac:dyDescent="0.3">
      <c r="A47" s="10">
        <v>2018</v>
      </c>
      <c r="B47" s="12">
        <v>36325.5</v>
      </c>
      <c r="C47" s="17">
        <f>B47/B46-1</f>
        <v>3.1950978386854789E-2</v>
      </c>
    </row>
    <row r="48" spans="1:8" x14ac:dyDescent="0.3">
      <c r="A48" s="10">
        <v>2019</v>
      </c>
      <c r="B48" s="12">
        <v>34540.699999999997</v>
      </c>
      <c r="C48" s="17">
        <f t="shared" ref="C48:C52" si="4">B48/B47-1</f>
        <v>-4.9133528788316783E-2</v>
      </c>
    </row>
    <row r="49" spans="1:3" x14ac:dyDescent="0.3">
      <c r="A49" s="10">
        <v>2020</v>
      </c>
      <c r="B49" s="12">
        <v>35540.1</v>
      </c>
      <c r="C49" s="17">
        <f t="shared" si="4"/>
        <v>2.8933982229659483E-2</v>
      </c>
    </row>
    <row r="50" spans="1:3" x14ac:dyDescent="0.3">
      <c r="A50" s="10">
        <v>2021</v>
      </c>
      <c r="B50" s="12">
        <v>42927.399999999994</v>
      </c>
      <c r="C50" s="17">
        <f t="shared" si="4"/>
        <v>0.20785816584646621</v>
      </c>
    </row>
    <row r="51" spans="1:3" x14ac:dyDescent="0.3">
      <c r="A51" s="10">
        <v>2022</v>
      </c>
      <c r="B51" s="12">
        <v>45510.799999999996</v>
      </c>
      <c r="C51" s="17">
        <f t="shared" si="4"/>
        <v>6.0180677143269801E-2</v>
      </c>
    </row>
    <row r="52" spans="1:3" x14ac:dyDescent="0.3">
      <c r="A52" s="10">
        <v>2023</v>
      </c>
      <c r="B52" s="12">
        <v>19518.7</v>
      </c>
      <c r="C52" s="17">
        <f t="shared" si="4"/>
        <v>-0.57111938265202977</v>
      </c>
    </row>
    <row r="53" spans="1:3" x14ac:dyDescent="0.3">
      <c r="A53" s="11" t="s">
        <v>59</v>
      </c>
      <c r="B53" s="12">
        <v>249564</v>
      </c>
      <c r="C53" s="1"/>
    </row>
    <row r="55" spans="1:3" x14ac:dyDescent="0.3">
      <c r="A55" s="11" t="s">
        <v>1</v>
      </c>
      <c r="B55" s="11" t="s">
        <v>85</v>
      </c>
    </row>
    <row r="56" spans="1:3" x14ac:dyDescent="0.3">
      <c r="A56" s="10">
        <v>2017</v>
      </c>
      <c r="B56" s="17" t="s">
        <v>57</v>
      </c>
    </row>
    <row r="57" spans="1:3" x14ac:dyDescent="0.3">
      <c r="A57" s="10">
        <v>2018</v>
      </c>
      <c r="B57" s="17">
        <v>3.1950978386854789E-2</v>
      </c>
    </row>
    <row r="58" spans="1:3" x14ac:dyDescent="0.3">
      <c r="A58" s="10">
        <v>2019</v>
      </c>
      <c r="B58" s="17">
        <v>-4.9133528788316783E-2</v>
      </c>
    </row>
    <row r="59" spans="1:3" x14ac:dyDescent="0.3">
      <c r="A59" s="10">
        <v>2020</v>
      </c>
      <c r="B59" s="17">
        <v>2.8933982229659483E-2</v>
      </c>
    </row>
    <row r="60" spans="1:3" x14ac:dyDescent="0.3">
      <c r="A60" s="10">
        <v>2021</v>
      </c>
      <c r="B60" s="17">
        <v>0.20785816584646621</v>
      </c>
    </row>
    <row r="61" spans="1:3" x14ac:dyDescent="0.3">
      <c r="A61" s="10">
        <v>2022</v>
      </c>
      <c r="B61" s="17">
        <v>6.0180677143269801E-2</v>
      </c>
    </row>
    <row r="62" spans="1:3" x14ac:dyDescent="0.3">
      <c r="A62" s="10">
        <v>2023</v>
      </c>
      <c r="B62" s="17">
        <v>-0.57111938265202977</v>
      </c>
    </row>
  </sheetData>
  <pageMargins left="0.7" right="0.7" top="0.75" bottom="0.75" header="0.3" footer="0.3"/>
  <pageSetup paperSize="9" orientation="portrait" r:id="rId7"/>
  <drawing r:id="rId8"/>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53"/>
  <sheetViews>
    <sheetView topLeftCell="A46" workbookViewId="0">
      <selection activeCell="D68" sqref="D68"/>
    </sheetView>
  </sheetViews>
  <sheetFormatPr defaultRowHeight="14.4" x14ac:dyDescent="0.3"/>
  <cols>
    <col min="1" max="1" width="12.5546875" customWidth="1"/>
    <col min="2" max="2" width="49.77734375" bestFit="1" customWidth="1"/>
    <col min="3" max="3" width="38" bestFit="1" customWidth="1"/>
    <col min="4" max="4" width="25.44140625" bestFit="1" customWidth="1"/>
    <col min="5" max="5" width="19.21875" bestFit="1" customWidth="1"/>
    <col min="6" max="6" width="23" customWidth="1"/>
    <col min="7" max="7" width="23" bestFit="1" customWidth="1"/>
    <col min="8" max="8" width="28.6640625" customWidth="1"/>
    <col min="9" max="9" width="28.6640625" bestFit="1" customWidth="1"/>
    <col min="10" max="10" width="25" bestFit="1" customWidth="1"/>
    <col min="11" max="11" width="28.5546875" customWidth="1"/>
    <col min="12" max="12" width="28.5546875" bestFit="1" customWidth="1"/>
    <col min="13" max="13" width="17.88671875" bestFit="1" customWidth="1"/>
    <col min="14" max="14" width="12.6640625" bestFit="1" customWidth="1"/>
  </cols>
  <sheetData>
    <row r="1" spans="1:11" x14ac:dyDescent="0.3">
      <c r="A1" s="5" t="s">
        <v>15</v>
      </c>
      <c r="B1" t="s">
        <v>60</v>
      </c>
    </row>
    <row r="3" spans="1:11" x14ac:dyDescent="0.3">
      <c r="A3" s="5" t="s">
        <v>87</v>
      </c>
      <c r="B3" s="5" t="s">
        <v>86</v>
      </c>
      <c r="F3" s="35" t="s">
        <v>91</v>
      </c>
    </row>
    <row r="4" spans="1:11" x14ac:dyDescent="0.3">
      <c r="A4" s="5" t="s">
        <v>58</v>
      </c>
      <c r="B4">
        <v>2022</v>
      </c>
      <c r="C4">
        <v>2023</v>
      </c>
      <c r="D4" t="s">
        <v>59</v>
      </c>
      <c r="F4" s="19" t="s">
        <v>58</v>
      </c>
      <c r="G4" s="19">
        <v>2022</v>
      </c>
      <c r="H4" s="19">
        <v>2023</v>
      </c>
      <c r="I4" s="20" t="s">
        <v>88</v>
      </c>
      <c r="J4" s="20" t="s">
        <v>89</v>
      </c>
      <c r="K4" s="20" t="s">
        <v>90</v>
      </c>
    </row>
    <row r="5" spans="1:11" x14ac:dyDescent="0.3">
      <c r="A5" s="6" t="s">
        <v>42</v>
      </c>
      <c r="B5" s="7"/>
      <c r="C5" s="7">
        <v>176.7</v>
      </c>
      <c r="D5" s="7">
        <v>176.7</v>
      </c>
      <c r="F5" s="21" t="s">
        <v>48</v>
      </c>
      <c r="G5" s="22">
        <v>174.9</v>
      </c>
      <c r="H5" s="22"/>
      <c r="I5" s="1"/>
      <c r="J5" s="23">
        <f>MAX(I6:I16)</f>
        <v>1.0123734533183271E-2</v>
      </c>
      <c r="K5" s="23">
        <f>MIN(I6:I16)</f>
        <v>-1.346045989904654E-2</v>
      </c>
    </row>
    <row r="6" spans="1:11" x14ac:dyDescent="0.3">
      <c r="A6" s="6" t="s">
        <v>45</v>
      </c>
      <c r="B6" s="7"/>
      <c r="C6" s="7">
        <v>177</v>
      </c>
      <c r="D6" s="7">
        <v>177</v>
      </c>
      <c r="F6" s="21" t="s">
        <v>49</v>
      </c>
      <c r="G6" s="22">
        <v>175</v>
      </c>
      <c r="H6" s="22"/>
      <c r="I6" s="24">
        <f>G6/G5-1</f>
        <v>5.7175528873631976E-4</v>
      </c>
      <c r="J6" s="25">
        <v>44835</v>
      </c>
      <c r="K6" s="25">
        <v>44896</v>
      </c>
    </row>
    <row r="7" spans="1:11" x14ac:dyDescent="0.3">
      <c r="A7" s="6" t="s">
        <v>46</v>
      </c>
      <c r="B7" s="7"/>
      <c r="C7" s="7">
        <v>177</v>
      </c>
      <c r="D7" s="7">
        <v>177</v>
      </c>
      <c r="F7" s="21" t="s">
        <v>50</v>
      </c>
      <c r="G7" s="22">
        <v>176.3</v>
      </c>
      <c r="H7" s="22"/>
      <c r="I7" s="24">
        <f t="shared" ref="I7:I11" si="0">G7/G6-1</f>
        <v>7.4285714285715621E-3</v>
      </c>
    </row>
    <row r="8" spans="1:11" x14ac:dyDescent="0.3">
      <c r="A8" s="6" t="s">
        <v>47</v>
      </c>
      <c r="B8" s="7"/>
      <c r="C8" s="7">
        <v>177.9</v>
      </c>
      <c r="D8" s="7">
        <v>177.9</v>
      </c>
      <c r="F8" s="21" t="s">
        <v>51</v>
      </c>
      <c r="G8" s="22">
        <v>177.8</v>
      </c>
      <c r="H8" s="22"/>
      <c r="I8" s="24">
        <f t="shared" si="0"/>
        <v>8.5082246171299669E-3</v>
      </c>
    </row>
    <row r="9" spans="1:11" x14ac:dyDescent="0.3">
      <c r="A9" s="6" t="s">
        <v>31</v>
      </c>
      <c r="B9" s="7"/>
      <c r="C9" s="7">
        <v>179.1</v>
      </c>
      <c r="D9" s="7">
        <v>179.1</v>
      </c>
      <c r="F9" s="26" t="s">
        <v>52</v>
      </c>
      <c r="G9" s="27">
        <v>179.6</v>
      </c>
      <c r="H9" s="27"/>
      <c r="I9" s="28">
        <f t="shared" si="0"/>
        <v>1.0123734533183271E-2</v>
      </c>
    </row>
    <row r="10" spans="1:11" x14ac:dyDescent="0.3">
      <c r="A10" s="6" t="s">
        <v>48</v>
      </c>
      <c r="B10" s="7">
        <v>174.9</v>
      </c>
      <c r="C10" s="7"/>
      <c r="D10" s="7">
        <v>174.9</v>
      </c>
      <c r="F10" s="21" t="s">
        <v>54</v>
      </c>
      <c r="G10" s="22">
        <v>178.3</v>
      </c>
      <c r="H10" s="22"/>
      <c r="I10" s="24">
        <f t="shared" si="0"/>
        <v>-7.2383073496657957E-3</v>
      </c>
    </row>
    <row r="11" spans="1:11" x14ac:dyDescent="0.3">
      <c r="A11" s="6" t="s">
        <v>49</v>
      </c>
      <c r="B11" s="7">
        <v>175</v>
      </c>
      <c r="C11" s="7"/>
      <c r="D11" s="7">
        <v>175</v>
      </c>
      <c r="F11" s="26" t="s">
        <v>55</v>
      </c>
      <c r="G11" s="27">
        <v>175.9</v>
      </c>
      <c r="H11" s="27"/>
      <c r="I11" s="28">
        <f t="shared" si="0"/>
        <v>-1.346045989904654E-2</v>
      </c>
    </row>
    <row r="12" spans="1:11" x14ac:dyDescent="0.3">
      <c r="A12" s="6" t="s">
        <v>50</v>
      </c>
      <c r="B12" s="7">
        <v>176.3</v>
      </c>
      <c r="C12" s="7"/>
      <c r="D12" s="7">
        <v>176.3</v>
      </c>
      <c r="E12" s="18"/>
      <c r="F12" s="21" t="s">
        <v>42</v>
      </c>
      <c r="G12" s="22"/>
      <c r="H12" s="22">
        <v>176.7</v>
      </c>
      <c r="I12" s="24">
        <f>H12/G11-1</f>
        <v>4.5480386583285348E-3</v>
      </c>
    </row>
    <row r="13" spans="1:11" x14ac:dyDescent="0.3">
      <c r="A13" s="6" t="s">
        <v>51</v>
      </c>
      <c r="B13" s="7">
        <v>177.8</v>
      </c>
      <c r="C13" s="7"/>
      <c r="D13" s="7">
        <v>177.8</v>
      </c>
      <c r="E13" s="18"/>
      <c r="F13" s="21" t="s">
        <v>45</v>
      </c>
      <c r="G13" s="22"/>
      <c r="H13" s="22">
        <v>177</v>
      </c>
      <c r="I13" s="24">
        <f>H13/H12-1</f>
        <v>1.6977928692700761E-3</v>
      </c>
    </row>
    <row r="14" spans="1:11" x14ac:dyDescent="0.3">
      <c r="A14" s="6" t="s">
        <v>52</v>
      </c>
      <c r="B14" s="7">
        <v>179.6</v>
      </c>
      <c r="C14" s="7"/>
      <c r="D14" s="7">
        <v>179.6</v>
      </c>
      <c r="E14" s="18"/>
      <c r="F14" s="21" t="s">
        <v>46</v>
      </c>
      <c r="G14" s="22"/>
      <c r="H14" s="22">
        <v>177</v>
      </c>
      <c r="I14" s="24">
        <f t="shared" ref="I14:I16" si="1">H14/H13-1</f>
        <v>0</v>
      </c>
    </row>
    <row r="15" spans="1:11" x14ac:dyDescent="0.3">
      <c r="A15" s="6" t="s">
        <v>54</v>
      </c>
      <c r="B15" s="7">
        <v>178.3</v>
      </c>
      <c r="C15" s="7"/>
      <c r="D15" s="7">
        <v>178.3</v>
      </c>
      <c r="E15" s="18"/>
      <c r="F15" s="21" t="s">
        <v>47</v>
      </c>
      <c r="G15" s="22"/>
      <c r="H15" s="22">
        <v>177.9</v>
      </c>
      <c r="I15" s="24">
        <f t="shared" si="1"/>
        <v>5.0847457627118953E-3</v>
      </c>
    </row>
    <row r="16" spans="1:11" x14ac:dyDescent="0.3">
      <c r="A16" s="6" t="s">
        <v>55</v>
      </c>
      <c r="B16" s="7">
        <v>175.9</v>
      </c>
      <c r="C16" s="7"/>
      <c r="D16" s="7">
        <v>175.9</v>
      </c>
      <c r="F16" s="21" t="s">
        <v>31</v>
      </c>
      <c r="G16" s="22"/>
      <c r="H16" s="22">
        <v>179.1</v>
      </c>
      <c r="I16" s="24">
        <f t="shared" si="1"/>
        <v>6.7453625632376557E-3</v>
      </c>
    </row>
    <row r="17" spans="1:13" x14ac:dyDescent="0.3">
      <c r="A17" s="6" t="s">
        <v>59</v>
      </c>
      <c r="B17" s="7">
        <v>1237.8000000000002</v>
      </c>
      <c r="C17" s="7">
        <v>887.7</v>
      </c>
      <c r="D17" s="7">
        <v>2125.5</v>
      </c>
    </row>
    <row r="18" spans="1:13" x14ac:dyDescent="0.3">
      <c r="A18" s="6"/>
      <c r="B18" s="7"/>
      <c r="C18" s="7"/>
      <c r="D18" s="7"/>
    </row>
    <row r="19" spans="1:13" x14ac:dyDescent="0.3">
      <c r="A19" s="6"/>
      <c r="B19" s="7"/>
      <c r="C19" s="7"/>
      <c r="D19" s="7"/>
    </row>
    <row r="21" spans="1:13" x14ac:dyDescent="0.3">
      <c r="A21" s="35" t="s">
        <v>92</v>
      </c>
    </row>
    <row r="22" spans="1:13" x14ac:dyDescent="0.3">
      <c r="A22" s="5" t="s">
        <v>58</v>
      </c>
      <c r="B22" t="s">
        <v>62</v>
      </c>
      <c r="C22" t="s">
        <v>61</v>
      </c>
      <c r="D22" t="s">
        <v>70</v>
      </c>
      <c r="E22" t="s">
        <v>72</v>
      </c>
      <c r="F22" t="s">
        <v>69</v>
      </c>
      <c r="G22" t="s">
        <v>68</v>
      </c>
      <c r="H22" t="s">
        <v>63</v>
      </c>
      <c r="I22" t="s">
        <v>64</v>
      </c>
      <c r="J22" t="s">
        <v>66</v>
      </c>
      <c r="K22" t="s">
        <v>67</v>
      </c>
      <c r="L22" t="s">
        <v>71</v>
      </c>
      <c r="M22" t="s">
        <v>65</v>
      </c>
    </row>
    <row r="23" spans="1:13" x14ac:dyDescent="0.3">
      <c r="A23" s="6" t="s">
        <v>42</v>
      </c>
      <c r="B23" s="7">
        <v>191.2</v>
      </c>
      <c r="C23" s="7">
        <v>173.8</v>
      </c>
      <c r="D23" s="7">
        <v>210.7</v>
      </c>
      <c r="E23" s="7">
        <v>194.5</v>
      </c>
      <c r="F23" s="7">
        <v>174.6</v>
      </c>
      <c r="G23" s="7">
        <v>158.30000000000001</v>
      </c>
      <c r="H23" s="7">
        <v>121.1</v>
      </c>
      <c r="I23" s="7">
        <v>170.9</v>
      </c>
      <c r="J23" s="7">
        <v>153.9</v>
      </c>
      <c r="K23" s="7">
        <v>171.4</v>
      </c>
      <c r="L23" s="7">
        <v>187.2</v>
      </c>
      <c r="M23" s="7">
        <v>208.4</v>
      </c>
    </row>
    <row r="24" spans="1:13" x14ac:dyDescent="0.3">
      <c r="A24" s="6" t="s">
        <v>45</v>
      </c>
      <c r="B24" s="7">
        <v>193</v>
      </c>
      <c r="C24" s="7">
        <v>174.4</v>
      </c>
      <c r="D24" s="7">
        <v>207.7</v>
      </c>
      <c r="E24" s="7">
        <v>175.2</v>
      </c>
      <c r="F24" s="7">
        <v>177.3</v>
      </c>
      <c r="G24" s="7">
        <v>169.5</v>
      </c>
      <c r="H24" s="7">
        <v>120</v>
      </c>
      <c r="I24" s="7">
        <v>171</v>
      </c>
      <c r="J24" s="7">
        <v>152.69999999999999</v>
      </c>
      <c r="K24" s="7">
        <v>172.3</v>
      </c>
      <c r="L24" s="7">
        <v>179.3</v>
      </c>
      <c r="M24" s="7">
        <v>209.7</v>
      </c>
    </row>
    <row r="25" spans="1:13" x14ac:dyDescent="0.3">
      <c r="A25" s="6" t="s">
        <v>46</v>
      </c>
      <c r="B25" s="7">
        <v>193</v>
      </c>
      <c r="C25" s="7">
        <v>174.4</v>
      </c>
      <c r="D25" s="7">
        <v>207.7</v>
      </c>
      <c r="E25" s="7">
        <v>175.2</v>
      </c>
      <c r="F25" s="7">
        <v>177.3</v>
      </c>
      <c r="G25" s="7">
        <v>169.5</v>
      </c>
      <c r="H25" s="7">
        <v>120</v>
      </c>
      <c r="I25" s="7">
        <v>171.1</v>
      </c>
      <c r="J25" s="7">
        <v>152.80000000000001</v>
      </c>
      <c r="K25" s="7">
        <v>172.3</v>
      </c>
      <c r="L25" s="7">
        <v>179.2</v>
      </c>
      <c r="M25" s="7">
        <v>209.7</v>
      </c>
    </row>
    <row r="26" spans="1:13" x14ac:dyDescent="0.3">
      <c r="A26" s="6" t="s">
        <v>47</v>
      </c>
      <c r="B26" s="7">
        <v>193.5</v>
      </c>
      <c r="C26" s="7">
        <v>173.8</v>
      </c>
      <c r="D26" s="7">
        <v>209.3</v>
      </c>
      <c r="E26" s="7">
        <v>169.6</v>
      </c>
      <c r="F26" s="7">
        <v>178.4</v>
      </c>
      <c r="G26" s="7">
        <v>176.3</v>
      </c>
      <c r="H26" s="7">
        <v>121.3</v>
      </c>
      <c r="I26" s="7">
        <v>173.4</v>
      </c>
      <c r="J26" s="7">
        <v>155.4</v>
      </c>
      <c r="K26" s="7">
        <v>172.9</v>
      </c>
      <c r="L26" s="7">
        <v>174.9</v>
      </c>
      <c r="M26" s="7">
        <v>212.9</v>
      </c>
    </row>
    <row r="27" spans="1:13" x14ac:dyDescent="0.3">
      <c r="A27" s="6" t="s">
        <v>31</v>
      </c>
      <c r="B27" s="7">
        <v>194.2</v>
      </c>
      <c r="C27" s="7">
        <v>173.7</v>
      </c>
      <c r="D27" s="7">
        <v>214.3</v>
      </c>
      <c r="E27" s="7">
        <v>173.2</v>
      </c>
      <c r="F27" s="7">
        <v>179.5</v>
      </c>
      <c r="G27" s="7">
        <v>172.2</v>
      </c>
      <c r="H27" s="7">
        <v>122.7</v>
      </c>
      <c r="I27" s="7">
        <v>175.6</v>
      </c>
      <c r="J27" s="7">
        <v>161</v>
      </c>
      <c r="K27" s="7">
        <v>173.4</v>
      </c>
      <c r="L27" s="7">
        <v>170</v>
      </c>
      <c r="M27" s="7">
        <v>218</v>
      </c>
    </row>
    <row r="28" spans="1:13" x14ac:dyDescent="0.3">
      <c r="A28" s="6" t="s">
        <v>48</v>
      </c>
      <c r="B28" s="7">
        <v>183.9</v>
      </c>
      <c r="C28" s="7">
        <v>155</v>
      </c>
      <c r="D28" s="7">
        <v>219.4</v>
      </c>
      <c r="E28" s="7">
        <v>170.8</v>
      </c>
      <c r="F28" s="7">
        <v>165.8</v>
      </c>
      <c r="G28" s="7">
        <v>169.7</v>
      </c>
      <c r="H28" s="7">
        <v>119.9</v>
      </c>
      <c r="I28" s="7">
        <v>164.3</v>
      </c>
      <c r="J28" s="7">
        <v>182.3</v>
      </c>
      <c r="K28" s="7">
        <v>167.9</v>
      </c>
      <c r="L28" s="7">
        <v>200.9</v>
      </c>
      <c r="M28" s="7">
        <v>187.1</v>
      </c>
    </row>
    <row r="29" spans="1:13" x14ac:dyDescent="0.3">
      <c r="A29" s="6" t="s">
        <v>49</v>
      </c>
      <c r="B29" s="7">
        <v>185.2</v>
      </c>
      <c r="C29" s="7">
        <v>156.5</v>
      </c>
      <c r="D29" s="7">
        <v>213</v>
      </c>
      <c r="E29" s="7">
        <v>175.2</v>
      </c>
      <c r="F29" s="7">
        <v>166.6</v>
      </c>
      <c r="G29" s="7">
        <v>174.2</v>
      </c>
      <c r="H29" s="7">
        <v>120</v>
      </c>
      <c r="I29" s="7">
        <v>164.3</v>
      </c>
      <c r="J29" s="7">
        <v>182.1</v>
      </c>
      <c r="K29" s="7">
        <v>168.4</v>
      </c>
      <c r="L29" s="7">
        <v>195.8</v>
      </c>
      <c r="M29" s="7">
        <v>190</v>
      </c>
    </row>
    <row r="30" spans="1:13" x14ac:dyDescent="0.3">
      <c r="A30" s="6" t="s">
        <v>50</v>
      </c>
      <c r="B30" s="7">
        <v>186.3</v>
      </c>
      <c r="C30" s="7">
        <v>160.30000000000001</v>
      </c>
      <c r="D30" s="7">
        <v>206.5</v>
      </c>
      <c r="E30" s="7">
        <v>169.2</v>
      </c>
      <c r="F30" s="7">
        <v>168.1</v>
      </c>
      <c r="G30" s="7">
        <v>172.9</v>
      </c>
      <c r="H30" s="7">
        <v>120.9</v>
      </c>
      <c r="I30" s="7">
        <v>167.2</v>
      </c>
      <c r="J30" s="7">
        <v>186.7</v>
      </c>
      <c r="K30" s="7">
        <v>168.8</v>
      </c>
      <c r="L30" s="7">
        <v>192.4</v>
      </c>
      <c r="M30" s="7">
        <v>193.6</v>
      </c>
    </row>
    <row r="31" spans="1:13" x14ac:dyDescent="0.3">
      <c r="A31" s="6" t="s">
        <v>51</v>
      </c>
      <c r="B31" s="7">
        <v>187.4</v>
      </c>
      <c r="C31" s="7">
        <v>163.5</v>
      </c>
      <c r="D31" s="7">
        <v>209.2</v>
      </c>
      <c r="E31" s="7">
        <v>169.7</v>
      </c>
      <c r="F31" s="7">
        <v>169.7</v>
      </c>
      <c r="G31" s="7">
        <v>165.7</v>
      </c>
      <c r="H31" s="7">
        <v>121.6</v>
      </c>
      <c r="I31" s="7">
        <v>169.1</v>
      </c>
      <c r="J31" s="7">
        <v>191.8</v>
      </c>
      <c r="K31" s="7">
        <v>169.4</v>
      </c>
      <c r="L31" s="7">
        <v>188.7</v>
      </c>
      <c r="M31" s="7">
        <v>197.3</v>
      </c>
    </row>
    <row r="32" spans="1:13" x14ac:dyDescent="0.3">
      <c r="A32" s="6" t="s">
        <v>52</v>
      </c>
      <c r="B32" s="7">
        <v>188.3</v>
      </c>
      <c r="C32" s="7">
        <v>165.2</v>
      </c>
      <c r="D32" s="7">
        <v>210.9</v>
      </c>
      <c r="E32" s="7">
        <v>170.9</v>
      </c>
      <c r="F32" s="7">
        <v>170.9</v>
      </c>
      <c r="G32" s="7">
        <v>163.80000000000001</v>
      </c>
      <c r="H32" s="7">
        <v>121.9</v>
      </c>
      <c r="I32" s="7">
        <v>169.8</v>
      </c>
      <c r="J32" s="7">
        <v>199.7</v>
      </c>
      <c r="K32" s="7">
        <v>169.9</v>
      </c>
      <c r="L32" s="7">
        <v>186.5</v>
      </c>
      <c r="M32" s="7">
        <v>199.9</v>
      </c>
    </row>
    <row r="33" spans="1:14" x14ac:dyDescent="0.3">
      <c r="A33" s="6" t="s">
        <v>54</v>
      </c>
      <c r="B33" s="7">
        <v>189.5</v>
      </c>
      <c r="C33" s="7">
        <v>167.4</v>
      </c>
      <c r="D33" s="7">
        <v>209.4</v>
      </c>
      <c r="E33" s="7">
        <v>181.4</v>
      </c>
      <c r="F33" s="7">
        <v>172.3</v>
      </c>
      <c r="G33" s="7">
        <v>160.69999999999999</v>
      </c>
      <c r="H33" s="7">
        <v>122.1</v>
      </c>
      <c r="I33" s="7">
        <v>170.5</v>
      </c>
      <c r="J33" s="7">
        <v>183.1</v>
      </c>
      <c r="K33" s="7">
        <v>170.4</v>
      </c>
      <c r="L33" s="7">
        <v>188.9</v>
      </c>
      <c r="M33" s="7">
        <v>202.8</v>
      </c>
    </row>
    <row r="34" spans="1:14" x14ac:dyDescent="0.3">
      <c r="A34" s="6" t="s">
        <v>55</v>
      </c>
      <c r="B34" s="7">
        <v>190.3</v>
      </c>
      <c r="C34" s="7">
        <v>169.2</v>
      </c>
      <c r="D34" s="7">
        <v>209</v>
      </c>
      <c r="E34" s="7">
        <v>190.2</v>
      </c>
      <c r="F34" s="7">
        <v>173.6</v>
      </c>
      <c r="G34" s="7">
        <v>158</v>
      </c>
      <c r="H34" s="7">
        <v>121.8</v>
      </c>
      <c r="I34" s="7">
        <v>170.8</v>
      </c>
      <c r="J34" s="7">
        <v>159.9</v>
      </c>
      <c r="K34" s="7">
        <v>171</v>
      </c>
      <c r="L34" s="7">
        <v>188.5</v>
      </c>
      <c r="M34" s="7">
        <v>205.2</v>
      </c>
    </row>
    <row r="35" spans="1:14" x14ac:dyDescent="0.3">
      <c r="A35" s="6" t="s">
        <v>59</v>
      </c>
      <c r="B35" s="7">
        <v>2275.8000000000002</v>
      </c>
      <c r="C35" s="7">
        <v>2007.2000000000003</v>
      </c>
      <c r="D35" s="7">
        <v>2527.1</v>
      </c>
      <c r="E35" s="7">
        <v>2115.1000000000004</v>
      </c>
      <c r="F35" s="7">
        <v>2074.1</v>
      </c>
      <c r="G35" s="7">
        <v>2010.8000000000002</v>
      </c>
      <c r="H35" s="7">
        <v>1453.3</v>
      </c>
      <c r="I35" s="7">
        <v>2037.9999999999998</v>
      </c>
      <c r="J35" s="7">
        <v>2061.4</v>
      </c>
      <c r="K35" s="7">
        <v>2048.1000000000004</v>
      </c>
      <c r="L35" s="7">
        <v>2232.3000000000002</v>
      </c>
      <c r="M35" s="7">
        <v>2434.5999999999995</v>
      </c>
    </row>
    <row r="37" spans="1:14" x14ac:dyDescent="0.3">
      <c r="A37" s="11" t="s">
        <v>1</v>
      </c>
      <c r="B37" s="11" t="s">
        <v>58</v>
      </c>
      <c r="C37" s="11" t="s">
        <v>62</v>
      </c>
      <c r="D37" s="11" t="s">
        <v>61</v>
      </c>
      <c r="E37" s="11" t="s">
        <v>70</v>
      </c>
      <c r="F37" s="11" t="s">
        <v>72</v>
      </c>
      <c r="G37" s="11" t="s">
        <v>69</v>
      </c>
      <c r="H37" s="11" t="s">
        <v>68</v>
      </c>
      <c r="I37" s="11" t="s">
        <v>63</v>
      </c>
      <c r="J37" s="11" t="s">
        <v>64</v>
      </c>
      <c r="K37" s="11" t="s">
        <v>66</v>
      </c>
      <c r="L37" s="11" t="s">
        <v>67</v>
      </c>
      <c r="M37" s="11" t="s">
        <v>71</v>
      </c>
      <c r="N37" s="11" t="s">
        <v>65</v>
      </c>
    </row>
    <row r="38" spans="1:14" x14ac:dyDescent="0.3">
      <c r="A38" s="10">
        <v>2023</v>
      </c>
      <c r="B38" s="10" t="s">
        <v>42</v>
      </c>
      <c r="C38" s="29">
        <v>191.2</v>
      </c>
      <c r="D38" s="29">
        <v>173.8</v>
      </c>
      <c r="E38" s="29">
        <v>210.7</v>
      </c>
      <c r="F38" s="29">
        <v>194.5</v>
      </c>
      <c r="G38" s="29">
        <v>174.6</v>
      </c>
      <c r="H38" s="29">
        <v>158.30000000000001</v>
      </c>
      <c r="I38" s="29">
        <v>121.1</v>
      </c>
      <c r="J38" s="29">
        <v>170.9</v>
      </c>
      <c r="K38" s="29">
        <v>153.9</v>
      </c>
      <c r="L38" s="29">
        <v>171.4</v>
      </c>
      <c r="M38" s="29">
        <v>187.2</v>
      </c>
      <c r="N38" s="29">
        <v>208.4</v>
      </c>
    </row>
    <row r="39" spans="1:14" x14ac:dyDescent="0.3">
      <c r="A39" s="10">
        <v>2023</v>
      </c>
      <c r="B39" s="10" t="s">
        <v>45</v>
      </c>
      <c r="C39" s="29">
        <v>193</v>
      </c>
      <c r="D39" s="29">
        <v>174.4</v>
      </c>
      <c r="E39" s="29">
        <v>207.7</v>
      </c>
      <c r="F39" s="29">
        <v>175.2</v>
      </c>
      <c r="G39" s="29">
        <v>177.3</v>
      </c>
      <c r="H39" s="29">
        <v>169.5</v>
      </c>
      <c r="I39" s="29">
        <v>120</v>
      </c>
      <c r="J39" s="29">
        <v>171</v>
      </c>
      <c r="K39" s="29">
        <v>152.69999999999999</v>
      </c>
      <c r="L39" s="29">
        <v>172.3</v>
      </c>
      <c r="M39" s="29">
        <v>179.3</v>
      </c>
      <c r="N39" s="29">
        <v>209.7</v>
      </c>
    </row>
    <row r="40" spans="1:14" x14ac:dyDescent="0.3">
      <c r="A40" s="10">
        <v>2023</v>
      </c>
      <c r="B40" s="10" t="s">
        <v>46</v>
      </c>
      <c r="C40" s="29">
        <v>193</v>
      </c>
      <c r="D40" s="29">
        <v>174.4</v>
      </c>
      <c r="E40" s="29">
        <v>207.7</v>
      </c>
      <c r="F40" s="29">
        <v>175.2</v>
      </c>
      <c r="G40" s="29">
        <v>177.3</v>
      </c>
      <c r="H40" s="29">
        <v>169.5</v>
      </c>
      <c r="I40" s="29">
        <v>120</v>
      </c>
      <c r="J40" s="29">
        <v>171.1</v>
      </c>
      <c r="K40" s="29">
        <v>152.80000000000001</v>
      </c>
      <c r="L40" s="29">
        <v>172.3</v>
      </c>
      <c r="M40" s="29">
        <v>179.2</v>
      </c>
      <c r="N40" s="29">
        <v>209.7</v>
      </c>
    </row>
    <row r="41" spans="1:14" x14ac:dyDescent="0.3">
      <c r="A41" s="10">
        <v>2023</v>
      </c>
      <c r="B41" s="10" t="s">
        <v>47</v>
      </c>
      <c r="C41" s="29">
        <v>193.5</v>
      </c>
      <c r="D41" s="29">
        <v>173.8</v>
      </c>
      <c r="E41" s="29">
        <v>209.3</v>
      </c>
      <c r="F41" s="29">
        <v>169.6</v>
      </c>
      <c r="G41" s="29">
        <v>178.4</v>
      </c>
      <c r="H41" s="29">
        <v>176.3</v>
      </c>
      <c r="I41" s="29">
        <v>121.3</v>
      </c>
      <c r="J41" s="29">
        <v>173.4</v>
      </c>
      <c r="K41" s="29">
        <v>155.4</v>
      </c>
      <c r="L41" s="29">
        <v>172.9</v>
      </c>
      <c r="M41" s="29">
        <v>174.9</v>
      </c>
      <c r="N41" s="29">
        <v>212.9</v>
      </c>
    </row>
    <row r="42" spans="1:14" x14ac:dyDescent="0.3">
      <c r="A42" s="10">
        <v>2023</v>
      </c>
      <c r="B42" s="10" t="s">
        <v>31</v>
      </c>
      <c r="C42" s="29">
        <v>194.2</v>
      </c>
      <c r="D42" s="29">
        <v>173.7</v>
      </c>
      <c r="E42" s="29">
        <v>214.3</v>
      </c>
      <c r="F42" s="29">
        <v>173.2</v>
      </c>
      <c r="G42" s="29">
        <v>179.5</v>
      </c>
      <c r="H42" s="29">
        <v>172.2</v>
      </c>
      <c r="I42" s="29">
        <v>122.7</v>
      </c>
      <c r="J42" s="29">
        <v>175.6</v>
      </c>
      <c r="K42" s="29">
        <v>161</v>
      </c>
      <c r="L42" s="29">
        <v>173.4</v>
      </c>
      <c r="M42" s="29">
        <v>170</v>
      </c>
      <c r="N42" s="29">
        <v>218</v>
      </c>
    </row>
    <row r="43" spans="1:14" x14ac:dyDescent="0.3">
      <c r="A43" s="10">
        <v>2022</v>
      </c>
      <c r="B43" s="10" t="s">
        <v>48</v>
      </c>
      <c r="C43" s="29">
        <v>183.9</v>
      </c>
      <c r="D43" s="29">
        <v>155</v>
      </c>
      <c r="E43" s="29">
        <v>219.4</v>
      </c>
      <c r="F43" s="29">
        <v>170.8</v>
      </c>
      <c r="G43" s="29">
        <v>165.8</v>
      </c>
      <c r="H43" s="29">
        <v>169.7</v>
      </c>
      <c r="I43" s="29">
        <v>119.9</v>
      </c>
      <c r="J43" s="29">
        <v>164.3</v>
      </c>
      <c r="K43" s="29">
        <v>182.3</v>
      </c>
      <c r="L43" s="29">
        <v>167.9</v>
      </c>
      <c r="M43" s="29">
        <v>200.9</v>
      </c>
      <c r="N43" s="29">
        <v>187.1</v>
      </c>
    </row>
    <row r="44" spans="1:14" x14ac:dyDescent="0.3">
      <c r="A44" s="10">
        <v>2022</v>
      </c>
      <c r="B44" s="10" t="s">
        <v>49</v>
      </c>
      <c r="C44" s="29">
        <v>185.2</v>
      </c>
      <c r="D44" s="29">
        <v>156.5</v>
      </c>
      <c r="E44" s="29">
        <v>213</v>
      </c>
      <c r="F44" s="29">
        <v>175.2</v>
      </c>
      <c r="G44" s="29">
        <v>166.6</v>
      </c>
      <c r="H44" s="29">
        <v>174.2</v>
      </c>
      <c r="I44" s="29">
        <v>120</v>
      </c>
      <c r="J44" s="29">
        <v>164.3</v>
      </c>
      <c r="K44" s="29">
        <v>182.1</v>
      </c>
      <c r="L44" s="29">
        <v>168.4</v>
      </c>
      <c r="M44" s="29">
        <v>195.8</v>
      </c>
      <c r="N44" s="29">
        <v>190</v>
      </c>
    </row>
    <row r="45" spans="1:14" x14ac:dyDescent="0.3">
      <c r="A45" s="10">
        <v>2022</v>
      </c>
      <c r="B45" s="10" t="s">
        <v>50</v>
      </c>
      <c r="C45" s="29">
        <v>186.3</v>
      </c>
      <c r="D45" s="29">
        <v>160.30000000000001</v>
      </c>
      <c r="E45" s="29">
        <v>206.5</v>
      </c>
      <c r="F45" s="29">
        <v>169.2</v>
      </c>
      <c r="G45" s="29">
        <v>168.1</v>
      </c>
      <c r="H45" s="29">
        <v>172.9</v>
      </c>
      <c r="I45" s="29">
        <v>120.9</v>
      </c>
      <c r="J45" s="29">
        <v>167.2</v>
      </c>
      <c r="K45" s="29">
        <v>186.7</v>
      </c>
      <c r="L45" s="29">
        <v>168.8</v>
      </c>
      <c r="M45" s="29">
        <v>192.4</v>
      </c>
      <c r="N45" s="29">
        <v>193.6</v>
      </c>
    </row>
    <row r="46" spans="1:14" x14ac:dyDescent="0.3">
      <c r="A46" s="10">
        <v>2022</v>
      </c>
      <c r="B46" s="10" t="s">
        <v>51</v>
      </c>
      <c r="C46" s="29">
        <v>187.4</v>
      </c>
      <c r="D46" s="29">
        <v>163.5</v>
      </c>
      <c r="E46" s="29">
        <v>209.2</v>
      </c>
      <c r="F46" s="29">
        <v>169.7</v>
      </c>
      <c r="G46" s="29">
        <v>169.7</v>
      </c>
      <c r="H46" s="29">
        <v>165.7</v>
      </c>
      <c r="I46" s="29">
        <v>121.6</v>
      </c>
      <c r="J46" s="29">
        <v>169.1</v>
      </c>
      <c r="K46" s="29">
        <v>191.8</v>
      </c>
      <c r="L46" s="29">
        <v>169.4</v>
      </c>
      <c r="M46" s="29">
        <v>188.7</v>
      </c>
      <c r="N46" s="29">
        <v>197.3</v>
      </c>
    </row>
    <row r="47" spans="1:14" x14ac:dyDescent="0.3">
      <c r="A47" s="10">
        <v>2022</v>
      </c>
      <c r="B47" s="10" t="s">
        <v>52</v>
      </c>
      <c r="C47" s="29">
        <v>188.3</v>
      </c>
      <c r="D47" s="29">
        <v>165.2</v>
      </c>
      <c r="E47" s="29">
        <v>210.9</v>
      </c>
      <c r="F47" s="29">
        <v>170.9</v>
      </c>
      <c r="G47" s="29">
        <v>170.9</v>
      </c>
      <c r="H47" s="29">
        <v>163.80000000000001</v>
      </c>
      <c r="I47" s="29">
        <v>121.9</v>
      </c>
      <c r="J47" s="29">
        <v>169.8</v>
      </c>
      <c r="K47" s="29">
        <v>199.7</v>
      </c>
      <c r="L47" s="29">
        <v>169.9</v>
      </c>
      <c r="M47" s="29">
        <v>186.5</v>
      </c>
      <c r="N47" s="29">
        <v>199.9</v>
      </c>
    </row>
    <row r="48" spans="1:14" x14ac:dyDescent="0.3">
      <c r="A48" s="10">
        <v>2022</v>
      </c>
      <c r="B48" s="10" t="s">
        <v>54</v>
      </c>
      <c r="C48" s="29">
        <v>189.5</v>
      </c>
      <c r="D48" s="29">
        <v>167.4</v>
      </c>
      <c r="E48" s="29">
        <v>209.4</v>
      </c>
      <c r="F48" s="29">
        <v>181.4</v>
      </c>
      <c r="G48" s="29">
        <v>172.3</v>
      </c>
      <c r="H48" s="29">
        <v>160.69999999999999</v>
      </c>
      <c r="I48" s="29">
        <v>122.1</v>
      </c>
      <c r="J48" s="29">
        <v>170.5</v>
      </c>
      <c r="K48" s="29">
        <v>183.1</v>
      </c>
      <c r="L48" s="29">
        <v>170.4</v>
      </c>
      <c r="M48" s="29">
        <v>188.9</v>
      </c>
      <c r="N48" s="29">
        <v>202.8</v>
      </c>
    </row>
    <row r="49" spans="1:14" x14ac:dyDescent="0.3">
      <c r="A49" s="10">
        <v>2022</v>
      </c>
      <c r="B49" s="10" t="s">
        <v>55</v>
      </c>
      <c r="C49" s="29">
        <v>190.3</v>
      </c>
      <c r="D49" s="29">
        <v>169.2</v>
      </c>
      <c r="E49" s="29">
        <v>209</v>
      </c>
      <c r="F49" s="29">
        <v>190.2</v>
      </c>
      <c r="G49" s="29">
        <v>173.6</v>
      </c>
      <c r="H49" s="29">
        <v>158</v>
      </c>
      <c r="I49" s="29">
        <v>121.8</v>
      </c>
      <c r="J49" s="29">
        <v>170.8</v>
      </c>
      <c r="K49" s="29">
        <v>159.9</v>
      </c>
      <c r="L49" s="29">
        <v>171</v>
      </c>
      <c r="M49" s="29">
        <v>188.5</v>
      </c>
      <c r="N49" s="29">
        <v>205.2</v>
      </c>
    </row>
    <row r="50" spans="1:14" x14ac:dyDescent="0.3">
      <c r="A50" s="39"/>
      <c r="B50" s="39"/>
      <c r="C50" s="29"/>
      <c r="D50" s="29"/>
      <c r="E50" s="29"/>
      <c r="F50" s="29"/>
      <c r="G50" s="29"/>
      <c r="H50" s="29"/>
      <c r="I50" s="29"/>
      <c r="J50" s="29"/>
      <c r="K50" s="29"/>
      <c r="L50" s="29"/>
      <c r="M50" s="29"/>
      <c r="N50" s="29"/>
    </row>
    <row r="51" spans="1:14" x14ac:dyDescent="0.3">
      <c r="C51" s="11" t="s">
        <v>62</v>
      </c>
      <c r="D51" s="11" t="s">
        <v>61</v>
      </c>
      <c r="E51" s="11" t="s">
        <v>70</v>
      </c>
      <c r="F51" s="11" t="s">
        <v>72</v>
      </c>
      <c r="G51" s="11" t="s">
        <v>69</v>
      </c>
      <c r="H51" s="11" t="s">
        <v>68</v>
      </c>
      <c r="I51" s="11" t="s">
        <v>63</v>
      </c>
      <c r="J51" s="11" t="s">
        <v>64</v>
      </c>
      <c r="K51" s="11" t="s">
        <v>66</v>
      </c>
      <c r="L51" s="11" t="s">
        <v>67</v>
      </c>
      <c r="M51" s="11" t="s">
        <v>71</v>
      </c>
      <c r="N51" s="11" t="s">
        <v>65</v>
      </c>
    </row>
    <row r="52" spans="1:14" x14ac:dyDescent="0.3">
      <c r="B52" s="31" t="s">
        <v>93</v>
      </c>
      <c r="C52" s="32">
        <f>C42/C43-1</f>
        <v>5.6008700380641541E-2</v>
      </c>
      <c r="D52" s="32">
        <f t="shared" ref="D52:N52" si="2">D42/D43-1</f>
        <v>0.12064516129032254</v>
      </c>
      <c r="E52" s="32">
        <f t="shared" si="2"/>
        <v>-2.3245214220601662E-2</v>
      </c>
      <c r="F52" s="32">
        <f t="shared" si="2"/>
        <v>1.4051522248243353E-2</v>
      </c>
      <c r="G52" s="32">
        <f t="shared" si="2"/>
        <v>8.262967430639323E-2</v>
      </c>
      <c r="H52" s="32">
        <f t="shared" si="2"/>
        <v>1.4731879787860835E-2</v>
      </c>
      <c r="I52" s="32">
        <f t="shared" si="2"/>
        <v>2.3352793994995791E-2</v>
      </c>
      <c r="J52" s="32">
        <f t="shared" si="2"/>
        <v>6.8776628119293859E-2</v>
      </c>
      <c r="K52" s="32">
        <f t="shared" si="2"/>
        <v>-0.1168403730115195</v>
      </c>
      <c r="L52" s="32">
        <f t="shared" si="2"/>
        <v>3.2757593805836871E-2</v>
      </c>
      <c r="M52" s="32">
        <f t="shared" si="2"/>
        <v>-0.15380786460925833</v>
      </c>
      <c r="N52" s="33">
        <f t="shared" si="2"/>
        <v>0.1651523249599145</v>
      </c>
    </row>
    <row r="53" spans="1:14" ht="18" x14ac:dyDescent="0.35">
      <c r="B53" s="34" t="s">
        <v>94</v>
      </c>
      <c r="C53" s="50">
        <f>MAX(C52:N52)</f>
        <v>0.1651523249599145</v>
      </c>
    </row>
  </sheetData>
  <pageMargins left="0.7" right="0.7" top="0.75" bottom="0.75" header="0.3" footer="0.3"/>
  <pageSetup paperSize="9" orientation="portrait" r:id="rId3"/>
  <drawing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31"/>
  <sheetViews>
    <sheetView topLeftCell="A24" workbookViewId="0">
      <selection activeCell="B53" sqref="B53"/>
    </sheetView>
  </sheetViews>
  <sheetFormatPr defaultRowHeight="14.4" x14ac:dyDescent="0.3"/>
  <cols>
    <col min="1" max="1" width="13.109375" bestFit="1" customWidth="1"/>
    <col min="2" max="2" width="38.88671875" bestFit="1" customWidth="1"/>
    <col min="3" max="3" width="28.44140625" bestFit="1" customWidth="1"/>
    <col min="4" max="4" width="33" bestFit="1" customWidth="1"/>
    <col min="5" max="5" width="47.6640625" bestFit="1" customWidth="1"/>
    <col min="6" max="6" width="27.109375" bestFit="1" customWidth="1"/>
    <col min="7" max="7" width="12.21875" bestFit="1" customWidth="1"/>
    <col min="8" max="8" width="10.5546875" bestFit="1" customWidth="1"/>
    <col min="9" max="9" width="27.109375" bestFit="1" customWidth="1"/>
    <col min="10" max="10" width="29" bestFit="1" customWidth="1"/>
    <col min="11" max="11" width="18.6640625" bestFit="1" customWidth="1"/>
    <col min="12" max="12" width="23.21875" bestFit="1" customWidth="1"/>
    <col min="13" max="13" width="17.33203125" bestFit="1" customWidth="1"/>
    <col min="14" max="14" width="37.88671875" bestFit="1" customWidth="1"/>
    <col min="16" max="16" width="12.5546875" customWidth="1"/>
    <col min="17" max="17" width="38.88671875" customWidth="1"/>
    <col min="18" max="18" width="28.44140625" bestFit="1" customWidth="1"/>
    <col min="19" max="19" width="33" bestFit="1" customWidth="1"/>
    <col min="20" max="20" width="47.6640625" bestFit="1" customWidth="1"/>
    <col min="21" max="21" width="27.109375" bestFit="1" customWidth="1"/>
    <col min="22" max="27" width="15.5546875" bestFit="1" customWidth="1"/>
    <col min="28" max="28" width="9.33203125" bestFit="1" customWidth="1"/>
    <col min="29" max="39" width="12.6640625" bestFit="1" customWidth="1"/>
    <col min="40" max="40" width="8.44140625" customWidth="1"/>
    <col min="41" max="41" width="10.77734375" bestFit="1" customWidth="1"/>
  </cols>
  <sheetData>
    <row r="1" spans="1:14" x14ac:dyDescent="0.3">
      <c r="A1" s="9" t="s">
        <v>100</v>
      </c>
      <c r="B1" s="9" t="s">
        <v>0</v>
      </c>
      <c r="C1" s="9" t="s">
        <v>1</v>
      </c>
      <c r="D1" s="9" t="s">
        <v>2</v>
      </c>
      <c r="E1" s="9" t="s">
        <v>15</v>
      </c>
      <c r="F1" s="9" t="s">
        <v>20</v>
      </c>
      <c r="G1" s="9" t="s">
        <v>21</v>
      </c>
      <c r="H1" s="9" t="s">
        <v>23</v>
      </c>
      <c r="I1" s="9" t="s">
        <v>24</v>
      </c>
      <c r="J1" s="34" t="s">
        <v>95</v>
      </c>
      <c r="K1" s="34" t="s">
        <v>96</v>
      </c>
      <c r="L1" s="34" t="s">
        <v>97</v>
      </c>
      <c r="M1" s="34" t="s">
        <v>98</v>
      </c>
      <c r="N1" s="34" t="s">
        <v>99</v>
      </c>
    </row>
    <row r="2" spans="1:14" x14ac:dyDescent="0.3">
      <c r="A2" s="10" t="s">
        <v>101</v>
      </c>
      <c r="B2" s="10" t="s">
        <v>30</v>
      </c>
      <c r="C2" s="10">
        <v>2019</v>
      </c>
      <c r="D2" s="9" t="s">
        <v>46</v>
      </c>
      <c r="E2" s="10">
        <v>138.1</v>
      </c>
      <c r="F2" s="10">
        <v>149</v>
      </c>
      <c r="G2" s="10">
        <v>139.69999999999999</v>
      </c>
      <c r="H2" s="10">
        <v>146.19999999999999</v>
      </c>
      <c r="I2" s="10">
        <v>124.6</v>
      </c>
      <c r="J2" s="10"/>
      <c r="K2" s="10"/>
      <c r="L2" s="10"/>
      <c r="M2" s="10"/>
      <c r="N2" s="10"/>
    </row>
    <row r="3" spans="1:14" x14ac:dyDescent="0.3">
      <c r="A3" s="10" t="s">
        <v>101</v>
      </c>
      <c r="B3" s="10" t="s">
        <v>30</v>
      </c>
      <c r="C3" s="10">
        <v>2019</v>
      </c>
      <c r="D3" s="9" t="s">
        <v>31</v>
      </c>
      <c r="E3" s="10">
        <v>140.9</v>
      </c>
      <c r="F3" s="10">
        <v>150.1</v>
      </c>
      <c r="G3" s="10">
        <v>140.30000000000001</v>
      </c>
      <c r="H3" s="10">
        <v>146.9</v>
      </c>
      <c r="I3" s="10">
        <v>124.9</v>
      </c>
      <c r="J3" s="32">
        <f>E3/E2-1</f>
        <v>2.0275162925416534E-2</v>
      </c>
      <c r="K3" s="32">
        <f>F3/F2-1</f>
        <v>7.382550335570448E-3</v>
      </c>
      <c r="L3" s="32">
        <f>G3/G2-1</f>
        <v>4.2949176807445255E-3</v>
      </c>
      <c r="M3" s="32">
        <f>H3/H2-1</f>
        <v>4.7879616963064642E-3</v>
      </c>
      <c r="N3" s="32">
        <f>I3/I2-1</f>
        <v>2.4077046548958148E-3</v>
      </c>
    </row>
    <row r="4" spans="1:14" x14ac:dyDescent="0.3">
      <c r="A4" s="10" t="s">
        <v>101</v>
      </c>
      <c r="B4" s="10" t="s">
        <v>30</v>
      </c>
      <c r="C4" s="10">
        <v>2019</v>
      </c>
      <c r="D4" s="9" t="s">
        <v>48</v>
      </c>
      <c r="E4" s="10">
        <v>142.69999999999999</v>
      </c>
      <c r="F4" s="10">
        <v>149.4</v>
      </c>
      <c r="G4" s="10">
        <v>141.19999999999999</v>
      </c>
      <c r="H4" s="10">
        <v>147.4</v>
      </c>
      <c r="I4" s="10">
        <v>124.6</v>
      </c>
      <c r="J4" s="32">
        <f t="shared" ref="J4:J24" si="0">E4/E3-1</f>
        <v>1.2775017743080097E-2</v>
      </c>
      <c r="K4" s="32">
        <f t="shared" ref="K4:K24" si="1">F4/F3-1</f>
        <v>-4.663557628247772E-3</v>
      </c>
      <c r="L4" s="32">
        <f t="shared" ref="L4:L24" si="2">G4/G3-1</f>
        <v>6.4148253741980188E-3</v>
      </c>
      <c r="M4" s="32">
        <f t="shared" ref="M4:M24" si="3">H4/H3-1</f>
        <v>3.4036759700477592E-3</v>
      </c>
      <c r="N4" s="32">
        <f t="shared" ref="N4:N24" si="4">I4/I3-1</f>
        <v>-2.4019215372298452E-3</v>
      </c>
    </row>
    <row r="5" spans="1:14" x14ac:dyDescent="0.3">
      <c r="A5" s="10" t="s">
        <v>101</v>
      </c>
      <c r="B5" s="10" t="s">
        <v>30</v>
      </c>
      <c r="C5" s="10">
        <v>2019</v>
      </c>
      <c r="D5" s="9" t="s">
        <v>49</v>
      </c>
      <c r="E5" s="10">
        <v>144.69999999999999</v>
      </c>
      <c r="F5" s="10">
        <v>150.6</v>
      </c>
      <c r="G5" s="10">
        <v>139.30000000000001</v>
      </c>
      <c r="H5" s="10">
        <v>147.9</v>
      </c>
      <c r="I5" s="10">
        <v>125.6</v>
      </c>
      <c r="J5" s="32">
        <f t="shared" si="0"/>
        <v>1.4015416958654603E-2</v>
      </c>
      <c r="K5" s="32">
        <f t="shared" si="1"/>
        <v>8.0321285140561027E-3</v>
      </c>
      <c r="L5" s="32">
        <f t="shared" si="2"/>
        <v>-1.345609065155795E-2</v>
      </c>
      <c r="M5" s="32">
        <f t="shared" si="3"/>
        <v>3.3921302578019397E-3</v>
      </c>
      <c r="N5" s="32">
        <f t="shared" si="4"/>
        <v>8.0256821829856051E-3</v>
      </c>
    </row>
    <row r="6" spans="1:14" x14ac:dyDescent="0.3">
      <c r="A6" s="10" t="s">
        <v>101</v>
      </c>
      <c r="B6" s="10" t="s">
        <v>30</v>
      </c>
      <c r="C6" s="10">
        <v>2019</v>
      </c>
      <c r="D6" s="9" t="s">
        <v>50</v>
      </c>
      <c r="E6" s="10">
        <v>145.9</v>
      </c>
      <c r="F6" s="10">
        <v>151.6</v>
      </c>
      <c r="G6" s="10">
        <v>138.5</v>
      </c>
      <c r="H6" s="10">
        <v>148.5</v>
      </c>
      <c r="I6" s="10">
        <v>125.8</v>
      </c>
      <c r="J6" s="32">
        <f t="shared" si="0"/>
        <v>8.29302004146526E-3</v>
      </c>
      <c r="K6" s="32">
        <f t="shared" si="1"/>
        <v>6.6401062416998613E-3</v>
      </c>
      <c r="L6" s="32">
        <f t="shared" si="2"/>
        <v>-5.7430007178751463E-3</v>
      </c>
      <c r="M6" s="32">
        <f t="shared" si="3"/>
        <v>4.0567951318457585E-3</v>
      </c>
      <c r="N6" s="32">
        <f t="shared" si="4"/>
        <v>1.5923566878981443E-3</v>
      </c>
    </row>
    <row r="7" spans="1:14" x14ac:dyDescent="0.3">
      <c r="A7" s="10" t="s">
        <v>101</v>
      </c>
      <c r="B7" s="10" t="s">
        <v>30</v>
      </c>
      <c r="C7" s="10">
        <v>2019</v>
      </c>
      <c r="D7" s="9" t="s">
        <v>51</v>
      </c>
      <c r="E7" s="10">
        <v>147</v>
      </c>
      <c r="F7" s="10">
        <v>152.19999999999999</v>
      </c>
      <c r="G7" s="10">
        <v>139.19999999999999</v>
      </c>
      <c r="H7" s="10">
        <v>149</v>
      </c>
      <c r="I7" s="10">
        <v>126.1</v>
      </c>
      <c r="J7" s="32">
        <f t="shared" si="0"/>
        <v>7.5394105551747082E-3</v>
      </c>
      <c r="K7" s="32">
        <f t="shared" si="1"/>
        <v>3.9577836411608391E-3</v>
      </c>
      <c r="L7" s="32">
        <f t="shared" si="2"/>
        <v>5.0541516245485862E-3</v>
      </c>
      <c r="M7" s="32">
        <f t="shared" si="3"/>
        <v>3.3670033670034627E-3</v>
      </c>
      <c r="N7" s="32">
        <f t="shared" si="4"/>
        <v>2.3847376788552754E-3</v>
      </c>
    </row>
    <row r="8" spans="1:14" x14ac:dyDescent="0.3">
      <c r="A8" s="10" t="s">
        <v>101</v>
      </c>
      <c r="B8" s="10" t="s">
        <v>30</v>
      </c>
      <c r="C8" s="10">
        <v>2019</v>
      </c>
      <c r="D8" s="9" t="s">
        <v>52</v>
      </c>
      <c r="E8" s="10">
        <v>149.6</v>
      </c>
      <c r="F8" s="10">
        <v>153</v>
      </c>
      <c r="G8" s="10">
        <v>140.6</v>
      </c>
      <c r="H8" s="10">
        <v>149.4</v>
      </c>
      <c r="I8" s="10">
        <v>126.3</v>
      </c>
      <c r="J8" s="32">
        <f t="shared" si="0"/>
        <v>1.7687074829932037E-2</v>
      </c>
      <c r="K8" s="32">
        <f t="shared" si="1"/>
        <v>5.2562417871222511E-3</v>
      </c>
      <c r="L8" s="32">
        <f t="shared" si="2"/>
        <v>1.0057471264367956E-2</v>
      </c>
      <c r="M8" s="32">
        <f t="shared" si="3"/>
        <v>2.6845637583892135E-3</v>
      </c>
      <c r="N8" s="32">
        <f t="shared" si="4"/>
        <v>1.5860428231562196E-3</v>
      </c>
    </row>
    <row r="9" spans="1:14" x14ac:dyDescent="0.3">
      <c r="A9" s="10" t="s">
        <v>101</v>
      </c>
      <c r="B9" s="10" t="s">
        <v>30</v>
      </c>
      <c r="C9" s="10">
        <v>2019</v>
      </c>
      <c r="D9" s="9" t="s">
        <v>54</v>
      </c>
      <c r="E9" s="10">
        <v>151.9</v>
      </c>
      <c r="F9" s="10">
        <v>153.5</v>
      </c>
      <c r="G9" s="10">
        <v>142.30000000000001</v>
      </c>
      <c r="H9" s="10">
        <v>149.9</v>
      </c>
      <c r="I9" s="10">
        <v>126.6</v>
      </c>
      <c r="J9" s="32">
        <f t="shared" si="0"/>
        <v>1.5374331550802145E-2</v>
      </c>
      <c r="K9" s="32">
        <f t="shared" si="1"/>
        <v>3.2679738562091387E-3</v>
      </c>
      <c r="L9" s="32">
        <f t="shared" si="2"/>
        <v>1.2091038406828014E-2</v>
      </c>
      <c r="M9" s="32">
        <f t="shared" si="3"/>
        <v>3.3467202141901353E-3</v>
      </c>
      <c r="N9" s="32">
        <f t="shared" si="4"/>
        <v>2.3752969121140222E-3</v>
      </c>
    </row>
    <row r="10" spans="1:14" x14ac:dyDescent="0.3">
      <c r="A10" s="10" t="s">
        <v>101</v>
      </c>
      <c r="B10" s="10" t="s">
        <v>30</v>
      </c>
      <c r="C10" s="10">
        <v>2019</v>
      </c>
      <c r="D10" s="9" t="s">
        <v>55</v>
      </c>
      <c r="E10" s="10">
        <v>155</v>
      </c>
      <c r="F10" s="10">
        <v>152.80000000000001</v>
      </c>
      <c r="G10" s="10">
        <v>143.69999999999999</v>
      </c>
      <c r="H10" s="10">
        <v>150.4</v>
      </c>
      <c r="I10" s="10">
        <v>129.80000000000001</v>
      </c>
      <c r="J10" s="32">
        <f t="shared" si="0"/>
        <v>2.0408163265306145E-2</v>
      </c>
      <c r="K10" s="32">
        <f t="shared" si="1"/>
        <v>-4.5602605863191981E-3</v>
      </c>
      <c r="L10" s="32">
        <f t="shared" si="2"/>
        <v>9.8383696416020072E-3</v>
      </c>
      <c r="M10" s="32">
        <f t="shared" si="3"/>
        <v>3.3355570380253496E-3</v>
      </c>
      <c r="N10" s="32">
        <f t="shared" si="4"/>
        <v>2.5276461295418828E-2</v>
      </c>
    </row>
    <row r="11" spans="1:14" x14ac:dyDescent="0.3">
      <c r="A11" s="10" t="s">
        <v>101</v>
      </c>
      <c r="B11" s="10" t="s">
        <v>30</v>
      </c>
      <c r="C11" s="10">
        <v>2020</v>
      </c>
      <c r="D11" s="9" t="s">
        <v>42</v>
      </c>
      <c r="E11" s="10">
        <v>153.5</v>
      </c>
      <c r="F11" s="10">
        <v>153.9</v>
      </c>
      <c r="G11" s="10">
        <v>144.6</v>
      </c>
      <c r="H11" s="10">
        <v>151.19999999999999</v>
      </c>
      <c r="I11" s="10">
        <v>130.9</v>
      </c>
      <c r="J11" s="32">
        <f t="shared" si="0"/>
        <v>-9.6774193548386789E-3</v>
      </c>
      <c r="K11" s="32">
        <f t="shared" si="1"/>
        <v>7.1989528795810553E-3</v>
      </c>
      <c r="L11" s="32">
        <f t="shared" si="2"/>
        <v>6.2630480167014113E-3</v>
      </c>
      <c r="M11" s="32">
        <f t="shared" si="3"/>
        <v>5.3191489361701372E-3</v>
      </c>
      <c r="N11" s="32">
        <f t="shared" si="4"/>
        <v>8.4745762711864181E-3</v>
      </c>
    </row>
    <row r="12" spans="1:14" x14ac:dyDescent="0.3">
      <c r="A12" s="10" t="s">
        <v>101</v>
      </c>
      <c r="B12" s="10" t="s">
        <v>30</v>
      </c>
      <c r="C12" s="10">
        <v>2020</v>
      </c>
      <c r="D12" s="9" t="s">
        <v>45</v>
      </c>
      <c r="E12" s="10">
        <v>150.5</v>
      </c>
      <c r="F12" s="10">
        <v>154.80000000000001</v>
      </c>
      <c r="G12" s="10">
        <v>147.19999999999999</v>
      </c>
      <c r="H12" s="10">
        <v>151.69999999999999</v>
      </c>
      <c r="I12" s="10">
        <v>130.30000000000001</v>
      </c>
      <c r="J12" s="32">
        <f t="shared" si="0"/>
        <v>-1.9543973941368087E-2</v>
      </c>
      <c r="K12" s="32">
        <f t="shared" si="1"/>
        <v>5.8479532163742132E-3</v>
      </c>
      <c r="L12" s="32">
        <f t="shared" si="2"/>
        <v>1.7980636237897585E-2</v>
      </c>
      <c r="M12" s="32">
        <f t="shared" si="3"/>
        <v>3.3068783068783691E-3</v>
      </c>
      <c r="N12" s="32">
        <f t="shared" si="4"/>
        <v>-4.583651642475095E-3</v>
      </c>
    </row>
    <row r="13" spans="1:14" x14ac:dyDescent="0.3">
      <c r="A13" s="10" t="s">
        <v>102</v>
      </c>
      <c r="B13" s="10" t="s">
        <v>30</v>
      </c>
      <c r="C13" s="10">
        <v>2020</v>
      </c>
      <c r="D13" s="37" t="s">
        <v>46</v>
      </c>
      <c r="E13" s="10">
        <v>148.9</v>
      </c>
      <c r="F13" s="10">
        <v>154.5</v>
      </c>
      <c r="G13" s="10">
        <v>148.9</v>
      </c>
      <c r="H13" s="10">
        <v>152.30000000000001</v>
      </c>
      <c r="I13" s="10">
        <v>129.9</v>
      </c>
      <c r="J13" s="32">
        <f t="shared" si="0"/>
        <v>-1.0631229235880335E-2</v>
      </c>
      <c r="K13" s="32">
        <f t="shared" si="1"/>
        <v>-1.9379844961241455E-3</v>
      </c>
      <c r="L13" s="32">
        <f t="shared" si="2"/>
        <v>1.1548913043478271E-2</v>
      </c>
      <c r="M13" s="32">
        <f t="shared" si="3"/>
        <v>3.9551746868822235E-3</v>
      </c>
      <c r="N13" s="32">
        <f t="shared" si="4"/>
        <v>-3.0698388334612359E-3</v>
      </c>
    </row>
    <row r="14" spans="1:14" x14ac:dyDescent="0.3">
      <c r="A14" s="10" t="s">
        <v>102</v>
      </c>
      <c r="B14" s="10" t="s">
        <v>30</v>
      </c>
      <c r="C14" s="10">
        <v>2020</v>
      </c>
      <c r="D14" s="37" t="s">
        <v>47</v>
      </c>
      <c r="E14" s="10">
        <v>151.4</v>
      </c>
      <c r="F14" s="10">
        <v>155.6</v>
      </c>
      <c r="G14" s="10">
        <v>144.1</v>
      </c>
      <c r="H14" s="10">
        <v>150.69999999999999</v>
      </c>
      <c r="I14" s="38">
        <v>132.48571428571427</v>
      </c>
      <c r="J14" s="32">
        <f t="shared" si="0"/>
        <v>1.6789791806581578E-2</v>
      </c>
      <c r="K14" s="32">
        <f t="shared" si="1"/>
        <v>7.119741100323651E-3</v>
      </c>
      <c r="L14" s="32">
        <f t="shared" si="2"/>
        <v>-3.2236400268636722E-2</v>
      </c>
      <c r="M14" s="32">
        <f t="shared" si="3"/>
        <v>-1.0505581089954141E-2</v>
      </c>
      <c r="N14" s="32">
        <f t="shared" si="4"/>
        <v>1.9905421752996588E-2</v>
      </c>
    </row>
    <row r="15" spans="1:14" x14ac:dyDescent="0.3">
      <c r="A15" s="10" t="s">
        <v>102</v>
      </c>
      <c r="B15" s="10" t="s">
        <v>30</v>
      </c>
      <c r="C15" s="10">
        <v>2020</v>
      </c>
      <c r="D15" s="37" t="s">
        <v>31</v>
      </c>
      <c r="E15" s="38">
        <v>152.38636363636365</v>
      </c>
      <c r="F15" s="38">
        <v>154.20909090909092</v>
      </c>
      <c r="G15" s="38">
        <v>143.22272727272727</v>
      </c>
      <c r="H15" s="38">
        <v>152.42272727272731</v>
      </c>
      <c r="I15" s="38">
        <v>132.48571428571427</v>
      </c>
      <c r="J15" s="32">
        <f t="shared" si="0"/>
        <v>6.5149513630360367E-3</v>
      </c>
      <c r="K15" s="32">
        <f t="shared" si="1"/>
        <v>-8.9390044402897217E-3</v>
      </c>
      <c r="L15" s="32">
        <f t="shared" si="2"/>
        <v>-6.0879439782979272E-3</v>
      </c>
      <c r="M15" s="32">
        <f t="shared" si="3"/>
        <v>1.14315014779518E-2</v>
      </c>
      <c r="N15" s="32">
        <f t="shared" si="4"/>
        <v>0</v>
      </c>
    </row>
    <row r="16" spans="1:14" x14ac:dyDescent="0.3">
      <c r="A16" s="10" t="s">
        <v>102</v>
      </c>
      <c r="B16" s="10" t="s">
        <v>30</v>
      </c>
      <c r="C16" s="10">
        <v>2020</v>
      </c>
      <c r="D16" s="37" t="s">
        <v>48</v>
      </c>
      <c r="E16" s="10">
        <v>154</v>
      </c>
      <c r="F16" s="10">
        <v>154.69999999999999</v>
      </c>
      <c r="G16" s="10">
        <v>141.9</v>
      </c>
      <c r="H16" s="10">
        <v>154.4</v>
      </c>
      <c r="I16" s="10">
        <v>135</v>
      </c>
      <c r="J16" s="32">
        <f t="shared" si="0"/>
        <v>1.0589112602535256E-2</v>
      </c>
      <c r="K16" s="32">
        <f t="shared" si="1"/>
        <v>3.1833991628837932E-3</v>
      </c>
      <c r="L16" s="32">
        <f t="shared" si="2"/>
        <v>-9.2354565362277041E-3</v>
      </c>
      <c r="M16" s="32">
        <f t="shared" si="3"/>
        <v>1.2972295947275558E-2</v>
      </c>
      <c r="N16" s="32">
        <f t="shared" si="4"/>
        <v>1.8977787362518983E-2</v>
      </c>
    </row>
    <row r="17" spans="1:14" x14ac:dyDescent="0.3">
      <c r="A17" s="10" t="s">
        <v>102</v>
      </c>
      <c r="B17" s="10" t="s">
        <v>30</v>
      </c>
      <c r="C17" s="10">
        <v>2020</v>
      </c>
      <c r="D17" s="37" t="s">
        <v>49</v>
      </c>
      <c r="E17" s="10">
        <v>154</v>
      </c>
      <c r="F17" s="10">
        <v>154.69999999999999</v>
      </c>
      <c r="G17" s="10">
        <v>141.9</v>
      </c>
      <c r="H17" s="10">
        <v>154.4</v>
      </c>
      <c r="I17" s="10">
        <v>135</v>
      </c>
      <c r="J17" s="32">
        <f t="shared" si="0"/>
        <v>0</v>
      </c>
      <c r="K17" s="32">
        <f t="shared" si="1"/>
        <v>0</v>
      </c>
      <c r="L17" s="32">
        <f t="shared" si="2"/>
        <v>0</v>
      </c>
      <c r="M17" s="32">
        <f t="shared" si="3"/>
        <v>0</v>
      </c>
      <c r="N17" s="32">
        <f t="shared" si="4"/>
        <v>0</v>
      </c>
    </row>
    <row r="18" spans="1:14" x14ac:dyDescent="0.3">
      <c r="A18" s="10" t="s">
        <v>102</v>
      </c>
      <c r="B18" s="10" t="s">
        <v>30</v>
      </c>
      <c r="C18" s="10">
        <v>2020</v>
      </c>
      <c r="D18" s="37" t="s">
        <v>50</v>
      </c>
      <c r="E18" s="10">
        <v>157</v>
      </c>
      <c r="F18" s="10">
        <v>155.5</v>
      </c>
      <c r="G18" s="10">
        <v>143</v>
      </c>
      <c r="H18" s="10">
        <v>155</v>
      </c>
      <c r="I18" s="10">
        <v>138.5</v>
      </c>
      <c r="J18" s="32">
        <f t="shared" si="0"/>
        <v>1.9480519480519431E-2</v>
      </c>
      <c r="K18" s="32">
        <f t="shared" si="1"/>
        <v>5.1712992889463294E-3</v>
      </c>
      <c r="L18" s="32">
        <f t="shared" si="2"/>
        <v>7.7519379844961378E-3</v>
      </c>
      <c r="M18" s="32">
        <f t="shared" si="3"/>
        <v>3.8860103626943143E-3</v>
      </c>
      <c r="N18" s="32">
        <f t="shared" si="4"/>
        <v>2.5925925925925908E-2</v>
      </c>
    </row>
    <row r="19" spans="1:14" x14ac:dyDescent="0.3">
      <c r="A19" s="10" t="s">
        <v>102</v>
      </c>
      <c r="B19" s="10" t="s">
        <v>30</v>
      </c>
      <c r="C19" s="10">
        <v>2020</v>
      </c>
      <c r="D19" s="37" t="s">
        <v>51</v>
      </c>
      <c r="E19" s="10">
        <v>158</v>
      </c>
      <c r="F19" s="10">
        <v>156.30000000000001</v>
      </c>
      <c r="G19" s="10">
        <v>142.9</v>
      </c>
      <c r="H19" s="10">
        <v>155.6</v>
      </c>
      <c r="I19" s="10">
        <v>139.6</v>
      </c>
      <c r="J19" s="32">
        <f t="shared" si="0"/>
        <v>6.3694267515923553E-3</v>
      </c>
      <c r="K19" s="32">
        <f t="shared" si="1"/>
        <v>5.1446945337620953E-3</v>
      </c>
      <c r="L19" s="32">
        <f t="shared" si="2"/>
        <v>-6.9930069930068672E-4</v>
      </c>
      <c r="M19" s="32">
        <f t="shared" si="3"/>
        <v>3.870967741935516E-3</v>
      </c>
      <c r="N19" s="32">
        <f t="shared" si="4"/>
        <v>7.9422382671479053E-3</v>
      </c>
    </row>
    <row r="20" spans="1:14" x14ac:dyDescent="0.3">
      <c r="A20" s="10" t="s">
        <v>102</v>
      </c>
      <c r="B20" s="10" t="s">
        <v>30</v>
      </c>
      <c r="C20" s="10">
        <v>2020</v>
      </c>
      <c r="D20" s="37" t="s">
        <v>52</v>
      </c>
      <c r="E20" s="10">
        <v>161.4</v>
      </c>
      <c r="F20" s="10">
        <v>156.5</v>
      </c>
      <c r="G20" s="10">
        <v>143.1</v>
      </c>
      <c r="H20" s="10">
        <v>156.30000000000001</v>
      </c>
      <c r="I20" s="10">
        <v>140.6</v>
      </c>
      <c r="J20" s="32">
        <f t="shared" si="0"/>
        <v>2.1518987341772267E-2</v>
      </c>
      <c r="K20" s="32">
        <f t="shared" si="1"/>
        <v>1.2795905310301059E-3</v>
      </c>
      <c r="L20" s="32">
        <f t="shared" si="2"/>
        <v>1.3995801259620855E-3</v>
      </c>
      <c r="M20" s="32">
        <f t="shared" si="3"/>
        <v>4.4987146529564814E-3</v>
      </c>
      <c r="N20" s="32">
        <f t="shared" si="4"/>
        <v>7.1633237822350537E-3</v>
      </c>
    </row>
    <row r="21" spans="1:14" x14ac:dyDescent="0.3">
      <c r="A21" s="10" t="s">
        <v>102</v>
      </c>
      <c r="B21" s="10" t="s">
        <v>30</v>
      </c>
      <c r="C21" s="10">
        <v>2020</v>
      </c>
      <c r="D21" s="37" t="s">
        <v>54</v>
      </c>
      <c r="E21" s="10">
        <v>164.7</v>
      </c>
      <c r="F21" s="10">
        <v>158</v>
      </c>
      <c r="G21" s="10">
        <v>143.6</v>
      </c>
      <c r="H21" s="10">
        <v>157.19999999999999</v>
      </c>
      <c r="I21" s="10">
        <v>140.4</v>
      </c>
      <c r="J21" s="32">
        <f t="shared" si="0"/>
        <v>2.0446096654274992E-2</v>
      </c>
      <c r="K21" s="32">
        <f t="shared" si="1"/>
        <v>9.5846645367412275E-3</v>
      </c>
      <c r="L21" s="32">
        <f t="shared" si="2"/>
        <v>3.4940600978337066E-3</v>
      </c>
      <c r="M21" s="32">
        <f t="shared" si="3"/>
        <v>5.7581573896352545E-3</v>
      </c>
      <c r="N21" s="32">
        <f t="shared" si="4"/>
        <v>-1.4224751066855834E-3</v>
      </c>
    </row>
    <row r="22" spans="1:14" x14ac:dyDescent="0.3">
      <c r="A22" s="10" t="s">
        <v>102</v>
      </c>
      <c r="B22" s="10" t="s">
        <v>30</v>
      </c>
      <c r="C22" s="10">
        <v>2020</v>
      </c>
      <c r="D22" s="37" t="s">
        <v>55</v>
      </c>
      <c r="E22" s="10">
        <v>165.4</v>
      </c>
      <c r="F22" s="10">
        <v>158.4</v>
      </c>
      <c r="G22" s="10">
        <v>144.6</v>
      </c>
      <c r="H22" s="10">
        <v>158.30000000000001</v>
      </c>
      <c r="I22" s="10">
        <v>140.69999999999999</v>
      </c>
      <c r="J22" s="32">
        <f t="shared" si="0"/>
        <v>4.2501517911355258E-3</v>
      </c>
      <c r="K22" s="32">
        <f t="shared" si="1"/>
        <v>2.5316455696202667E-3</v>
      </c>
      <c r="L22" s="32">
        <f t="shared" si="2"/>
        <v>6.9637883008355494E-3</v>
      </c>
      <c r="M22" s="32">
        <f t="shared" si="3"/>
        <v>6.9974554707381564E-3</v>
      </c>
      <c r="N22" s="32">
        <f t="shared" si="4"/>
        <v>2.1367521367519071E-3</v>
      </c>
    </row>
    <row r="23" spans="1:14" x14ac:dyDescent="0.3">
      <c r="A23" s="10" t="s">
        <v>102</v>
      </c>
      <c r="B23" s="10" t="s">
        <v>30</v>
      </c>
      <c r="C23" s="10">
        <v>2021</v>
      </c>
      <c r="D23" s="37" t="s">
        <v>42</v>
      </c>
      <c r="E23" s="10">
        <v>161</v>
      </c>
      <c r="F23" s="10">
        <v>157.69999999999999</v>
      </c>
      <c r="G23" s="10">
        <v>147.9</v>
      </c>
      <c r="H23" s="10">
        <v>159.30000000000001</v>
      </c>
      <c r="I23" s="10">
        <v>141.9</v>
      </c>
      <c r="J23" s="32">
        <f t="shared" si="0"/>
        <v>-2.6602176541717037E-2</v>
      </c>
      <c r="K23" s="32">
        <f t="shared" si="1"/>
        <v>-4.4191919191920448E-3</v>
      </c>
      <c r="L23" s="32">
        <f t="shared" si="2"/>
        <v>2.2821576763485618E-2</v>
      </c>
      <c r="M23" s="32">
        <f t="shared" si="3"/>
        <v>6.3171193935565029E-3</v>
      </c>
      <c r="N23" s="32">
        <f t="shared" si="4"/>
        <v>8.5287846481878482E-3</v>
      </c>
    </row>
    <row r="24" spans="1:14" x14ac:dyDescent="0.3">
      <c r="A24" s="10" t="s">
        <v>102</v>
      </c>
      <c r="B24" s="10" t="s">
        <v>30</v>
      </c>
      <c r="C24" s="10">
        <v>2021</v>
      </c>
      <c r="D24" s="37" t="s">
        <v>45</v>
      </c>
      <c r="E24" s="10">
        <v>156.9</v>
      </c>
      <c r="F24" s="10">
        <v>159.80000000000001</v>
      </c>
      <c r="G24" s="10">
        <v>152.4</v>
      </c>
      <c r="H24" s="10">
        <v>161.30000000000001</v>
      </c>
      <c r="I24" s="10">
        <v>145.1</v>
      </c>
      <c r="J24" s="32">
        <f t="shared" si="0"/>
        <v>-2.5465838509316718E-2</v>
      </c>
      <c r="K24" s="32">
        <f t="shared" si="1"/>
        <v>1.3316423589093462E-2</v>
      </c>
      <c r="L24" s="32">
        <f t="shared" si="2"/>
        <v>3.0425963488843744E-2</v>
      </c>
      <c r="M24" s="32">
        <f t="shared" si="3"/>
        <v>1.2554927809165006E-2</v>
      </c>
      <c r="N24" s="32">
        <f t="shared" si="4"/>
        <v>2.2551092318534138E-2</v>
      </c>
    </row>
    <row r="25" spans="1:14" x14ac:dyDescent="0.3">
      <c r="A25" s="39"/>
      <c r="B25" s="39"/>
      <c r="C25" s="39"/>
      <c r="D25" s="40"/>
      <c r="E25" s="39"/>
      <c r="F25" s="39"/>
      <c r="G25" s="39"/>
      <c r="H25" s="39"/>
      <c r="I25" s="39"/>
      <c r="J25" s="41"/>
      <c r="K25" s="41"/>
      <c r="L25" s="41"/>
      <c r="M25" s="41"/>
      <c r="N25" s="41"/>
    </row>
    <row r="26" spans="1:14" x14ac:dyDescent="0.3">
      <c r="D26" s="36"/>
      <c r="J26" s="18"/>
      <c r="K26" s="18"/>
      <c r="L26" s="18"/>
      <c r="M26" s="18"/>
      <c r="N26" s="18"/>
    </row>
    <row r="27" spans="1:14" x14ac:dyDescent="0.3">
      <c r="A27" s="5" t="s">
        <v>58</v>
      </c>
      <c r="B27" t="s">
        <v>103</v>
      </c>
      <c r="C27" t="s">
        <v>104</v>
      </c>
      <c r="D27" t="s">
        <v>105</v>
      </c>
      <c r="E27" t="s">
        <v>106</v>
      </c>
      <c r="F27" t="s">
        <v>107</v>
      </c>
      <c r="J27" s="18"/>
      <c r="K27" s="18"/>
      <c r="L27" s="18"/>
      <c r="M27" s="18"/>
      <c r="N27" s="18"/>
    </row>
    <row r="28" spans="1:14" x14ac:dyDescent="0.3">
      <c r="A28" s="6" t="s">
        <v>101</v>
      </c>
      <c r="B28" s="30">
        <v>8.7146204573624771E-3</v>
      </c>
      <c r="C28" s="30">
        <v>3.8359872257206938E-3</v>
      </c>
      <c r="D28" s="30">
        <v>5.2795366877455008E-3</v>
      </c>
      <c r="E28" s="30">
        <v>4.5137285326805384E-3</v>
      </c>
      <c r="F28" s="30">
        <v>3.7000434676658588E-3</v>
      </c>
      <c r="J28" s="18"/>
      <c r="K28" s="18"/>
      <c r="L28" s="18"/>
      <c r="M28" s="18"/>
      <c r="N28" s="18"/>
    </row>
    <row r="29" spans="1:14" x14ac:dyDescent="0.3">
      <c r="A29" s="6" t="s">
        <v>102</v>
      </c>
      <c r="B29" s="30">
        <v>3.6049827920444457E-3</v>
      </c>
      <c r="C29" s="30">
        <v>2.6696064547329181E-3</v>
      </c>
      <c r="D29" s="30">
        <v>3.0122265268726725E-3</v>
      </c>
      <c r="E29" s="30">
        <v>9.0532510211792927E-3</v>
      </c>
      <c r="F29" s="30">
        <v>5.144728653569723E-3</v>
      </c>
      <c r="J29" s="18"/>
      <c r="K29" s="18"/>
      <c r="L29" s="18"/>
      <c r="M29" s="18"/>
      <c r="N29" s="18"/>
    </row>
    <row r="30" spans="1:14" x14ac:dyDescent="0.3">
      <c r="A30" s="6" t="s">
        <v>59</v>
      </c>
      <c r="B30" s="30">
        <v>5.9275453671890051E-3</v>
      </c>
      <c r="C30" s="30">
        <v>3.1997795324546345E-3</v>
      </c>
      <c r="D30" s="30">
        <v>4.0428220545421396E-3</v>
      </c>
      <c r="E30" s="30">
        <v>6.9898317082253136E-3</v>
      </c>
      <c r="F30" s="30">
        <v>4.488053569067966E-3</v>
      </c>
    </row>
    <row r="31" spans="1:14" x14ac:dyDescent="0.3">
      <c r="A31" s="6"/>
      <c r="B31" s="30"/>
      <c r="C31" s="30"/>
      <c r="D31" s="30"/>
      <c r="E31" s="30"/>
      <c r="F31" s="30"/>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E36"/>
  <sheetViews>
    <sheetView topLeftCell="S23" workbookViewId="0">
      <selection activeCell="S35" sqref="S35"/>
    </sheetView>
  </sheetViews>
  <sheetFormatPr defaultRowHeight="14.4" x14ac:dyDescent="0.3"/>
  <cols>
    <col min="1" max="1" width="11.21875" bestFit="1" customWidth="1"/>
    <col min="2" max="2" width="5" bestFit="1" customWidth="1"/>
    <col min="3" max="3" width="9.77734375" bestFit="1" customWidth="1"/>
    <col min="4" max="4" width="25.6640625" bestFit="1" customWidth="1"/>
    <col min="5" max="5" width="17.44140625" bestFit="1" customWidth="1"/>
    <col min="6" max="6" width="24.6640625" bestFit="1" customWidth="1"/>
    <col min="7" max="7" width="19.44140625" bestFit="1" customWidth="1"/>
    <col min="8" max="8" width="7.44140625" bestFit="1" customWidth="1"/>
    <col min="9" max="9" width="11.6640625" bestFit="1" customWidth="1"/>
    <col min="10" max="10" width="25.77734375" bestFit="1" customWidth="1"/>
    <col min="11" max="11" width="6.33203125" bestFit="1" customWidth="1"/>
    <col min="12" max="12" width="25.88671875" bestFit="1" customWidth="1"/>
    <col min="13" max="13" width="23.6640625" bestFit="1" customWidth="1"/>
    <col min="14" max="14" width="9.109375" bestFit="1" customWidth="1"/>
    <col min="15" max="15" width="21.88671875" bestFit="1" customWidth="1"/>
    <col min="16" max="17" width="21.88671875" customWidth="1"/>
    <col min="18" max="18" width="25.6640625" bestFit="1" customWidth="1"/>
    <col min="19" max="19" width="18.109375" bestFit="1" customWidth="1"/>
    <col min="20" max="20" width="36.21875" bestFit="1" customWidth="1"/>
    <col min="21" max="21" width="20" bestFit="1" customWidth="1"/>
    <col min="22" max="22" width="25.6640625" bestFit="1" customWidth="1"/>
    <col min="23" max="23" width="20" bestFit="1" customWidth="1"/>
    <col min="24" max="24" width="26.6640625" bestFit="1" customWidth="1"/>
    <col min="25" max="25" width="12.21875" bestFit="1" customWidth="1"/>
    <col min="26" max="26" width="26.88671875" bestFit="1" customWidth="1"/>
    <col min="27" max="27" width="24.44140625" bestFit="1" customWidth="1"/>
    <col min="28" max="28" width="26.88671875" bestFit="1" customWidth="1"/>
    <col min="29" max="29" width="24.44140625" bestFit="1" customWidth="1"/>
    <col min="30" max="30" width="9.44140625" bestFit="1" customWidth="1"/>
    <col min="31" max="31" width="22.33203125" bestFit="1" customWidth="1"/>
  </cols>
  <sheetData>
    <row r="1" spans="1:31" ht="14.4" customHeight="1" x14ac:dyDescent="0.35">
      <c r="A1" s="9" t="s">
        <v>0</v>
      </c>
      <c r="B1" s="9" t="s">
        <v>1</v>
      </c>
      <c r="C1" s="9" t="s">
        <v>2</v>
      </c>
      <c r="D1" s="42" t="s">
        <v>108</v>
      </c>
      <c r="E1" s="34" t="s">
        <v>15</v>
      </c>
      <c r="F1" s="34" t="s">
        <v>16</v>
      </c>
      <c r="G1" s="34" t="s">
        <v>19</v>
      </c>
      <c r="H1" s="34" t="s">
        <v>20</v>
      </c>
      <c r="I1" s="34" t="s">
        <v>21</v>
      </c>
      <c r="J1" s="34" t="s">
        <v>22</v>
      </c>
      <c r="K1" s="34" t="s">
        <v>23</v>
      </c>
      <c r="L1" s="34" t="s">
        <v>24</v>
      </c>
      <c r="M1" s="34" t="s">
        <v>25</v>
      </c>
      <c r="N1" s="34" t="s">
        <v>26</v>
      </c>
      <c r="O1" s="34" t="s">
        <v>27</v>
      </c>
      <c r="Q1" s="51" t="s">
        <v>109</v>
      </c>
      <c r="R1" s="52"/>
      <c r="S1" s="52"/>
      <c r="T1" s="52"/>
      <c r="U1" s="52"/>
      <c r="V1" s="52"/>
      <c r="W1" s="52"/>
      <c r="X1" s="52"/>
      <c r="Y1" s="52"/>
      <c r="Z1" s="52"/>
      <c r="AA1" s="52"/>
      <c r="AB1" s="52"/>
      <c r="AC1" s="52"/>
      <c r="AD1" s="52"/>
      <c r="AE1" s="53"/>
    </row>
    <row r="2" spans="1:31" x14ac:dyDescent="0.3">
      <c r="A2" s="10" t="s">
        <v>30</v>
      </c>
      <c r="B2" s="10">
        <v>2021</v>
      </c>
      <c r="C2" s="10" t="s">
        <v>42</v>
      </c>
      <c r="D2" s="43">
        <v>54.77</v>
      </c>
      <c r="E2" s="10">
        <v>161</v>
      </c>
      <c r="F2" s="10">
        <v>186.5</v>
      </c>
      <c r="G2" s="10">
        <v>154.19999999999999</v>
      </c>
      <c r="H2" s="10">
        <v>157.69999999999999</v>
      </c>
      <c r="I2" s="10">
        <v>147.9</v>
      </c>
      <c r="J2" s="10">
        <v>150</v>
      </c>
      <c r="K2" s="10">
        <v>159.30000000000001</v>
      </c>
      <c r="L2" s="10">
        <v>141.9</v>
      </c>
      <c r="M2" s="10">
        <v>149.6</v>
      </c>
      <c r="N2" s="10">
        <v>159.19999999999999</v>
      </c>
      <c r="O2" s="10">
        <v>156.80000000000001</v>
      </c>
      <c r="Q2" s="34" t="s">
        <v>0</v>
      </c>
      <c r="R2" s="34" t="s">
        <v>1</v>
      </c>
      <c r="S2" s="34" t="s">
        <v>2</v>
      </c>
      <c r="T2" s="45" t="s">
        <v>108</v>
      </c>
      <c r="U2" s="34" t="s">
        <v>15</v>
      </c>
      <c r="V2" s="34" t="s">
        <v>16</v>
      </c>
      <c r="W2" s="34" t="s">
        <v>19</v>
      </c>
      <c r="X2" s="34" t="s">
        <v>20</v>
      </c>
      <c r="Y2" s="34" t="s">
        <v>21</v>
      </c>
      <c r="Z2" s="34" t="s">
        <v>22</v>
      </c>
      <c r="AA2" s="34" t="s">
        <v>23</v>
      </c>
      <c r="AB2" s="34" t="s">
        <v>24</v>
      </c>
      <c r="AC2" s="34" t="s">
        <v>25</v>
      </c>
      <c r="AD2" s="34" t="s">
        <v>26</v>
      </c>
      <c r="AE2" s="34" t="s">
        <v>27</v>
      </c>
    </row>
    <row r="3" spans="1:31" x14ac:dyDescent="0.3">
      <c r="A3" s="10" t="s">
        <v>30</v>
      </c>
      <c r="B3" s="10">
        <v>2021</v>
      </c>
      <c r="C3" s="10" t="s">
        <v>45</v>
      </c>
      <c r="D3" s="44">
        <v>62.28</v>
      </c>
      <c r="E3" s="10">
        <v>156.9</v>
      </c>
      <c r="F3" s="10">
        <v>188.3</v>
      </c>
      <c r="G3" s="10">
        <v>155.80000000000001</v>
      </c>
      <c r="H3" s="10">
        <v>159.80000000000001</v>
      </c>
      <c r="I3" s="10">
        <v>152.4</v>
      </c>
      <c r="J3" s="10">
        <v>150.9</v>
      </c>
      <c r="K3" s="10">
        <v>161.30000000000001</v>
      </c>
      <c r="L3" s="10">
        <v>145.1</v>
      </c>
      <c r="M3" s="10">
        <v>151.5</v>
      </c>
      <c r="N3" s="10">
        <v>159.5</v>
      </c>
      <c r="O3" s="10">
        <v>155.80000000000001</v>
      </c>
      <c r="Q3" s="10" t="s">
        <v>30</v>
      </c>
      <c r="R3" s="10">
        <v>2021</v>
      </c>
      <c r="S3" s="10" t="s">
        <v>42</v>
      </c>
      <c r="T3" s="10" t="s">
        <v>57</v>
      </c>
      <c r="U3" s="10" t="s">
        <v>57</v>
      </c>
      <c r="V3" s="10" t="s">
        <v>57</v>
      </c>
      <c r="W3" s="10" t="s">
        <v>57</v>
      </c>
      <c r="X3" s="10" t="s">
        <v>57</v>
      </c>
      <c r="Y3" s="10" t="s">
        <v>57</v>
      </c>
      <c r="Z3" s="10" t="s">
        <v>57</v>
      </c>
      <c r="AA3" s="10" t="s">
        <v>57</v>
      </c>
      <c r="AB3" s="10" t="s">
        <v>57</v>
      </c>
      <c r="AC3" s="10" t="s">
        <v>57</v>
      </c>
      <c r="AD3" s="10" t="s">
        <v>57</v>
      </c>
      <c r="AE3" s="10" t="s">
        <v>57</v>
      </c>
    </row>
    <row r="4" spans="1:31" x14ac:dyDescent="0.3">
      <c r="A4" s="10" t="s">
        <v>30</v>
      </c>
      <c r="B4" s="10">
        <v>2021</v>
      </c>
      <c r="C4" s="10" t="s">
        <v>46</v>
      </c>
      <c r="D4" s="43">
        <v>65.41</v>
      </c>
      <c r="E4" s="10">
        <v>156.69999999999999</v>
      </c>
      <c r="F4" s="10">
        <v>188.1</v>
      </c>
      <c r="G4" s="10">
        <v>156.4</v>
      </c>
      <c r="H4" s="10">
        <v>159.9</v>
      </c>
      <c r="I4" s="10">
        <v>155.5</v>
      </c>
      <c r="J4" s="10">
        <v>151.19999999999999</v>
      </c>
      <c r="K4" s="10">
        <v>161.69999999999999</v>
      </c>
      <c r="L4" s="10">
        <v>146.19999999999999</v>
      </c>
      <c r="M4" s="10">
        <v>152.6</v>
      </c>
      <c r="N4" s="10">
        <v>160.19999999999999</v>
      </c>
      <c r="O4" s="10">
        <v>153.80000000000001</v>
      </c>
      <c r="Q4" s="10" t="s">
        <v>30</v>
      </c>
      <c r="R4" s="10">
        <v>2021</v>
      </c>
      <c r="S4" s="10" t="s">
        <v>45</v>
      </c>
      <c r="T4" s="32">
        <f t="shared" ref="T4:AE4" si="0">D3/D2-1</f>
        <v>0.13711886069015877</v>
      </c>
      <c r="U4" s="32">
        <f t="shared" si="0"/>
        <v>-2.5465838509316718E-2</v>
      </c>
      <c r="V4" s="32">
        <f t="shared" si="0"/>
        <v>9.65147453083115E-3</v>
      </c>
      <c r="W4" s="32">
        <f t="shared" si="0"/>
        <v>1.0376134889753752E-2</v>
      </c>
      <c r="X4" s="32">
        <f t="shared" si="0"/>
        <v>1.3316423589093462E-2</v>
      </c>
      <c r="Y4" s="32">
        <f t="shared" si="0"/>
        <v>3.0425963488843744E-2</v>
      </c>
      <c r="Z4" s="32">
        <f t="shared" si="0"/>
        <v>6.0000000000000053E-3</v>
      </c>
      <c r="AA4" s="32">
        <f t="shared" si="0"/>
        <v>1.2554927809165006E-2</v>
      </c>
      <c r="AB4" s="32">
        <f t="shared" si="0"/>
        <v>2.2551092318534138E-2</v>
      </c>
      <c r="AC4" s="32">
        <f t="shared" si="0"/>
        <v>1.2700534759358284E-2</v>
      </c>
      <c r="AD4" s="32">
        <f t="shared" si="0"/>
        <v>1.8844221105527303E-3</v>
      </c>
      <c r="AE4" s="32">
        <f t="shared" si="0"/>
        <v>-6.3775510204081565E-3</v>
      </c>
    </row>
    <row r="5" spans="1:31" x14ac:dyDescent="0.3">
      <c r="A5" s="10" t="s">
        <v>30</v>
      </c>
      <c r="B5" s="10">
        <v>2021</v>
      </c>
      <c r="C5" s="10" t="s">
        <v>47</v>
      </c>
      <c r="D5" s="44">
        <v>64.81</v>
      </c>
      <c r="E5" s="10">
        <v>158</v>
      </c>
      <c r="F5" s="10">
        <v>188.8</v>
      </c>
      <c r="G5" s="10">
        <v>157.30000000000001</v>
      </c>
      <c r="H5" s="10">
        <v>161.4</v>
      </c>
      <c r="I5" s="10">
        <v>155.6</v>
      </c>
      <c r="J5" s="10">
        <v>151.80000000000001</v>
      </c>
      <c r="K5" s="10">
        <v>162.30000000000001</v>
      </c>
      <c r="L5" s="10">
        <v>146.6</v>
      </c>
      <c r="M5" s="10">
        <v>153.19999999999999</v>
      </c>
      <c r="N5" s="10">
        <v>160.30000000000001</v>
      </c>
      <c r="O5" s="10">
        <v>155.4</v>
      </c>
      <c r="Q5" s="10" t="s">
        <v>30</v>
      </c>
      <c r="R5" s="10">
        <v>2021</v>
      </c>
      <c r="S5" s="10" t="s">
        <v>46</v>
      </c>
      <c r="T5" s="32">
        <f t="shared" ref="T5:AE5" si="1">D4/D3-1</f>
        <v>5.025690430314711E-2</v>
      </c>
      <c r="U5" s="32">
        <f t="shared" si="1"/>
        <v>-1.274697259400992E-3</v>
      </c>
      <c r="V5" s="32">
        <f t="shared" si="1"/>
        <v>-1.0621348911312722E-3</v>
      </c>
      <c r="W5" s="32">
        <f t="shared" si="1"/>
        <v>3.8510911424902705E-3</v>
      </c>
      <c r="X5" s="32">
        <f t="shared" si="1"/>
        <v>6.2578222778464365E-4</v>
      </c>
      <c r="Y5" s="32">
        <f t="shared" si="1"/>
        <v>2.0341207349081403E-2</v>
      </c>
      <c r="Z5" s="32">
        <f t="shared" si="1"/>
        <v>1.9880715705764551E-3</v>
      </c>
      <c r="AA5" s="32">
        <f t="shared" si="1"/>
        <v>2.4798512089272418E-3</v>
      </c>
      <c r="AB5" s="32">
        <f t="shared" si="1"/>
        <v>7.5809786354237296E-3</v>
      </c>
      <c r="AC5" s="32">
        <f t="shared" si="1"/>
        <v>7.2607260726071932E-3</v>
      </c>
      <c r="AD5" s="32">
        <f t="shared" si="1"/>
        <v>4.3887147335421872E-3</v>
      </c>
      <c r="AE5" s="32">
        <f t="shared" si="1"/>
        <v>-1.2836970474967901E-2</v>
      </c>
    </row>
    <row r="6" spans="1:31" x14ac:dyDescent="0.3">
      <c r="A6" s="10" t="s">
        <v>30</v>
      </c>
      <c r="B6" s="10">
        <v>2021</v>
      </c>
      <c r="C6" s="10" t="s">
        <v>31</v>
      </c>
      <c r="D6" s="43">
        <v>68.53</v>
      </c>
      <c r="E6" s="10">
        <v>160.69999999999999</v>
      </c>
      <c r="F6" s="10">
        <v>191.9</v>
      </c>
      <c r="G6" s="10">
        <v>160.4</v>
      </c>
      <c r="H6" s="10">
        <v>161.6</v>
      </c>
      <c r="I6" s="10">
        <v>159.4</v>
      </c>
      <c r="J6" s="10">
        <v>154.69999999999999</v>
      </c>
      <c r="K6" s="10">
        <v>165.8</v>
      </c>
      <c r="L6" s="10">
        <v>148.9</v>
      </c>
      <c r="M6" s="10">
        <v>155.80000000000001</v>
      </c>
      <c r="N6" s="10">
        <v>161.19999999999999</v>
      </c>
      <c r="O6" s="10">
        <v>158.6</v>
      </c>
      <c r="Q6" s="10" t="s">
        <v>30</v>
      </c>
      <c r="R6" s="10">
        <v>2021</v>
      </c>
      <c r="S6" s="10" t="s">
        <v>47</v>
      </c>
      <c r="T6" s="32">
        <f t="shared" ref="T6:AE6" si="2">D5/D4-1</f>
        <v>-9.1729093410792828E-3</v>
      </c>
      <c r="U6" s="32">
        <f t="shared" si="2"/>
        <v>8.2961072112317513E-3</v>
      </c>
      <c r="V6" s="32">
        <f t="shared" si="2"/>
        <v>3.7214247740564588E-3</v>
      </c>
      <c r="W6" s="32">
        <f t="shared" si="2"/>
        <v>5.7544757033247684E-3</v>
      </c>
      <c r="X6" s="32">
        <f t="shared" si="2"/>
        <v>9.3808630393996673E-3</v>
      </c>
      <c r="Y6" s="32">
        <f t="shared" si="2"/>
        <v>6.430868167202064E-4</v>
      </c>
      <c r="Z6" s="32">
        <f t="shared" si="2"/>
        <v>3.9682539682541762E-3</v>
      </c>
      <c r="AA6" s="32">
        <f t="shared" si="2"/>
        <v>3.7105751391466324E-3</v>
      </c>
      <c r="AB6" s="32">
        <f t="shared" si="2"/>
        <v>2.7359781121751858E-3</v>
      </c>
      <c r="AC6" s="32">
        <f t="shared" si="2"/>
        <v>3.9318479685452878E-3</v>
      </c>
      <c r="AD6" s="32">
        <f t="shared" si="2"/>
        <v>6.242197253434334E-4</v>
      </c>
      <c r="AE6" s="32">
        <f t="shared" si="2"/>
        <v>1.040312093628093E-2</v>
      </c>
    </row>
    <row r="7" spans="1:31" x14ac:dyDescent="0.3">
      <c r="A7" s="10" t="s">
        <v>30</v>
      </c>
      <c r="B7" s="10">
        <v>2021</v>
      </c>
      <c r="C7" s="10" t="s">
        <v>48</v>
      </c>
      <c r="D7" s="44">
        <v>73.16</v>
      </c>
      <c r="E7" s="10">
        <v>162.6</v>
      </c>
      <c r="F7" s="10">
        <v>190.8</v>
      </c>
      <c r="G7" s="10">
        <v>160.69999999999999</v>
      </c>
      <c r="H7" s="10">
        <v>160.5</v>
      </c>
      <c r="I7" s="10">
        <v>159.80000000000001</v>
      </c>
      <c r="J7" s="10">
        <v>154.80000000000001</v>
      </c>
      <c r="K7" s="10">
        <v>166.3</v>
      </c>
      <c r="L7" s="10">
        <v>150.69999999999999</v>
      </c>
      <c r="M7" s="10">
        <v>154.9</v>
      </c>
      <c r="N7" s="10">
        <v>161.69999999999999</v>
      </c>
      <c r="O7" s="10">
        <v>158.80000000000001</v>
      </c>
      <c r="Q7" s="10" t="s">
        <v>30</v>
      </c>
      <c r="R7" s="10">
        <v>2021</v>
      </c>
      <c r="S7" s="10" t="s">
        <v>31</v>
      </c>
      <c r="T7" s="32">
        <f t="shared" ref="T7:AE7" si="3">D6/D5-1</f>
        <v>5.7398549606542115E-2</v>
      </c>
      <c r="U7" s="32">
        <f t="shared" si="3"/>
        <v>1.7088607594936578E-2</v>
      </c>
      <c r="V7" s="32">
        <f t="shared" si="3"/>
        <v>1.6419491525423657E-2</v>
      </c>
      <c r="W7" s="32">
        <f t="shared" si="3"/>
        <v>1.9707565162110585E-2</v>
      </c>
      <c r="X7" s="32">
        <f t="shared" si="3"/>
        <v>1.2391573729861882E-3</v>
      </c>
      <c r="Y7" s="32">
        <f t="shared" si="3"/>
        <v>2.4421593830334265E-2</v>
      </c>
      <c r="Z7" s="32">
        <f t="shared" si="3"/>
        <v>1.9104084321475368E-2</v>
      </c>
      <c r="AA7" s="32">
        <f t="shared" si="3"/>
        <v>2.1565003080714629E-2</v>
      </c>
      <c r="AB7" s="32">
        <f t="shared" si="3"/>
        <v>1.568894952251032E-2</v>
      </c>
      <c r="AC7" s="32">
        <f t="shared" si="3"/>
        <v>1.6971279373368287E-2</v>
      </c>
      <c r="AD7" s="32">
        <f t="shared" si="3"/>
        <v>5.6144728633811258E-3</v>
      </c>
      <c r="AE7" s="32">
        <f t="shared" si="3"/>
        <v>2.0592020592020477E-2</v>
      </c>
    </row>
    <row r="8" spans="1:31" x14ac:dyDescent="0.3">
      <c r="A8" s="10" t="s">
        <v>30</v>
      </c>
      <c r="B8" s="10">
        <v>2021</v>
      </c>
      <c r="C8" s="10" t="s">
        <v>49</v>
      </c>
      <c r="D8" s="43">
        <v>75.17</v>
      </c>
      <c r="E8" s="10">
        <v>164</v>
      </c>
      <c r="F8" s="10">
        <v>191.2</v>
      </c>
      <c r="G8" s="10">
        <v>161.4</v>
      </c>
      <c r="H8" s="10">
        <v>161.5</v>
      </c>
      <c r="I8" s="10">
        <v>160.69999999999999</v>
      </c>
      <c r="J8" s="10">
        <v>155.80000000000001</v>
      </c>
      <c r="K8" s="10">
        <v>167</v>
      </c>
      <c r="L8" s="10">
        <v>153.1</v>
      </c>
      <c r="M8" s="10">
        <v>155.30000000000001</v>
      </c>
      <c r="N8" s="10">
        <v>163.19999999999999</v>
      </c>
      <c r="O8" s="10">
        <v>160.1</v>
      </c>
      <c r="Q8" s="10" t="s">
        <v>30</v>
      </c>
      <c r="R8" s="10">
        <v>2021</v>
      </c>
      <c r="S8" s="10" t="s">
        <v>48</v>
      </c>
      <c r="T8" s="32">
        <f t="shared" ref="T8:AE8" si="4">D7/D6-1</f>
        <v>6.7561651831314684E-2</v>
      </c>
      <c r="U8" s="32">
        <f t="shared" si="4"/>
        <v>1.1823273179838223E-2</v>
      </c>
      <c r="V8" s="32">
        <f t="shared" si="4"/>
        <v>-5.7321521625846028E-3</v>
      </c>
      <c r="W8" s="32">
        <f t="shared" si="4"/>
        <v>1.8703241895261513E-3</v>
      </c>
      <c r="X8" s="32">
        <f t="shared" si="4"/>
        <v>-6.8069306930692575E-3</v>
      </c>
      <c r="Y8" s="32">
        <f t="shared" si="4"/>
        <v>2.5094102885823144E-3</v>
      </c>
      <c r="Z8" s="32">
        <f t="shared" si="4"/>
        <v>6.4641241111851322E-4</v>
      </c>
      <c r="AA8" s="32">
        <f t="shared" si="4"/>
        <v>3.0156815440289808E-3</v>
      </c>
      <c r="AB8" s="32">
        <f t="shared" si="4"/>
        <v>1.2088650100738674E-2</v>
      </c>
      <c r="AC8" s="32">
        <f t="shared" si="4"/>
        <v>-5.7766367137356278E-3</v>
      </c>
      <c r="AD8" s="32">
        <f t="shared" si="4"/>
        <v>3.1017369727046606E-3</v>
      </c>
      <c r="AE8" s="32">
        <f t="shared" si="4"/>
        <v>1.2610340479193294E-3</v>
      </c>
    </row>
    <row r="9" spans="1:31" x14ac:dyDescent="0.3">
      <c r="A9" s="10" t="s">
        <v>30</v>
      </c>
      <c r="B9" s="10">
        <v>2021</v>
      </c>
      <c r="C9" s="10" t="s">
        <v>50</v>
      </c>
      <c r="D9" s="44">
        <v>70.75</v>
      </c>
      <c r="E9" s="10">
        <v>164</v>
      </c>
      <c r="F9" s="10">
        <v>192.1</v>
      </c>
      <c r="G9" s="10">
        <v>163.19999999999999</v>
      </c>
      <c r="H9" s="10">
        <v>162.1</v>
      </c>
      <c r="I9" s="10">
        <v>162.6</v>
      </c>
      <c r="J9" s="10">
        <v>157.5</v>
      </c>
      <c r="K9" s="10">
        <v>168.4</v>
      </c>
      <c r="L9" s="10">
        <v>154</v>
      </c>
      <c r="M9" s="10">
        <v>157.6</v>
      </c>
      <c r="N9" s="10">
        <v>163.80000000000001</v>
      </c>
      <c r="O9" s="10">
        <v>160</v>
      </c>
      <c r="Q9" s="10" t="s">
        <v>30</v>
      </c>
      <c r="R9" s="10">
        <v>2021</v>
      </c>
      <c r="S9" s="10" t="s">
        <v>49</v>
      </c>
      <c r="T9" s="32">
        <f t="shared" ref="T9:AE9" si="5">D8/D7-1</f>
        <v>2.7474029524330312E-2</v>
      </c>
      <c r="U9" s="32">
        <f t="shared" si="5"/>
        <v>8.610086100861114E-3</v>
      </c>
      <c r="V9" s="32">
        <f t="shared" si="5"/>
        <v>2.0964360587001352E-3</v>
      </c>
      <c r="W9" s="32">
        <f t="shared" si="5"/>
        <v>4.3559427504669124E-3</v>
      </c>
      <c r="X9" s="32">
        <f t="shared" si="5"/>
        <v>6.230529595015577E-3</v>
      </c>
      <c r="Y9" s="32">
        <f t="shared" si="5"/>
        <v>5.632040050062459E-3</v>
      </c>
      <c r="Z9" s="32">
        <f t="shared" si="5"/>
        <v>6.4599483204135222E-3</v>
      </c>
      <c r="AA9" s="32">
        <f t="shared" si="5"/>
        <v>4.2092603728201006E-3</v>
      </c>
      <c r="AB9" s="32">
        <f t="shared" si="5"/>
        <v>1.5925680159256883E-2</v>
      </c>
      <c r="AC9" s="32">
        <f t="shared" si="5"/>
        <v>2.5823111684959432E-3</v>
      </c>
      <c r="AD9" s="32">
        <f t="shared" si="5"/>
        <v>9.27643784786647E-3</v>
      </c>
      <c r="AE9" s="32">
        <f t="shared" si="5"/>
        <v>8.1863979848866286E-3</v>
      </c>
    </row>
    <row r="10" spans="1:31" x14ac:dyDescent="0.3">
      <c r="A10" s="10" t="s">
        <v>30</v>
      </c>
      <c r="B10" s="10">
        <v>2021</v>
      </c>
      <c r="C10" s="10" t="s">
        <v>51</v>
      </c>
      <c r="D10" s="43">
        <v>74.489999999999995</v>
      </c>
      <c r="E10" s="10">
        <v>164</v>
      </c>
      <c r="F10" s="10">
        <v>192.1</v>
      </c>
      <c r="G10" s="10">
        <v>163.30000000000001</v>
      </c>
      <c r="H10" s="10">
        <v>162.1</v>
      </c>
      <c r="I10" s="10">
        <v>162.6</v>
      </c>
      <c r="J10" s="10">
        <v>157.5</v>
      </c>
      <c r="K10" s="10">
        <v>168.4</v>
      </c>
      <c r="L10" s="10">
        <v>154</v>
      </c>
      <c r="M10" s="10">
        <v>157.69999999999999</v>
      </c>
      <c r="N10" s="10">
        <v>163.69999999999999</v>
      </c>
      <c r="O10" s="10">
        <v>160</v>
      </c>
      <c r="Q10" s="10" t="s">
        <v>30</v>
      </c>
      <c r="R10" s="10">
        <v>2021</v>
      </c>
      <c r="S10" s="10" t="s">
        <v>50</v>
      </c>
      <c r="T10" s="32">
        <f t="shared" ref="T10:AE10" si="6">D9/D8-1</f>
        <v>-5.8800053212717862E-2</v>
      </c>
      <c r="U10" s="32">
        <f t="shared" si="6"/>
        <v>0</v>
      </c>
      <c r="V10" s="32">
        <f t="shared" si="6"/>
        <v>4.7071129707112469E-3</v>
      </c>
      <c r="W10" s="32">
        <f t="shared" si="6"/>
        <v>1.1152416356877248E-2</v>
      </c>
      <c r="X10" s="32">
        <f t="shared" si="6"/>
        <v>3.7151702786377694E-3</v>
      </c>
      <c r="Y10" s="32">
        <f t="shared" si="6"/>
        <v>1.1823273179838223E-2</v>
      </c>
      <c r="Z10" s="32">
        <f t="shared" si="6"/>
        <v>1.0911424903722544E-2</v>
      </c>
      <c r="AA10" s="32">
        <f t="shared" si="6"/>
        <v>8.3832335329341312E-3</v>
      </c>
      <c r="AB10" s="32">
        <f t="shared" si="6"/>
        <v>5.878510777269863E-3</v>
      </c>
      <c r="AC10" s="32">
        <f t="shared" si="6"/>
        <v>1.4810045074050038E-2</v>
      </c>
      <c r="AD10" s="32">
        <f t="shared" si="6"/>
        <v>3.6764705882355031E-3</v>
      </c>
      <c r="AE10" s="32">
        <f t="shared" si="6"/>
        <v>-6.2460961898813672E-4</v>
      </c>
    </row>
    <row r="11" spans="1:31" x14ac:dyDescent="0.3">
      <c r="A11" s="10" t="s">
        <v>30</v>
      </c>
      <c r="B11" s="10">
        <v>2021</v>
      </c>
      <c r="C11" s="10" t="s">
        <v>52</v>
      </c>
      <c r="D11" s="44">
        <v>83.54</v>
      </c>
      <c r="E11" s="10">
        <v>167.7</v>
      </c>
      <c r="F11" s="10">
        <v>192.7</v>
      </c>
      <c r="G11" s="10">
        <v>164.3</v>
      </c>
      <c r="H11" s="10">
        <v>163.6</v>
      </c>
      <c r="I11" s="10">
        <v>164.2</v>
      </c>
      <c r="J11" s="10">
        <v>158.4</v>
      </c>
      <c r="K11" s="10">
        <v>169.1</v>
      </c>
      <c r="L11" s="10">
        <v>155.69999999999999</v>
      </c>
      <c r="M11" s="10">
        <v>158.6</v>
      </c>
      <c r="N11" s="10">
        <v>163.9</v>
      </c>
      <c r="O11" s="10">
        <v>160.80000000000001</v>
      </c>
      <c r="Q11" s="10" t="s">
        <v>30</v>
      </c>
      <c r="R11" s="10">
        <v>2021</v>
      </c>
      <c r="S11" s="10" t="s">
        <v>51</v>
      </c>
      <c r="T11" s="32">
        <f t="shared" ref="T11:AE11" si="7">D10/D9-1</f>
        <v>5.28621908127207E-2</v>
      </c>
      <c r="U11" s="32">
        <f t="shared" si="7"/>
        <v>0</v>
      </c>
      <c r="V11" s="32">
        <f t="shared" si="7"/>
        <v>0</v>
      </c>
      <c r="W11" s="32">
        <f t="shared" si="7"/>
        <v>6.1274509803932453E-4</v>
      </c>
      <c r="X11" s="32">
        <f t="shared" si="7"/>
        <v>0</v>
      </c>
      <c r="Y11" s="32">
        <f t="shared" si="7"/>
        <v>0</v>
      </c>
      <c r="Z11" s="32">
        <f t="shared" si="7"/>
        <v>0</v>
      </c>
      <c r="AA11" s="32">
        <f t="shared" si="7"/>
        <v>0</v>
      </c>
      <c r="AB11" s="32">
        <f t="shared" si="7"/>
        <v>0</v>
      </c>
      <c r="AC11" s="32">
        <f t="shared" si="7"/>
        <v>6.3451776649747771E-4</v>
      </c>
      <c r="AD11" s="32">
        <f t="shared" si="7"/>
        <v>-6.1050061050071935E-4</v>
      </c>
      <c r="AE11" s="32">
        <f t="shared" si="7"/>
        <v>0</v>
      </c>
    </row>
    <row r="12" spans="1:31" x14ac:dyDescent="0.3">
      <c r="A12" s="10" t="s">
        <v>30</v>
      </c>
      <c r="B12" s="10">
        <v>2021</v>
      </c>
      <c r="C12" s="10" t="s">
        <v>54</v>
      </c>
      <c r="D12" s="43">
        <v>81.05</v>
      </c>
      <c r="E12" s="10">
        <v>169.7</v>
      </c>
      <c r="F12" s="10">
        <v>192.9</v>
      </c>
      <c r="G12" s="10">
        <v>165.8</v>
      </c>
      <c r="H12" s="10">
        <v>164.2</v>
      </c>
      <c r="I12" s="10">
        <v>163.9</v>
      </c>
      <c r="J12" s="10">
        <v>159.30000000000001</v>
      </c>
      <c r="K12" s="10">
        <v>169.9</v>
      </c>
      <c r="L12" s="10">
        <v>154.80000000000001</v>
      </c>
      <c r="M12" s="10">
        <v>159.80000000000001</v>
      </c>
      <c r="N12" s="10">
        <v>164.3</v>
      </c>
      <c r="O12" s="10">
        <v>162.19999999999999</v>
      </c>
      <c r="Q12" s="10" t="s">
        <v>30</v>
      </c>
      <c r="R12" s="10">
        <v>2021</v>
      </c>
      <c r="S12" s="10" t="s">
        <v>52</v>
      </c>
      <c r="T12" s="32">
        <f t="shared" ref="T12:AE12" si="8">D11/D10-1</f>
        <v>0.12149281782789645</v>
      </c>
      <c r="U12" s="32">
        <f t="shared" si="8"/>
        <v>2.2560975609756007E-2</v>
      </c>
      <c r="V12" s="32">
        <f t="shared" si="8"/>
        <v>3.1233732431024119E-3</v>
      </c>
      <c r="W12" s="32">
        <f t="shared" si="8"/>
        <v>6.1236987140231847E-3</v>
      </c>
      <c r="X12" s="32">
        <f t="shared" si="8"/>
        <v>9.2535471930907942E-3</v>
      </c>
      <c r="Y12" s="32">
        <f t="shared" si="8"/>
        <v>9.8400984009838766E-3</v>
      </c>
      <c r="Z12" s="32">
        <f t="shared" si="8"/>
        <v>5.7142857142857828E-3</v>
      </c>
      <c r="AA12" s="32">
        <f t="shared" si="8"/>
        <v>4.1567695961994833E-3</v>
      </c>
      <c r="AB12" s="32">
        <f t="shared" si="8"/>
        <v>1.1038961038960959E-2</v>
      </c>
      <c r="AC12" s="32">
        <f t="shared" si="8"/>
        <v>5.7070386810400553E-3</v>
      </c>
      <c r="AD12" s="32">
        <f t="shared" si="8"/>
        <v>1.2217470983506562E-3</v>
      </c>
      <c r="AE12" s="32">
        <f t="shared" si="8"/>
        <v>5.0000000000001155E-3</v>
      </c>
    </row>
    <row r="13" spans="1:31" x14ac:dyDescent="0.3">
      <c r="A13" s="10" t="s">
        <v>30</v>
      </c>
      <c r="B13" s="10">
        <v>2021</v>
      </c>
      <c r="C13" s="10" t="s">
        <v>55</v>
      </c>
      <c r="D13" s="44">
        <v>74.17</v>
      </c>
      <c r="E13" s="10">
        <v>168.2</v>
      </c>
      <c r="F13" s="10">
        <v>192.4</v>
      </c>
      <c r="G13" s="10">
        <v>167</v>
      </c>
      <c r="H13" s="10">
        <v>163.4</v>
      </c>
      <c r="I13" s="10">
        <v>164.1</v>
      </c>
      <c r="J13" s="10">
        <v>160.19999999999999</v>
      </c>
      <c r="K13" s="10">
        <v>170.6</v>
      </c>
      <c r="L13" s="10">
        <v>155.69999999999999</v>
      </c>
      <c r="M13" s="10">
        <v>160.6</v>
      </c>
      <c r="N13" s="10">
        <v>164.4</v>
      </c>
      <c r="O13" s="10">
        <v>162.6</v>
      </c>
      <c r="Q13" s="10" t="s">
        <v>30</v>
      </c>
      <c r="R13" s="10">
        <v>2021</v>
      </c>
      <c r="S13" s="10" t="s">
        <v>54</v>
      </c>
      <c r="T13" s="32">
        <f t="shared" ref="T13:AE13" si="9">D12/D11-1</f>
        <v>-2.9806080919320244E-2</v>
      </c>
      <c r="U13" s="32">
        <f t="shared" si="9"/>
        <v>1.1926058437686349E-2</v>
      </c>
      <c r="V13" s="32">
        <f t="shared" si="9"/>
        <v>1.0378827192527584E-3</v>
      </c>
      <c r="W13" s="32">
        <f t="shared" si="9"/>
        <v>9.1296409007912693E-3</v>
      </c>
      <c r="X13" s="32">
        <f t="shared" si="9"/>
        <v>3.6674816625916762E-3</v>
      </c>
      <c r="Y13" s="32">
        <f t="shared" si="9"/>
        <v>-1.8270401948842219E-3</v>
      </c>
      <c r="Z13" s="32">
        <f t="shared" si="9"/>
        <v>5.6818181818181213E-3</v>
      </c>
      <c r="AA13" s="32">
        <f t="shared" si="9"/>
        <v>4.7309284447072386E-3</v>
      </c>
      <c r="AB13" s="32">
        <f t="shared" si="9"/>
        <v>-5.7803468208090791E-3</v>
      </c>
      <c r="AC13" s="32">
        <f t="shared" si="9"/>
        <v>7.5662042875159763E-3</v>
      </c>
      <c r="AD13" s="32">
        <f t="shared" si="9"/>
        <v>2.4405125076265577E-3</v>
      </c>
      <c r="AE13" s="32">
        <f t="shared" si="9"/>
        <v>8.7064676616914749E-3</v>
      </c>
    </row>
    <row r="14" spans="1:31" x14ac:dyDescent="0.3">
      <c r="A14" s="10" t="s">
        <v>30</v>
      </c>
      <c r="B14" s="10">
        <v>2022</v>
      </c>
      <c r="C14" s="10" t="s">
        <v>42</v>
      </c>
      <c r="D14" s="43">
        <v>86.51</v>
      </c>
      <c r="E14" s="10">
        <v>166.4</v>
      </c>
      <c r="F14" s="10">
        <v>192.2</v>
      </c>
      <c r="G14" s="10">
        <v>168.5</v>
      </c>
      <c r="H14" s="10">
        <v>164.5</v>
      </c>
      <c r="I14" s="10">
        <v>164.2</v>
      </c>
      <c r="J14" s="10">
        <v>161.1</v>
      </c>
      <c r="K14" s="10">
        <v>171.4</v>
      </c>
      <c r="L14" s="10">
        <v>156.5</v>
      </c>
      <c r="M14" s="10">
        <v>161.19999999999999</v>
      </c>
      <c r="N14" s="10">
        <v>164.7</v>
      </c>
      <c r="O14" s="10">
        <v>163</v>
      </c>
      <c r="Q14" s="10" t="s">
        <v>30</v>
      </c>
      <c r="R14" s="10">
        <v>2021</v>
      </c>
      <c r="S14" s="10" t="s">
        <v>55</v>
      </c>
      <c r="T14" s="32">
        <f t="shared" ref="T14:AE14" si="10">D13/D12-1</f>
        <v>-8.4885872917951799E-2</v>
      </c>
      <c r="U14" s="32">
        <f t="shared" si="10"/>
        <v>-8.8391278727165679E-3</v>
      </c>
      <c r="V14" s="32">
        <f t="shared" si="10"/>
        <v>-2.5920165889061764E-3</v>
      </c>
      <c r="W14" s="32">
        <f t="shared" si="10"/>
        <v>7.2376357056693763E-3</v>
      </c>
      <c r="X14" s="32">
        <f t="shared" si="10"/>
        <v>-4.872107186357999E-3</v>
      </c>
      <c r="Y14" s="32">
        <f t="shared" si="10"/>
        <v>1.2202562538132788E-3</v>
      </c>
      <c r="Z14" s="32">
        <f t="shared" si="10"/>
        <v>5.6497175141241307E-3</v>
      </c>
      <c r="AA14" s="32">
        <f t="shared" si="10"/>
        <v>4.1200706297821466E-3</v>
      </c>
      <c r="AB14" s="32">
        <f t="shared" si="10"/>
        <v>5.8139534883718813E-3</v>
      </c>
      <c r="AC14" s="32">
        <f t="shared" si="10"/>
        <v>5.0062578222778154E-3</v>
      </c>
      <c r="AD14" s="32">
        <f t="shared" si="10"/>
        <v>6.0864272671934394E-4</v>
      </c>
      <c r="AE14" s="32">
        <f t="shared" si="10"/>
        <v>2.4660912453762229E-3</v>
      </c>
    </row>
    <row r="15" spans="1:31" x14ac:dyDescent="0.3">
      <c r="A15" s="10" t="s">
        <v>30</v>
      </c>
      <c r="B15" s="10">
        <v>2022</v>
      </c>
      <c r="C15" s="10" t="s">
        <v>45</v>
      </c>
      <c r="D15" s="44">
        <v>97.13</v>
      </c>
      <c r="E15" s="10">
        <v>166.2</v>
      </c>
      <c r="F15" s="10">
        <v>192.8</v>
      </c>
      <c r="G15" s="10">
        <v>169.6</v>
      </c>
      <c r="H15" s="10">
        <v>165.5</v>
      </c>
      <c r="I15" s="10">
        <v>165.7</v>
      </c>
      <c r="J15" s="10">
        <v>161.80000000000001</v>
      </c>
      <c r="K15" s="10">
        <v>172.2</v>
      </c>
      <c r="L15" s="10">
        <v>156.9</v>
      </c>
      <c r="M15" s="10">
        <v>162.1</v>
      </c>
      <c r="N15" s="10">
        <v>165.4</v>
      </c>
      <c r="O15" s="10">
        <v>164.4</v>
      </c>
      <c r="Q15" s="10" t="s">
        <v>30</v>
      </c>
      <c r="R15" s="10">
        <v>2022</v>
      </c>
      <c r="S15" s="10" t="s">
        <v>42</v>
      </c>
      <c r="T15" s="32">
        <f t="shared" ref="T15:AE15" si="11">D14/D13-1</f>
        <v>0.16637454496427129</v>
      </c>
      <c r="U15" s="32">
        <f t="shared" si="11"/>
        <v>-1.0701545778834642E-2</v>
      </c>
      <c r="V15" s="32">
        <f t="shared" si="11"/>
        <v>-1.0395010395011228E-3</v>
      </c>
      <c r="W15" s="32">
        <f t="shared" si="11"/>
        <v>8.9820359281436168E-3</v>
      </c>
      <c r="X15" s="32">
        <f t="shared" si="11"/>
        <v>6.7319461444308448E-3</v>
      </c>
      <c r="Y15" s="32">
        <f t="shared" si="11"/>
        <v>6.0938452163306067E-4</v>
      </c>
      <c r="Z15" s="32">
        <f t="shared" si="11"/>
        <v>5.6179775280900124E-3</v>
      </c>
      <c r="AA15" s="32">
        <f t="shared" si="11"/>
        <v>4.6893317702227932E-3</v>
      </c>
      <c r="AB15" s="32">
        <f t="shared" si="11"/>
        <v>5.138086062941527E-3</v>
      </c>
      <c r="AC15" s="32">
        <f t="shared" si="11"/>
        <v>3.7359900373599153E-3</v>
      </c>
      <c r="AD15" s="32">
        <f t="shared" si="11"/>
        <v>1.8248175182480342E-3</v>
      </c>
      <c r="AE15" s="32">
        <f t="shared" si="11"/>
        <v>2.4600246002459691E-3</v>
      </c>
    </row>
    <row r="16" spans="1:31" x14ac:dyDescent="0.3">
      <c r="A16" s="10" t="s">
        <v>30</v>
      </c>
      <c r="B16" s="10">
        <v>2022</v>
      </c>
      <c r="C16" s="10" t="s">
        <v>46</v>
      </c>
      <c r="D16" s="43">
        <v>117.25</v>
      </c>
      <c r="E16" s="10">
        <v>168.4</v>
      </c>
      <c r="F16" s="10">
        <v>193.7</v>
      </c>
      <c r="G16" s="10">
        <v>171.1</v>
      </c>
      <c r="H16" s="10">
        <v>165.3</v>
      </c>
      <c r="I16" s="10">
        <v>167.2</v>
      </c>
      <c r="J16" s="10">
        <v>162.80000000000001</v>
      </c>
      <c r="K16" s="10">
        <v>173</v>
      </c>
      <c r="L16" s="10">
        <v>157.9</v>
      </c>
      <c r="M16" s="10">
        <v>163.30000000000001</v>
      </c>
      <c r="N16" s="10">
        <v>166</v>
      </c>
      <c r="O16" s="10">
        <v>167.2</v>
      </c>
      <c r="Q16" s="10" t="s">
        <v>30</v>
      </c>
      <c r="R16" s="10">
        <v>2022</v>
      </c>
      <c r="S16" s="10" t="s">
        <v>45</v>
      </c>
      <c r="T16" s="32">
        <f t="shared" ref="T16:AE16" si="12">D15/D14-1</f>
        <v>0.12276037452317645</v>
      </c>
      <c r="U16" s="32">
        <f t="shared" si="12"/>
        <v>-1.2019230769231282E-3</v>
      </c>
      <c r="V16" s="32">
        <f t="shared" si="12"/>
        <v>3.1217481789802548E-3</v>
      </c>
      <c r="W16" s="32">
        <f t="shared" si="12"/>
        <v>6.5281899109792541E-3</v>
      </c>
      <c r="X16" s="32">
        <f t="shared" si="12"/>
        <v>6.0790273556230456E-3</v>
      </c>
      <c r="Y16" s="32">
        <f t="shared" si="12"/>
        <v>9.1352009744214424E-3</v>
      </c>
      <c r="Z16" s="32">
        <f t="shared" si="12"/>
        <v>4.3451272501553451E-3</v>
      </c>
      <c r="AA16" s="32">
        <f t="shared" si="12"/>
        <v>4.6674445740955139E-3</v>
      </c>
      <c r="AB16" s="32">
        <f t="shared" si="12"/>
        <v>2.5559105431309792E-3</v>
      </c>
      <c r="AC16" s="32">
        <f t="shared" si="12"/>
        <v>5.5831265508685668E-3</v>
      </c>
      <c r="AD16" s="32">
        <f t="shared" si="12"/>
        <v>4.2501517911355258E-3</v>
      </c>
      <c r="AE16" s="32">
        <f t="shared" si="12"/>
        <v>8.5889570552146743E-3</v>
      </c>
    </row>
    <row r="17" spans="1:31" x14ac:dyDescent="0.3">
      <c r="A17" s="10" t="s">
        <v>30</v>
      </c>
      <c r="B17" s="10">
        <v>2022</v>
      </c>
      <c r="C17" s="10" t="s">
        <v>47</v>
      </c>
      <c r="D17" s="44">
        <v>104.58</v>
      </c>
      <c r="E17" s="10">
        <v>170.8</v>
      </c>
      <c r="F17" s="10">
        <v>193.9</v>
      </c>
      <c r="G17" s="10">
        <v>172.8</v>
      </c>
      <c r="H17" s="10">
        <v>167</v>
      </c>
      <c r="I17" s="10">
        <v>172.2</v>
      </c>
      <c r="J17" s="10">
        <v>164</v>
      </c>
      <c r="K17" s="10">
        <v>174</v>
      </c>
      <c r="L17" s="10">
        <v>162.6</v>
      </c>
      <c r="M17" s="10">
        <v>164.4</v>
      </c>
      <c r="N17" s="10">
        <v>166.9</v>
      </c>
      <c r="O17" s="10">
        <v>168.8</v>
      </c>
      <c r="Q17" s="10" t="s">
        <v>30</v>
      </c>
      <c r="R17" s="10">
        <v>2022</v>
      </c>
      <c r="S17" s="10" t="s">
        <v>46</v>
      </c>
      <c r="T17" s="32">
        <f t="shared" ref="T17:AE17" si="13">D16/D15-1</f>
        <v>0.20714506331720384</v>
      </c>
      <c r="U17" s="32">
        <f t="shared" si="13"/>
        <v>1.3237063778580138E-2</v>
      </c>
      <c r="V17" s="32">
        <f t="shared" si="13"/>
        <v>4.6680497925311037E-3</v>
      </c>
      <c r="W17" s="32">
        <f t="shared" si="13"/>
        <v>8.8443396226414173E-3</v>
      </c>
      <c r="X17" s="32">
        <f t="shared" si="13"/>
        <v>-1.2084592145014117E-3</v>
      </c>
      <c r="Y17" s="32">
        <f t="shared" si="13"/>
        <v>9.0525045262521697E-3</v>
      </c>
      <c r="Z17" s="32">
        <f t="shared" si="13"/>
        <v>6.1804697156984112E-3</v>
      </c>
      <c r="AA17" s="32">
        <f t="shared" si="13"/>
        <v>4.6457607433216808E-3</v>
      </c>
      <c r="AB17" s="32">
        <f t="shared" si="13"/>
        <v>6.3734862970044048E-3</v>
      </c>
      <c r="AC17" s="32">
        <f t="shared" si="13"/>
        <v>7.402837754472591E-3</v>
      </c>
      <c r="AD17" s="32">
        <f t="shared" si="13"/>
        <v>3.6275695284160303E-3</v>
      </c>
      <c r="AE17" s="32">
        <f t="shared" si="13"/>
        <v>1.703163017031617E-2</v>
      </c>
    </row>
    <row r="18" spans="1:31" x14ac:dyDescent="0.3">
      <c r="A18" s="10" t="s">
        <v>30</v>
      </c>
      <c r="B18" s="10">
        <v>2022</v>
      </c>
      <c r="C18" s="10" t="s">
        <v>31</v>
      </c>
      <c r="D18" s="43">
        <v>113.34</v>
      </c>
      <c r="E18" s="10">
        <v>173.3</v>
      </c>
      <c r="F18" s="10">
        <v>194.1</v>
      </c>
      <c r="G18" s="10">
        <v>174.6</v>
      </c>
      <c r="H18" s="10">
        <v>167.5</v>
      </c>
      <c r="I18" s="10">
        <v>174.6</v>
      </c>
      <c r="J18" s="10">
        <v>165.2</v>
      </c>
      <c r="K18" s="10">
        <v>174.8</v>
      </c>
      <c r="L18" s="10">
        <v>163</v>
      </c>
      <c r="M18" s="10">
        <v>165.1</v>
      </c>
      <c r="N18" s="10">
        <v>167.9</v>
      </c>
      <c r="O18" s="10">
        <v>168.4</v>
      </c>
      <c r="Q18" s="10" t="s">
        <v>30</v>
      </c>
      <c r="R18" s="10">
        <v>2022</v>
      </c>
      <c r="S18" s="10" t="s">
        <v>47</v>
      </c>
      <c r="T18" s="32">
        <f t="shared" ref="T18:AE18" si="14">D17/D16-1</f>
        <v>-0.1080597014925373</v>
      </c>
      <c r="U18" s="32">
        <f t="shared" si="14"/>
        <v>1.4251781472684133E-2</v>
      </c>
      <c r="V18" s="32">
        <f t="shared" si="14"/>
        <v>1.0325245224573898E-3</v>
      </c>
      <c r="W18" s="32">
        <f t="shared" si="14"/>
        <v>9.9357101110462143E-3</v>
      </c>
      <c r="X18" s="32">
        <f t="shared" si="14"/>
        <v>1.0284331518451317E-2</v>
      </c>
      <c r="Y18" s="32">
        <f t="shared" si="14"/>
        <v>2.9904306220095656E-2</v>
      </c>
      <c r="Z18" s="32">
        <f t="shared" si="14"/>
        <v>7.3710073710073765E-3</v>
      </c>
      <c r="AA18" s="32">
        <f t="shared" si="14"/>
        <v>5.7803468208093012E-3</v>
      </c>
      <c r="AB18" s="32">
        <f t="shared" si="14"/>
        <v>2.9765674477517434E-2</v>
      </c>
      <c r="AC18" s="32">
        <f t="shared" si="14"/>
        <v>6.7360685854256364E-3</v>
      </c>
      <c r="AD18" s="32">
        <f t="shared" si="14"/>
        <v>5.4216867469880636E-3</v>
      </c>
      <c r="AE18" s="32">
        <f t="shared" si="14"/>
        <v>9.5693779904306719E-3</v>
      </c>
    </row>
    <row r="19" spans="1:31" x14ac:dyDescent="0.3">
      <c r="A19" s="10" t="s">
        <v>30</v>
      </c>
      <c r="B19" s="10">
        <v>2022</v>
      </c>
      <c r="C19" s="10" t="s">
        <v>48</v>
      </c>
      <c r="D19" s="44">
        <v>122.71</v>
      </c>
      <c r="E19" s="10">
        <v>174.9</v>
      </c>
      <c r="F19" s="10">
        <v>194.3</v>
      </c>
      <c r="G19" s="10">
        <v>176</v>
      </c>
      <c r="H19" s="10">
        <v>166.8</v>
      </c>
      <c r="I19" s="10">
        <v>176</v>
      </c>
      <c r="J19" s="10">
        <v>166.4</v>
      </c>
      <c r="K19" s="10">
        <v>175.4</v>
      </c>
      <c r="L19" s="10">
        <v>161.1</v>
      </c>
      <c r="M19" s="10">
        <v>165.8</v>
      </c>
      <c r="N19" s="10">
        <v>169</v>
      </c>
      <c r="O19" s="10">
        <v>169.4</v>
      </c>
      <c r="Q19" s="10" t="s">
        <v>30</v>
      </c>
      <c r="R19" s="10">
        <v>2022</v>
      </c>
      <c r="S19" s="10" t="s">
        <v>31</v>
      </c>
      <c r="T19" s="32">
        <f t="shared" ref="T19:AE19" si="15">D18/D17-1</f>
        <v>8.3763625932300689E-2</v>
      </c>
      <c r="U19" s="32">
        <f t="shared" si="15"/>
        <v>1.4637002341920446E-2</v>
      </c>
      <c r="V19" s="32">
        <f t="shared" si="15"/>
        <v>1.0314595152138839E-3</v>
      </c>
      <c r="W19" s="32">
        <f t="shared" si="15"/>
        <v>1.0416666666666519E-2</v>
      </c>
      <c r="X19" s="32">
        <f t="shared" si="15"/>
        <v>2.9940119760478723E-3</v>
      </c>
      <c r="Y19" s="32">
        <f t="shared" si="15"/>
        <v>1.3937282229965264E-2</v>
      </c>
      <c r="Z19" s="32">
        <f t="shared" si="15"/>
        <v>7.3170731707317138E-3</v>
      </c>
      <c r="AA19" s="32">
        <f t="shared" si="15"/>
        <v>4.5977011494253706E-3</v>
      </c>
      <c r="AB19" s="32">
        <f t="shared" si="15"/>
        <v>2.4600246002459691E-3</v>
      </c>
      <c r="AC19" s="32">
        <f t="shared" si="15"/>
        <v>4.2579075425790425E-3</v>
      </c>
      <c r="AD19" s="32">
        <f t="shared" si="15"/>
        <v>5.9916117435589999E-3</v>
      </c>
      <c r="AE19" s="32">
        <f t="shared" si="15"/>
        <v>-2.3696682464455776E-3</v>
      </c>
    </row>
    <row r="20" spans="1:31" x14ac:dyDescent="0.3">
      <c r="A20" s="10" t="s">
        <v>30</v>
      </c>
      <c r="B20" s="10">
        <v>2022</v>
      </c>
      <c r="C20" s="10" t="s">
        <v>49</v>
      </c>
      <c r="D20" s="43">
        <v>111.93</v>
      </c>
      <c r="E20" s="10">
        <v>175</v>
      </c>
      <c r="F20" s="10">
        <v>194.6</v>
      </c>
      <c r="G20" s="10">
        <v>177.3</v>
      </c>
      <c r="H20" s="10">
        <v>167.8</v>
      </c>
      <c r="I20" s="10">
        <v>179.6</v>
      </c>
      <c r="J20" s="10">
        <v>167.4</v>
      </c>
      <c r="K20" s="10">
        <v>176.1</v>
      </c>
      <c r="L20" s="10">
        <v>161.6</v>
      </c>
      <c r="M20" s="10">
        <v>166.3</v>
      </c>
      <c r="N20" s="10">
        <v>171.4</v>
      </c>
      <c r="O20" s="10">
        <v>169.7</v>
      </c>
      <c r="Q20" s="10" t="s">
        <v>30</v>
      </c>
      <c r="R20" s="10">
        <v>2022</v>
      </c>
      <c r="S20" s="10" t="s">
        <v>48</v>
      </c>
      <c r="T20" s="32">
        <f t="shared" ref="T20:AE20" si="16">D19/D18-1</f>
        <v>8.2671607552496917E-2</v>
      </c>
      <c r="U20" s="32">
        <f t="shared" si="16"/>
        <v>9.2325447201384581E-3</v>
      </c>
      <c r="V20" s="32">
        <f t="shared" si="16"/>
        <v>1.0303967027305294E-3</v>
      </c>
      <c r="W20" s="32">
        <f t="shared" si="16"/>
        <v>8.0183276059564434E-3</v>
      </c>
      <c r="X20" s="32">
        <f t="shared" si="16"/>
        <v>-4.179104477611828E-3</v>
      </c>
      <c r="Y20" s="32">
        <f t="shared" si="16"/>
        <v>8.0183276059564434E-3</v>
      </c>
      <c r="Z20" s="32">
        <f t="shared" si="16"/>
        <v>7.2639225181598821E-3</v>
      </c>
      <c r="AA20" s="32">
        <f t="shared" si="16"/>
        <v>3.4324942791761348E-3</v>
      </c>
      <c r="AB20" s="32">
        <f t="shared" si="16"/>
        <v>-1.1656441717791455E-2</v>
      </c>
      <c r="AC20" s="32">
        <f t="shared" si="16"/>
        <v>4.2398546335555842E-3</v>
      </c>
      <c r="AD20" s="32">
        <f t="shared" si="16"/>
        <v>6.5515187611673298E-3</v>
      </c>
      <c r="AE20" s="32">
        <f t="shared" si="16"/>
        <v>5.9382422802849444E-3</v>
      </c>
    </row>
    <row r="21" spans="1:31" x14ac:dyDescent="0.3">
      <c r="A21" s="10" t="s">
        <v>30</v>
      </c>
      <c r="B21" s="10">
        <v>2022</v>
      </c>
      <c r="C21" s="10" t="s">
        <v>50</v>
      </c>
      <c r="D21" s="44">
        <v>100.45</v>
      </c>
      <c r="E21" s="10">
        <v>176.3</v>
      </c>
      <c r="F21" s="10">
        <v>195</v>
      </c>
      <c r="G21" s="10">
        <v>178.5</v>
      </c>
      <c r="H21" s="10">
        <v>169</v>
      </c>
      <c r="I21" s="10">
        <v>178.8</v>
      </c>
      <c r="J21" s="10">
        <v>168.5</v>
      </c>
      <c r="K21" s="10">
        <v>176.8</v>
      </c>
      <c r="L21" s="10">
        <v>161.9</v>
      </c>
      <c r="M21" s="10">
        <v>166.9</v>
      </c>
      <c r="N21" s="10">
        <v>172.3</v>
      </c>
      <c r="O21" s="10">
        <v>171.2</v>
      </c>
      <c r="Q21" s="10" t="s">
        <v>30</v>
      </c>
      <c r="R21" s="10">
        <v>2022</v>
      </c>
      <c r="S21" s="10" t="s">
        <v>49</v>
      </c>
      <c r="T21" s="32">
        <f t="shared" ref="T21:AE21" si="17">D20/D19-1</f>
        <v>-8.7849401026811047E-2</v>
      </c>
      <c r="U21" s="32">
        <f t="shared" si="17"/>
        <v>5.7175528873631976E-4</v>
      </c>
      <c r="V21" s="32">
        <f t="shared" si="17"/>
        <v>1.5440041173442332E-3</v>
      </c>
      <c r="W21" s="32">
        <f t="shared" si="17"/>
        <v>7.3863636363638019E-3</v>
      </c>
      <c r="X21" s="32">
        <f t="shared" si="17"/>
        <v>5.9952038369304184E-3</v>
      </c>
      <c r="Y21" s="32">
        <f t="shared" si="17"/>
        <v>2.0454545454545503E-2</v>
      </c>
      <c r="Z21" s="32">
        <f t="shared" si="17"/>
        <v>6.0096153846154188E-3</v>
      </c>
      <c r="AA21" s="32">
        <f t="shared" si="17"/>
        <v>3.9908779931583371E-3</v>
      </c>
      <c r="AB21" s="32">
        <f t="shared" si="17"/>
        <v>3.1036623215394687E-3</v>
      </c>
      <c r="AC21" s="32">
        <f t="shared" si="17"/>
        <v>3.0156815440289808E-3</v>
      </c>
      <c r="AD21" s="32">
        <f t="shared" si="17"/>
        <v>1.4201183431952646E-2</v>
      </c>
      <c r="AE21" s="32">
        <f t="shared" si="17"/>
        <v>1.7709563164107767E-3</v>
      </c>
    </row>
    <row r="22" spans="1:31" x14ac:dyDescent="0.3">
      <c r="A22" s="10" t="s">
        <v>30</v>
      </c>
      <c r="B22" s="10">
        <v>2022</v>
      </c>
      <c r="C22" s="10" t="s">
        <v>51</v>
      </c>
      <c r="D22" s="43">
        <v>89.76</v>
      </c>
      <c r="E22" s="10">
        <v>177.8</v>
      </c>
      <c r="F22" s="10">
        <v>195.9</v>
      </c>
      <c r="G22" s="10">
        <v>179.9</v>
      </c>
      <c r="H22" s="10">
        <v>169.5</v>
      </c>
      <c r="I22" s="10">
        <v>179.5</v>
      </c>
      <c r="J22" s="10">
        <v>169.5</v>
      </c>
      <c r="K22" s="10">
        <v>177.8</v>
      </c>
      <c r="L22" s="10">
        <v>162.30000000000001</v>
      </c>
      <c r="M22" s="10">
        <v>167.6</v>
      </c>
      <c r="N22" s="10">
        <v>173.1</v>
      </c>
      <c r="O22" s="10">
        <v>170.9</v>
      </c>
      <c r="Q22" s="10" t="s">
        <v>30</v>
      </c>
      <c r="R22" s="10">
        <v>2022</v>
      </c>
      <c r="S22" s="10" t="s">
        <v>50</v>
      </c>
      <c r="T22" s="32">
        <f t="shared" ref="T22:AE22" si="18">D21/D20-1</f>
        <v>-0.10256410256410264</v>
      </c>
      <c r="U22" s="32">
        <f t="shared" si="18"/>
        <v>7.4285714285715621E-3</v>
      </c>
      <c r="V22" s="32">
        <f t="shared" si="18"/>
        <v>2.0554984583762703E-3</v>
      </c>
      <c r="W22" s="32">
        <f t="shared" si="18"/>
        <v>6.7681895093061328E-3</v>
      </c>
      <c r="X22" s="32">
        <f t="shared" si="18"/>
        <v>7.151370679380209E-3</v>
      </c>
      <c r="Y22" s="32">
        <f t="shared" si="18"/>
        <v>-4.4543429844097204E-3</v>
      </c>
      <c r="Z22" s="32">
        <f t="shared" si="18"/>
        <v>6.5710872162485501E-3</v>
      </c>
      <c r="AA22" s="32">
        <f t="shared" si="18"/>
        <v>3.9750141964793873E-3</v>
      </c>
      <c r="AB22" s="32">
        <f t="shared" si="18"/>
        <v>1.8564356435644136E-3</v>
      </c>
      <c r="AC22" s="32">
        <f t="shared" si="18"/>
        <v>3.6079374624173877E-3</v>
      </c>
      <c r="AD22" s="32">
        <f t="shared" si="18"/>
        <v>5.2508751458577585E-3</v>
      </c>
      <c r="AE22" s="32">
        <f t="shared" si="18"/>
        <v>8.8391278727164568E-3</v>
      </c>
    </row>
    <row r="23" spans="1:31" x14ac:dyDescent="0.3">
      <c r="A23" s="10" t="s">
        <v>30</v>
      </c>
      <c r="B23" s="10">
        <v>2022</v>
      </c>
      <c r="C23" s="10" t="s">
        <v>52</v>
      </c>
      <c r="D23" s="44">
        <v>93.5</v>
      </c>
      <c r="E23" s="10">
        <v>179.6</v>
      </c>
      <c r="F23" s="10">
        <v>196.3</v>
      </c>
      <c r="G23" s="10">
        <v>181</v>
      </c>
      <c r="H23" s="10">
        <v>171.2</v>
      </c>
      <c r="I23" s="10">
        <v>180.5</v>
      </c>
      <c r="J23" s="10">
        <v>170.4</v>
      </c>
      <c r="K23" s="10">
        <v>178.7</v>
      </c>
      <c r="L23" s="10">
        <v>162.9</v>
      </c>
      <c r="M23" s="10">
        <v>168.2</v>
      </c>
      <c r="N23" s="10">
        <v>173.4</v>
      </c>
      <c r="O23" s="10">
        <v>172.1</v>
      </c>
      <c r="Q23" s="10" t="s">
        <v>30</v>
      </c>
      <c r="R23" s="10">
        <v>2022</v>
      </c>
      <c r="S23" s="10" t="s">
        <v>51</v>
      </c>
      <c r="T23" s="32">
        <f t="shared" ref="T23:AE23" si="19">D22/D21-1</f>
        <v>-0.10642110502737678</v>
      </c>
      <c r="U23" s="32">
        <f t="shared" si="19"/>
        <v>8.5082246171299669E-3</v>
      </c>
      <c r="V23" s="32">
        <f t="shared" si="19"/>
        <v>4.6153846153846878E-3</v>
      </c>
      <c r="W23" s="32">
        <f t="shared" si="19"/>
        <v>7.8431372549019329E-3</v>
      </c>
      <c r="X23" s="32">
        <f t="shared" si="19"/>
        <v>2.9585798816567088E-3</v>
      </c>
      <c r="Y23" s="32">
        <f t="shared" si="19"/>
        <v>3.9149888143175104E-3</v>
      </c>
      <c r="Z23" s="32">
        <f t="shared" si="19"/>
        <v>5.9347181008901906E-3</v>
      </c>
      <c r="AA23" s="32">
        <f t="shared" si="19"/>
        <v>5.6561085972850478E-3</v>
      </c>
      <c r="AB23" s="32">
        <f t="shared" si="19"/>
        <v>2.4706609017912662E-3</v>
      </c>
      <c r="AC23" s="32">
        <f t="shared" si="19"/>
        <v>4.1941282204911445E-3</v>
      </c>
      <c r="AD23" s="32">
        <f t="shared" si="19"/>
        <v>4.6430644225188278E-3</v>
      </c>
      <c r="AE23" s="32">
        <f t="shared" si="19"/>
        <v>-1.7523364485980686E-3</v>
      </c>
    </row>
    <row r="24" spans="1:31" x14ac:dyDescent="0.3">
      <c r="A24" s="10" t="s">
        <v>30</v>
      </c>
      <c r="B24" s="10">
        <v>2022</v>
      </c>
      <c r="C24" s="10" t="s">
        <v>54</v>
      </c>
      <c r="D24" s="43">
        <v>88.45</v>
      </c>
      <c r="E24" s="10">
        <v>178.3</v>
      </c>
      <c r="F24" s="10">
        <v>196.9</v>
      </c>
      <c r="G24" s="10">
        <v>182.1</v>
      </c>
      <c r="H24" s="10">
        <v>171.8</v>
      </c>
      <c r="I24" s="10">
        <v>181.3</v>
      </c>
      <c r="J24" s="10">
        <v>171.4</v>
      </c>
      <c r="K24" s="10">
        <v>179.8</v>
      </c>
      <c r="L24" s="10">
        <v>163</v>
      </c>
      <c r="M24" s="10">
        <v>168.5</v>
      </c>
      <c r="N24" s="10">
        <v>173.7</v>
      </c>
      <c r="O24" s="10">
        <v>173.6</v>
      </c>
      <c r="Q24" s="10" t="s">
        <v>30</v>
      </c>
      <c r="R24" s="10">
        <v>2022</v>
      </c>
      <c r="S24" s="10" t="s">
        <v>52</v>
      </c>
      <c r="T24" s="32">
        <f t="shared" ref="T24:AE24" si="20">D23/D22-1</f>
        <v>4.1666666666666519E-2</v>
      </c>
      <c r="U24" s="32">
        <f t="shared" si="20"/>
        <v>1.0123734533183271E-2</v>
      </c>
      <c r="V24" s="32">
        <f t="shared" si="20"/>
        <v>2.0418580908627693E-3</v>
      </c>
      <c r="W24" s="32">
        <f t="shared" si="20"/>
        <v>6.1145080600333301E-3</v>
      </c>
      <c r="X24" s="32">
        <f t="shared" si="20"/>
        <v>1.0029498525073732E-2</v>
      </c>
      <c r="Y24" s="32">
        <f t="shared" si="20"/>
        <v>5.5710306406684396E-3</v>
      </c>
      <c r="Z24" s="32">
        <f t="shared" si="20"/>
        <v>5.3097345132744334E-3</v>
      </c>
      <c r="AA24" s="32">
        <f t="shared" si="20"/>
        <v>5.0618672665916353E-3</v>
      </c>
      <c r="AB24" s="32">
        <f t="shared" si="20"/>
        <v>3.6968576709797141E-3</v>
      </c>
      <c r="AC24" s="32">
        <f t="shared" si="20"/>
        <v>3.5799522673030104E-3</v>
      </c>
      <c r="AD24" s="32">
        <f t="shared" si="20"/>
        <v>1.7331022530329143E-3</v>
      </c>
      <c r="AE24" s="32">
        <f t="shared" si="20"/>
        <v>7.02165008777067E-3</v>
      </c>
    </row>
    <row r="25" spans="1:31" x14ac:dyDescent="0.3">
      <c r="A25" s="10" t="s">
        <v>30</v>
      </c>
      <c r="B25" s="10">
        <v>2022</v>
      </c>
      <c r="C25" s="10" t="s">
        <v>55</v>
      </c>
      <c r="D25" s="44">
        <v>80.92</v>
      </c>
      <c r="E25" s="10">
        <v>175.9</v>
      </c>
      <c r="F25" s="10">
        <v>197.3</v>
      </c>
      <c r="G25" s="10">
        <v>183</v>
      </c>
      <c r="H25" s="10">
        <v>170.7</v>
      </c>
      <c r="I25" s="10">
        <v>182</v>
      </c>
      <c r="J25" s="10">
        <v>172.1</v>
      </c>
      <c r="K25" s="10">
        <v>181.1</v>
      </c>
      <c r="L25" s="10">
        <v>163.4</v>
      </c>
      <c r="M25" s="10">
        <v>168.9</v>
      </c>
      <c r="N25" s="10">
        <v>174.1</v>
      </c>
      <c r="O25" s="10">
        <v>175.8</v>
      </c>
      <c r="Q25" s="10" t="s">
        <v>30</v>
      </c>
      <c r="R25" s="10">
        <v>2022</v>
      </c>
      <c r="S25" s="10" t="s">
        <v>54</v>
      </c>
      <c r="T25" s="32">
        <f t="shared" ref="T25:AE25" si="21">D24/D23-1</f>
        <v>-5.4010695187165725E-2</v>
      </c>
      <c r="U25" s="32">
        <f t="shared" si="21"/>
        <v>-7.2383073496657957E-3</v>
      </c>
      <c r="V25" s="32">
        <f t="shared" si="21"/>
        <v>3.0565461029037344E-3</v>
      </c>
      <c r="W25" s="32">
        <f t="shared" si="21"/>
        <v>6.0773480662983381E-3</v>
      </c>
      <c r="X25" s="32">
        <f t="shared" si="21"/>
        <v>3.5046728971963592E-3</v>
      </c>
      <c r="Y25" s="32">
        <f t="shared" si="21"/>
        <v>4.4321329639889218E-3</v>
      </c>
      <c r="Z25" s="32">
        <f t="shared" si="21"/>
        <v>5.8685446009389963E-3</v>
      </c>
      <c r="AA25" s="32">
        <f t="shared" si="21"/>
        <v>6.1555679910465511E-3</v>
      </c>
      <c r="AB25" s="32">
        <f t="shared" si="21"/>
        <v>6.1387354205022504E-4</v>
      </c>
      <c r="AC25" s="32">
        <f t="shared" si="21"/>
        <v>1.7835909631391811E-3</v>
      </c>
      <c r="AD25" s="32">
        <f t="shared" si="21"/>
        <v>1.7301038062282892E-3</v>
      </c>
      <c r="AE25" s="32">
        <f t="shared" si="21"/>
        <v>8.7158628704242513E-3</v>
      </c>
    </row>
    <row r="26" spans="1:31" x14ac:dyDescent="0.3">
      <c r="A26" s="10" t="s">
        <v>30</v>
      </c>
      <c r="B26" s="10">
        <v>2023</v>
      </c>
      <c r="C26" s="10" t="s">
        <v>42</v>
      </c>
      <c r="D26" s="43">
        <v>80.41</v>
      </c>
      <c r="E26" s="10">
        <v>176.7</v>
      </c>
      <c r="F26" s="10">
        <v>198.2</v>
      </c>
      <c r="G26" s="10">
        <v>183.8</v>
      </c>
      <c r="H26" s="10">
        <v>172.1</v>
      </c>
      <c r="I26" s="10">
        <v>182</v>
      </c>
      <c r="J26" s="10">
        <v>172.9</v>
      </c>
      <c r="K26" s="10">
        <v>182.3</v>
      </c>
      <c r="L26" s="10">
        <v>163.6</v>
      </c>
      <c r="M26" s="10">
        <v>169.5</v>
      </c>
      <c r="N26" s="10">
        <v>174.3</v>
      </c>
      <c r="O26" s="10">
        <v>178.6</v>
      </c>
      <c r="Q26" s="10" t="s">
        <v>30</v>
      </c>
      <c r="R26" s="10">
        <v>2022</v>
      </c>
      <c r="S26" s="10" t="s">
        <v>55</v>
      </c>
      <c r="T26" s="32">
        <f t="shared" ref="T26:AE26" si="22">D25/D24-1</f>
        <v>-8.513284341435845E-2</v>
      </c>
      <c r="U26" s="32">
        <f t="shared" si="22"/>
        <v>-1.346045989904654E-2</v>
      </c>
      <c r="V26" s="32">
        <f t="shared" si="22"/>
        <v>2.0314880650076361E-3</v>
      </c>
      <c r="W26" s="32">
        <f t="shared" si="22"/>
        <v>4.9423393739704835E-3</v>
      </c>
      <c r="X26" s="32">
        <f t="shared" si="22"/>
        <v>-6.4027939464494921E-3</v>
      </c>
      <c r="Y26" s="32">
        <f t="shared" si="22"/>
        <v>3.8610038610038533E-3</v>
      </c>
      <c r="Z26" s="32">
        <f t="shared" si="22"/>
        <v>4.0840140023337135E-3</v>
      </c>
      <c r="AA26" s="32">
        <f t="shared" si="22"/>
        <v>7.2302558398218419E-3</v>
      </c>
      <c r="AB26" s="32">
        <f t="shared" si="22"/>
        <v>2.4539877300613355E-3</v>
      </c>
      <c r="AC26" s="32">
        <f t="shared" si="22"/>
        <v>2.3738872403560318E-3</v>
      </c>
      <c r="AD26" s="32">
        <f t="shared" si="22"/>
        <v>2.3028209556708035E-3</v>
      </c>
      <c r="AE26" s="32">
        <f t="shared" si="22"/>
        <v>1.2672811059907918E-2</v>
      </c>
    </row>
    <row r="27" spans="1:31" x14ac:dyDescent="0.3">
      <c r="A27" s="10" t="s">
        <v>30</v>
      </c>
      <c r="B27" s="10">
        <v>2023</v>
      </c>
      <c r="C27" s="10" t="s">
        <v>45</v>
      </c>
      <c r="D27" s="44">
        <v>80.25</v>
      </c>
      <c r="E27" s="10">
        <v>177</v>
      </c>
      <c r="F27" s="10">
        <v>199.5</v>
      </c>
      <c r="G27" s="10">
        <v>185.1</v>
      </c>
      <c r="H27" s="10">
        <v>173.5</v>
      </c>
      <c r="I27" s="10">
        <v>182.1</v>
      </c>
      <c r="J27" s="10">
        <v>174.2</v>
      </c>
      <c r="K27" s="10">
        <v>184.4</v>
      </c>
      <c r="L27" s="10">
        <v>164.2</v>
      </c>
      <c r="M27" s="10">
        <v>170.3</v>
      </c>
      <c r="N27" s="10">
        <v>175</v>
      </c>
      <c r="O27" s="10">
        <v>181</v>
      </c>
      <c r="Q27" s="10" t="s">
        <v>30</v>
      </c>
      <c r="R27" s="10">
        <v>2023</v>
      </c>
      <c r="S27" s="10" t="s">
        <v>42</v>
      </c>
      <c r="T27" s="32">
        <f t="shared" ref="T27:AE27" si="23">D26/D25-1</f>
        <v>-6.30252100840345E-3</v>
      </c>
      <c r="U27" s="32">
        <f t="shared" si="23"/>
        <v>4.5480386583285348E-3</v>
      </c>
      <c r="V27" s="32">
        <f t="shared" si="23"/>
        <v>4.5615813482005052E-3</v>
      </c>
      <c r="W27" s="32">
        <f t="shared" si="23"/>
        <v>4.3715846994536456E-3</v>
      </c>
      <c r="X27" s="32">
        <f t="shared" si="23"/>
        <v>8.2015231400116573E-3</v>
      </c>
      <c r="Y27" s="32">
        <f t="shared" si="23"/>
        <v>0</v>
      </c>
      <c r="Z27" s="32">
        <f t="shared" si="23"/>
        <v>4.6484601975596007E-3</v>
      </c>
      <c r="AA27" s="32">
        <f t="shared" si="23"/>
        <v>6.6261733848702598E-3</v>
      </c>
      <c r="AB27" s="32">
        <f t="shared" si="23"/>
        <v>1.2239902080781739E-3</v>
      </c>
      <c r="AC27" s="32">
        <f t="shared" si="23"/>
        <v>3.5523978685612079E-3</v>
      </c>
      <c r="AD27" s="32">
        <f t="shared" si="23"/>
        <v>1.1487650775416913E-3</v>
      </c>
      <c r="AE27" s="32">
        <f t="shared" si="23"/>
        <v>1.5927189988623303E-2</v>
      </c>
    </row>
    <row r="28" spans="1:31" x14ac:dyDescent="0.3">
      <c r="A28" s="10" t="s">
        <v>30</v>
      </c>
      <c r="B28" s="10">
        <v>2023</v>
      </c>
      <c r="C28" s="10" t="s">
        <v>46</v>
      </c>
      <c r="D28" s="43">
        <v>76.47</v>
      </c>
      <c r="E28" s="10">
        <v>177</v>
      </c>
      <c r="F28" s="10">
        <v>199.5</v>
      </c>
      <c r="G28" s="10">
        <v>185.1</v>
      </c>
      <c r="H28" s="10">
        <v>173.5</v>
      </c>
      <c r="I28" s="10">
        <v>181.9</v>
      </c>
      <c r="J28" s="10">
        <v>174.2</v>
      </c>
      <c r="K28" s="10">
        <v>184.4</v>
      </c>
      <c r="L28" s="10">
        <v>164.2</v>
      </c>
      <c r="M28" s="10">
        <v>170.3</v>
      </c>
      <c r="N28" s="10">
        <v>175</v>
      </c>
      <c r="O28" s="10">
        <v>181</v>
      </c>
      <c r="Q28" s="10" t="s">
        <v>30</v>
      </c>
      <c r="R28" s="10">
        <v>2023</v>
      </c>
      <c r="S28" s="10" t="s">
        <v>45</v>
      </c>
      <c r="T28" s="32">
        <f t="shared" ref="T28:T31" si="24">D27/D26-1</f>
        <v>-1.9898022634000645E-3</v>
      </c>
      <c r="U28" s="32">
        <f>E27/E26-1</f>
        <v>1.6977928692700761E-3</v>
      </c>
      <c r="V28" s="32">
        <f t="shared" ref="V28:V31" si="25">F27/F26-1</f>
        <v>6.5590312815337892E-3</v>
      </c>
      <c r="W28" s="32">
        <f t="shared" ref="W28:W31" si="26">G27/G26-1</f>
        <v>7.0729053318823176E-3</v>
      </c>
      <c r="X28" s="32">
        <f t="shared" ref="X28:X31" si="27">H27/H26-1</f>
        <v>8.1348053457293013E-3</v>
      </c>
      <c r="Y28" s="32">
        <f t="shared" ref="Y28:Y31" si="28">I27/I26-1</f>
        <v>5.494505494505475E-4</v>
      </c>
      <c r="Z28" s="32">
        <f t="shared" ref="Z28:Z31" si="29">J27/J26-1</f>
        <v>7.5187969924810361E-3</v>
      </c>
      <c r="AA28" s="32">
        <f t="shared" ref="AA28:AA31" si="30">K27/K26-1</f>
        <v>1.1519473395501967E-2</v>
      </c>
      <c r="AB28" s="32">
        <f t="shared" ref="AB28:AB31" si="31">L27/L26-1</f>
        <v>3.6674816625916762E-3</v>
      </c>
      <c r="AC28" s="32">
        <f t="shared" ref="AC28:AC31" si="32">M27/M26-1</f>
        <v>4.719764011799521E-3</v>
      </c>
      <c r="AD28" s="32">
        <f t="shared" ref="AD28:AD31" si="33">N27/N26-1</f>
        <v>4.0160642570279403E-3</v>
      </c>
      <c r="AE28" s="32">
        <f t="shared" ref="AE28:AE31" si="34">O27/O26-1</f>
        <v>1.3437849944009095E-2</v>
      </c>
    </row>
    <row r="29" spans="1:31" x14ac:dyDescent="0.3">
      <c r="A29" s="10" t="s">
        <v>30</v>
      </c>
      <c r="B29" s="10">
        <v>2023</v>
      </c>
      <c r="C29" s="10" t="s">
        <v>47</v>
      </c>
      <c r="D29" s="44">
        <v>82.46</v>
      </c>
      <c r="E29" s="10">
        <v>177.9</v>
      </c>
      <c r="F29" s="10">
        <v>200.6</v>
      </c>
      <c r="G29" s="10">
        <v>185.7</v>
      </c>
      <c r="H29" s="10">
        <v>175.2</v>
      </c>
      <c r="I29" s="10">
        <v>181.7</v>
      </c>
      <c r="J29" s="10">
        <v>174.6</v>
      </c>
      <c r="K29" s="10">
        <v>185</v>
      </c>
      <c r="L29" s="10">
        <v>164.5</v>
      </c>
      <c r="M29" s="10">
        <v>170.7</v>
      </c>
      <c r="N29" s="10">
        <v>176.4</v>
      </c>
      <c r="O29" s="10">
        <v>184</v>
      </c>
      <c r="Q29" s="10" t="s">
        <v>30</v>
      </c>
      <c r="R29" s="10">
        <v>2023</v>
      </c>
      <c r="S29" s="10" t="s">
        <v>46</v>
      </c>
      <c r="T29" s="32">
        <f t="shared" si="24"/>
        <v>-4.7102803738317767E-2</v>
      </c>
      <c r="U29" s="32">
        <f>E28/E27-1</f>
        <v>0</v>
      </c>
      <c r="V29" s="32">
        <f t="shared" si="25"/>
        <v>0</v>
      </c>
      <c r="W29" s="32">
        <f t="shared" si="26"/>
        <v>0</v>
      </c>
      <c r="X29" s="32">
        <f t="shared" si="27"/>
        <v>0</v>
      </c>
      <c r="Y29" s="32">
        <f t="shared" si="28"/>
        <v>-1.0982976386599841E-3</v>
      </c>
      <c r="Z29" s="32">
        <f t="shared" si="29"/>
        <v>0</v>
      </c>
      <c r="AA29" s="32">
        <f t="shared" si="30"/>
        <v>0</v>
      </c>
      <c r="AB29" s="32">
        <f t="shared" si="31"/>
        <v>0</v>
      </c>
      <c r="AC29" s="32">
        <f t="shared" si="32"/>
        <v>0</v>
      </c>
      <c r="AD29" s="32">
        <f t="shared" si="33"/>
        <v>0</v>
      </c>
      <c r="AE29" s="32">
        <f t="shared" si="34"/>
        <v>0</v>
      </c>
    </row>
    <row r="30" spans="1:31" x14ac:dyDescent="0.3">
      <c r="A30" s="10" t="s">
        <v>30</v>
      </c>
      <c r="B30" s="10">
        <v>2023</v>
      </c>
      <c r="C30" s="10" t="s">
        <v>31</v>
      </c>
      <c r="D30" s="43">
        <v>74.12</v>
      </c>
      <c r="E30" s="10">
        <v>179.1</v>
      </c>
      <c r="F30" s="10">
        <v>201</v>
      </c>
      <c r="G30" s="10">
        <v>186.2</v>
      </c>
      <c r="H30" s="10">
        <v>175.6</v>
      </c>
      <c r="I30" s="10">
        <v>182.8</v>
      </c>
      <c r="J30" s="10">
        <v>175.2</v>
      </c>
      <c r="K30" s="10">
        <v>185.7</v>
      </c>
      <c r="L30" s="10">
        <v>164.8</v>
      </c>
      <c r="M30" s="10">
        <v>171.2</v>
      </c>
      <c r="N30" s="10">
        <v>177.1</v>
      </c>
      <c r="O30" s="10">
        <v>185.2</v>
      </c>
      <c r="Q30" s="10" t="s">
        <v>30</v>
      </c>
      <c r="R30" s="10">
        <v>2023</v>
      </c>
      <c r="S30" s="10" t="s">
        <v>47</v>
      </c>
      <c r="T30" s="32">
        <f t="shared" si="24"/>
        <v>7.8331371779782888E-2</v>
      </c>
      <c r="U30" s="32">
        <f>E29/E28-1</f>
        <v>5.0847457627118953E-3</v>
      </c>
      <c r="V30" s="32">
        <f t="shared" si="25"/>
        <v>5.5137844611528042E-3</v>
      </c>
      <c r="W30" s="32">
        <f t="shared" si="26"/>
        <v>3.2414910858995505E-3</v>
      </c>
      <c r="X30" s="32">
        <f t="shared" si="27"/>
        <v>9.7982708933717078E-3</v>
      </c>
      <c r="Y30" s="32">
        <f t="shared" si="28"/>
        <v>-1.0995052226498991E-3</v>
      </c>
      <c r="Z30" s="32">
        <f t="shared" si="29"/>
        <v>2.2962112514350874E-3</v>
      </c>
      <c r="AA30" s="32">
        <f t="shared" si="30"/>
        <v>3.2537960954446277E-3</v>
      </c>
      <c r="AB30" s="32">
        <f t="shared" si="31"/>
        <v>1.8270401948843329E-3</v>
      </c>
      <c r="AC30" s="32">
        <f t="shared" si="32"/>
        <v>2.3487962419259656E-3</v>
      </c>
      <c r="AD30" s="32">
        <f t="shared" si="33"/>
        <v>8.0000000000000071E-3</v>
      </c>
      <c r="AE30" s="32">
        <f t="shared" si="34"/>
        <v>1.6574585635359185E-2</v>
      </c>
    </row>
    <row r="31" spans="1:31" x14ac:dyDescent="0.3">
      <c r="Q31" s="10" t="s">
        <v>30</v>
      </c>
      <c r="R31" s="10">
        <v>2023</v>
      </c>
      <c r="S31" s="10" t="s">
        <v>31</v>
      </c>
      <c r="T31" s="32">
        <f t="shared" si="24"/>
        <v>-0.1011399466407954</v>
      </c>
      <c r="U31" s="32">
        <f t="shared" ref="U31" si="35">E30/E29-1</f>
        <v>6.7453625632376557E-3</v>
      </c>
      <c r="V31" s="32">
        <f t="shared" si="25"/>
        <v>1.9940179461614971E-3</v>
      </c>
      <c r="W31" s="32">
        <f t="shared" si="26"/>
        <v>2.692514808831481E-3</v>
      </c>
      <c r="X31" s="32">
        <f t="shared" si="27"/>
        <v>2.2831050228311334E-3</v>
      </c>
      <c r="Y31" s="32">
        <f t="shared" si="28"/>
        <v>6.0539350577877293E-3</v>
      </c>
      <c r="Z31" s="32">
        <f t="shared" si="29"/>
        <v>3.4364261168384758E-3</v>
      </c>
      <c r="AA31" s="32">
        <f t="shared" si="30"/>
        <v>3.7837837837837451E-3</v>
      </c>
      <c r="AB31" s="32">
        <f t="shared" si="31"/>
        <v>1.8237082066869803E-3</v>
      </c>
      <c r="AC31" s="32">
        <f t="shared" si="32"/>
        <v>2.9291154071471315E-3</v>
      </c>
      <c r="AD31" s="32">
        <f t="shared" si="33"/>
        <v>3.9682539682539542E-3</v>
      </c>
      <c r="AE31" s="32">
        <f t="shared" si="34"/>
        <v>6.5217391304346339E-3</v>
      </c>
    </row>
    <row r="33" spans="20:31" x14ac:dyDescent="0.3">
      <c r="U33" s="34" t="s">
        <v>15</v>
      </c>
      <c r="V33" s="34" t="s">
        <v>16</v>
      </c>
      <c r="W33" s="34" t="s">
        <v>19</v>
      </c>
      <c r="X33" s="34" t="s">
        <v>20</v>
      </c>
      <c r="Y33" s="34" t="s">
        <v>21</v>
      </c>
      <c r="Z33" s="34" t="s">
        <v>22</v>
      </c>
      <c r="AA33" s="34" t="s">
        <v>23</v>
      </c>
      <c r="AB33" s="34" t="s">
        <v>24</v>
      </c>
      <c r="AC33" s="34" t="s">
        <v>25</v>
      </c>
      <c r="AD33" s="34" t="s">
        <v>26</v>
      </c>
      <c r="AE33" s="34" t="s">
        <v>27</v>
      </c>
    </row>
    <row r="34" spans="20:31" ht="15.6" x14ac:dyDescent="0.3">
      <c r="T34" s="47" t="s">
        <v>110</v>
      </c>
      <c r="U34" s="46">
        <f t="shared" ref="U34:AE34" si="36">CORREL($T$4:$T$31,U4:U31)</f>
        <v>4.3612142338769977E-2</v>
      </c>
      <c r="V34" s="46">
        <f t="shared" si="36"/>
        <v>0.13858979889662679</v>
      </c>
      <c r="W34" s="46">
        <f t="shared" si="36"/>
        <v>0.12971237627439852</v>
      </c>
      <c r="X34" s="46">
        <f t="shared" si="36"/>
        <v>9.4548388786884222E-2</v>
      </c>
      <c r="Y34" s="46">
        <f t="shared" si="36"/>
        <v>0.13465261170205017</v>
      </c>
      <c r="Z34" s="46">
        <f t="shared" si="36"/>
        <v>-2.1445504648567306E-3</v>
      </c>
      <c r="AA34" s="46">
        <f t="shared" si="36"/>
        <v>6.7350973052605928E-2</v>
      </c>
      <c r="AB34" s="46">
        <f t="shared" si="36"/>
        <v>8.4409549017624624E-2</v>
      </c>
      <c r="AC34" s="46">
        <f t="shared" si="36"/>
        <v>0.12624976159609913</v>
      </c>
      <c r="AD34" s="46">
        <f t="shared" si="36"/>
        <v>-0.10310208898203575</v>
      </c>
      <c r="AE34" s="46">
        <f t="shared" si="36"/>
        <v>1.0974764340773416E-2</v>
      </c>
    </row>
    <row r="36" spans="20:31" x14ac:dyDescent="0.3">
      <c r="AE36" s="30"/>
    </row>
  </sheetData>
  <mergeCells count="1">
    <mergeCell ref="Q1:AE1"/>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Base file Brod prod Category</vt:lpstr>
      <vt:lpstr>All_India_Index_Upto_April</vt:lpstr>
      <vt:lpstr>Summary</vt:lpstr>
      <vt:lpstr>Q1 - Category Contributions</vt:lpstr>
      <vt:lpstr>Q2 - YoY Inflation Trends</vt:lpstr>
      <vt:lpstr>Q3 - Food Inflation Analysis</vt:lpstr>
      <vt:lpstr>Q4 - COVID-19 Impact</vt:lpstr>
      <vt:lpstr>Q5 Oil Price Correlation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ACER</dc:creator>
  <cp:lastModifiedBy>ACER</cp:lastModifiedBy>
  <dcterms:created xsi:type="dcterms:W3CDTF">2026-10-18T12:27:31Z</dcterms:created>
  <dcterms:modified xsi:type="dcterms:W3CDTF">2026-10-19T10:10:04Z</dcterms:modified>
</cp:coreProperties>
</file>